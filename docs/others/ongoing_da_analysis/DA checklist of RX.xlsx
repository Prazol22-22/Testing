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ongoing_da_analysis\"/>
    </mc:Choice>
  </mc:AlternateContent>
  <bookViews>
    <workbookView xWindow="0" yWindow="0" windowWidth="20490" windowHeight="7755"/>
  </bookViews>
  <sheets>
    <sheet name="Pharmacy" sheetId="1" r:id="rId1"/>
    <sheet name="NPI_mismatch" sheetId="4" r:id="rId2"/>
    <sheet name="NDC_mismatch" sheetId="2" r:id="rId3"/>
    <sheet name="DEA_mismatch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C10" i="4"/>
  <c r="B10" i="4"/>
</calcChain>
</file>

<file path=xl/sharedStrings.xml><?xml version="1.0" encoding="utf-8"?>
<sst xmlns="http://schemas.openxmlformats.org/spreadsheetml/2006/main" count="97" uniqueCount="54">
  <si>
    <t>NDC Match</t>
  </si>
  <si>
    <t xml:space="preserve">Match % with 
Master table </t>
  </si>
  <si>
    <t>Amount Carried by Match %</t>
  </si>
  <si>
    <t>Mismatch % with Master table</t>
  </si>
  <si>
    <t>Amount Carrier by Mismatch%</t>
  </si>
  <si>
    <t>Comment</t>
  </si>
  <si>
    <t>Remark</t>
  </si>
  <si>
    <t>Detail can be found in "NDC_mismatch" tab</t>
  </si>
  <si>
    <t>DEA Match</t>
  </si>
  <si>
    <t>Detail can be found in "DEA_mismatch" tab</t>
  </si>
  <si>
    <t>Mail Order Flag</t>
  </si>
  <si>
    <t>Values</t>
  </si>
  <si>
    <t>Amount Carried</t>
  </si>
  <si>
    <t>R</t>
  </si>
  <si>
    <t>M</t>
  </si>
  <si>
    <t>Formulary Flag</t>
  </si>
  <si>
    <t>Written Date</t>
  </si>
  <si>
    <t>Valid Count</t>
  </si>
  <si>
    <t>Null or OpenEnddate Count</t>
  </si>
  <si>
    <t>Filled Date</t>
  </si>
  <si>
    <t>Paid Date</t>
  </si>
  <si>
    <t>Paid Amount</t>
  </si>
  <si>
    <t>Total Amount</t>
  </si>
  <si>
    <t>Remarks</t>
  </si>
  <si>
    <t>Allowed Amount</t>
  </si>
  <si>
    <t>Billed Amount</t>
  </si>
  <si>
    <t>Coinsurance Amount</t>
  </si>
  <si>
    <t>Deductible Amount</t>
  </si>
  <si>
    <t>Copay Amount</t>
  </si>
  <si>
    <t>rev_disp_fee_amt</t>
  </si>
  <si>
    <t>rev_ingred_cost_amt</t>
  </si>
  <si>
    <t>product_service_id</t>
  </si>
  <si>
    <t>paid_amount</t>
  </si>
  <si>
    <t>NULL</t>
  </si>
  <si>
    <t>00074318990</t>
  </si>
  <si>
    <t>00093735301</t>
  </si>
  <si>
    <t>00378223293</t>
  </si>
  <si>
    <t>16252061550</t>
  </si>
  <si>
    <t>16252061850</t>
  </si>
  <si>
    <t>51862001501</t>
  </si>
  <si>
    <t>51862007901</t>
  </si>
  <si>
    <t>51862027906</t>
  </si>
  <si>
    <t>51862033301</t>
  </si>
  <si>
    <t>68180083813</t>
  </si>
  <si>
    <t>prescriber_id</t>
  </si>
  <si>
    <t>FP6249141</t>
  </si>
  <si>
    <t>N</t>
  </si>
  <si>
    <t>Y</t>
  </si>
  <si>
    <t>NPI Match</t>
  </si>
  <si>
    <t>Amount</t>
  </si>
  <si>
    <t>Record Count</t>
  </si>
  <si>
    <t>Total</t>
  </si>
  <si>
    <t>Detail can be found in "NPI_mismatch" tab</t>
  </si>
  <si>
    <t>sum of client_amount_due,copay_coinsurance,deductible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</si>
</sst>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44" fontId="0" fillId="0" borderId="0" xfId="2" applyFont="1" applyAlignment="1">
      <alignment vertical="center" wrapText="1"/>
    </xf>
    <xf numFmtId="8" fontId="0" fillId="0" borderId="1" xfId="2" applyNumberFormat="1" applyFont="1" applyBorder="1"/>
    <xf numFmtId="44" fontId="0" fillId="0" borderId="1" xfId="2" applyFont="1" applyBorder="1"/>
    <xf numFmtId="0" fontId="0" fillId="0" borderId="0" xfId="0" applyAlignment="1">
      <alignment vertical="center" wrapText="1"/>
    </xf>
    <xf numFmtId="164" fontId="0" fillId="0" borderId="1" xfId="1" applyNumberFormat="1" applyFont="1" applyBorder="1"/>
    <xf numFmtId="164" fontId="0" fillId="0" borderId="2" xfId="1" applyNumberFormat="1" applyFont="1" applyBorder="1"/>
    <xf numFmtId="0" fontId="0" fillId="0" borderId="2" xfId="0" applyBorder="1"/>
    <xf numFmtId="44" fontId="3" fillId="2" borderId="1" xfId="2" applyFont="1" applyFill="1" applyBorder="1"/>
    <xf numFmtId="44" fontId="0" fillId="0" borderId="2" xfId="2" applyFont="1" applyBorder="1"/>
    <xf numFmtId="44" fontId="0" fillId="0" borderId="1" xfId="2" applyFont="1" applyBorder="1" applyAlignment="1">
      <alignment vertical="center" wrapText="1"/>
    </xf>
    <xf numFmtId="49" fontId="0" fillId="0" borderId="0" xfId="0" applyNumberFormat="1"/>
    <xf numFmtId="49" fontId="0" fillId="0" borderId="1" xfId="0" applyNumberFormat="1" applyBorder="1"/>
    <xf numFmtId="49" fontId="3" fillId="3" borderId="1" xfId="0" applyNumberFormat="1" applyFont="1" applyFill="1" applyBorder="1"/>
    <xf numFmtId="44" fontId="3" fillId="3" borderId="1" xfId="2" applyFont="1" applyFill="1" applyBorder="1"/>
    <xf numFmtId="44" fontId="0" fillId="0" borderId="0" xfId="2" applyFont="1"/>
    <xf numFmtId="165" fontId="0" fillId="0" borderId="1" xfId="0" applyNumberFormat="1" applyBorder="1"/>
    <xf numFmtId="0" fontId="3" fillId="3" borderId="1" xfId="0" applyFont="1" applyFill="1" applyBorder="1"/>
    <xf numFmtId="0" fontId="0" fillId="2" borderId="1" xfId="0" applyFont="1" applyFill="1" applyBorder="1"/>
    <xf numFmtId="0" fontId="2" fillId="0" borderId="1" xfId="0" applyFont="1" applyBorder="1"/>
    <xf numFmtId="49" fontId="2" fillId="0" borderId="1" xfId="0" applyNumberFormat="1" applyFont="1" applyBorder="1"/>
    <xf numFmtId="44" fontId="2" fillId="0" borderId="1" xfId="2" applyFont="1" applyBorder="1"/>
    <xf numFmtId="44" fontId="3" fillId="3" borderId="1" xfId="2" applyNumberFormat="1" applyFont="1" applyFill="1" applyBorder="1"/>
    <xf numFmtId="44" fontId="0" fillId="0" borderId="1" xfId="2" applyNumberFormat="1" applyFont="1" applyBorder="1"/>
    <xf numFmtId="44" fontId="2" fillId="0" borderId="1" xfId="2" applyNumberFormat="1" applyFont="1" applyBorder="1"/>
    <xf numFmtId="44" fontId="0" fillId="0" borderId="0" xfId="2" applyNumberFormat="1" applyFont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4" fontId="0" fillId="0" borderId="1" xfId="2" applyFont="1" applyFill="1" applyBorder="1"/>
    <xf numFmtId="0" fontId="0" fillId="0" borderId="1" xfId="0" applyFill="1" applyBorder="1"/>
    <xf numFmtId="10" fontId="0" fillId="0" borderId="1" xfId="0" applyNumberFormat="1" applyFill="1" applyBorder="1"/>
    <xf numFmtId="44" fontId="0" fillId="0" borderId="0" xfId="2" applyFont="1" applyFill="1" applyAlignment="1">
      <alignment vertical="center" wrapText="1"/>
    </xf>
    <xf numFmtId="8" fontId="0" fillId="0" borderId="1" xfId="2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C15" sqref="C15"/>
    </sheetView>
  </sheetViews>
  <sheetFormatPr defaultRowHeight="15" x14ac:dyDescent="0.25"/>
  <cols>
    <col min="1" max="1" width="19.7109375" bestFit="1" customWidth="1"/>
    <col min="2" max="2" width="26.5703125" bestFit="1" customWidth="1"/>
    <col min="3" max="3" width="53.5703125" bestFit="1" customWidth="1"/>
    <col min="4" max="4" width="28.140625" bestFit="1" customWidth="1"/>
    <col min="5" max="5" width="28.28515625" bestFit="1" customWidth="1"/>
    <col min="6" max="6" width="21.140625" bestFit="1" customWidth="1"/>
    <col min="7" max="7" width="35.140625" bestFit="1" customWidth="1"/>
    <col min="8" max="8" width="43.140625" bestFit="1" customWidth="1"/>
    <col min="9" max="9" width="9.7109375" bestFit="1" customWidth="1"/>
  </cols>
  <sheetData>
    <row r="1" spans="1:7" x14ac:dyDescent="0.25">
      <c r="A1" s="2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8"/>
      <c r="B2" s="2">
        <v>98.79</v>
      </c>
      <c r="C2" s="3">
        <v>203546.33</v>
      </c>
      <c r="D2" s="2">
        <v>1.21</v>
      </c>
      <c r="E2" s="4">
        <v>1583.7</v>
      </c>
      <c r="F2" s="2"/>
      <c r="G2" s="2" t="s">
        <v>7</v>
      </c>
    </row>
    <row r="3" spans="1:7" x14ac:dyDescent="0.25">
      <c r="A3" s="28" t="s">
        <v>48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5">
      <c r="A4" s="28"/>
      <c r="B4" s="37">
        <v>0.99029999999999996</v>
      </c>
      <c r="C4" s="38">
        <v>201498.43</v>
      </c>
      <c r="D4" s="36">
        <v>1.21</v>
      </c>
      <c r="E4" s="39">
        <v>267.26</v>
      </c>
      <c r="F4" s="36"/>
      <c r="G4" s="36" t="s">
        <v>52</v>
      </c>
    </row>
    <row r="5" spans="1:7" x14ac:dyDescent="0.25">
      <c r="A5" s="28" t="s">
        <v>8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s="28"/>
      <c r="B6" s="18">
        <v>90</v>
      </c>
      <c r="C6" s="5">
        <v>3369.23</v>
      </c>
      <c r="D6" s="18">
        <v>10</v>
      </c>
      <c r="E6" s="5">
        <v>-4.8899999999999997</v>
      </c>
      <c r="F6" s="2"/>
      <c r="G6" s="2" t="s">
        <v>9</v>
      </c>
    </row>
    <row r="7" spans="1:7" x14ac:dyDescent="0.25">
      <c r="A7" s="28" t="s">
        <v>10</v>
      </c>
      <c r="B7" s="1" t="s">
        <v>11</v>
      </c>
      <c r="C7" s="1" t="s">
        <v>12</v>
      </c>
      <c r="D7" s="1" t="s">
        <v>23</v>
      </c>
      <c r="E7" s="2"/>
      <c r="F7" s="2"/>
      <c r="G7" s="2"/>
    </row>
    <row r="8" spans="1:7" x14ac:dyDescent="0.25">
      <c r="A8" s="28"/>
      <c r="B8" s="6" t="s">
        <v>14</v>
      </c>
      <c r="C8" s="3">
        <v>108106.9</v>
      </c>
      <c r="D8" s="2"/>
      <c r="E8" s="2"/>
      <c r="F8" s="2"/>
      <c r="G8" s="2"/>
    </row>
    <row r="9" spans="1:7" x14ac:dyDescent="0.25">
      <c r="A9" s="28"/>
      <c r="B9" s="6" t="s">
        <v>13</v>
      </c>
      <c r="C9" s="3">
        <v>97023.13</v>
      </c>
      <c r="D9" s="2"/>
      <c r="E9" s="2"/>
      <c r="F9" s="2"/>
      <c r="G9" s="2"/>
    </row>
    <row r="10" spans="1:7" x14ac:dyDescent="0.25">
      <c r="A10" s="28" t="s">
        <v>15</v>
      </c>
      <c r="B10" s="1" t="s">
        <v>11</v>
      </c>
      <c r="C10" s="1" t="s">
        <v>12</v>
      </c>
      <c r="D10" s="2"/>
      <c r="E10" s="2"/>
      <c r="F10" s="2"/>
      <c r="G10" s="2"/>
    </row>
    <row r="11" spans="1:7" x14ac:dyDescent="0.25">
      <c r="A11" s="28"/>
      <c r="B11" s="6" t="s">
        <v>46</v>
      </c>
      <c r="C11" s="3">
        <v>7302.69</v>
      </c>
      <c r="D11" s="2"/>
      <c r="E11" s="2"/>
      <c r="F11" s="2"/>
      <c r="G11" s="2"/>
    </row>
    <row r="12" spans="1:7" x14ac:dyDescent="0.25">
      <c r="A12" s="28"/>
      <c r="B12" s="6" t="s">
        <v>47</v>
      </c>
      <c r="C12" s="3">
        <v>197827.34</v>
      </c>
      <c r="D12" s="2"/>
      <c r="E12" s="2"/>
      <c r="F12" s="2"/>
      <c r="G12" s="2"/>
    </row>
    <row r="13" spans="1:7" x14ac:dyDescent="0.25">
      <c r="A13" s="28" t="s">
        <v>16</v>
      </c>
      <c r="B13" s="1" t="s">
        <v>17</v>
      </c>
      <c r="C13" s="1" t="s">
        <v>18</v>
      </c>
      <c r="D13" s="2"/>
      <c r="E13" s="2"/>
      <c r="F13" s="2"/>
      <c r="G13" s="2"/>
    </row>
    <row r="14" spans="1:7" x14ac:dyDescent="0.25">
      <c r="A14" s="28"/>
      <c r="B14" s="7">
        <v>1355</v>
      </c>
      <c r="C14" s="2">
        <v>0</v>
      </c>
      <c r="D14" s="2"/>
      <c r="E14" s="2"/>
      <c r="F14" s="2"/>
      <c r="G14" s="2"/>
    </row>
    <row r="15" spans="1:7" x14ac:dyDescent="0.25">
      <c r="A15" s="28" t="s">
        <v>19</v>
      </c>
      <c r="B15" s="1" t="s">
        <v>17</v>
      </c>
      <c r="C15" s="1" t="s">
        <v>18</v>
      </c>
      <c r="D15" s="2"/>
      <c r="E15" s="2"/>
      <c r="F15" s="2"/>
      <c r="G15" s="2"/>
    </row>
    <row r="16" spans="1:7" x14ac:dyDescent="0.25">
      <c r="A16" s="28"/>
      <c r="B16" s="7">
        <v>1355</v>
      </c>
      <c r="C16" s="2">
        <v>0</v>
      </c>
      <c r="D16" s="2"/>
      <c r="E16" s="2"/>
      <c r="F16" s="2"/>
      <c r="G16" s="2"/>
    </row>
    <row r="17" spans="1:7" x14ac:dyDescent="0.25">
      <c r="A17" s="28" t="s">
        <v>20</v>
      </c>
      <c r="B17" s="1" t="s">
        <v>17</v>
      </c>
      <c r="C17" s="1" t="s">
        <v>18</v>
      </c>
      <c r="D17" s="2"/>
      <c r="E17" s="2"/>
      <c r="F17" s="2"/>
      <c r="G17" s="2"/>
    </row>
    <row r="18" spans="1:7" x14ac:dyDescent="0.25">
      <c r="A18" s="31"/>
      <c r="B18" s="8">
        <v>1355</v>
      </c>
      <c r="C18" s="9">
        <v>0</v>
      </c>
      <c r="D18" s="9"/>
      <c r="E18" s="9"/>
      <c r="F18" s="9"/>
      <c r="G18" s="9"/>
    </row>
    <row r="19" spans="1:7" x14ac:dyDescent="0.25">
      <c r="A19" s="28" t="s">
        <v>21</v>
      </c>
      <c r="B19" s="1" t="s">
        <v>22</v>
      </c>
      <c r="C19" s="1" t="s">
        <v>5</v>
      </c>
      <c r="D19" s="1" t="s">
        <v>23</v>
      </c>
    </row>
    <row r="20" spans="1:7" x14ac:dyDescent="0.25">
      <c r="A20" s="28"/>
      <c r="B20" s="3">
        <v>205130.03</v>
      </c>
      <c r="C20" s="2"/>
      <c r="D20" s="2"/>
    </row>
    <row r="21" spans="1:7" x14ac:dyDescent="0.25">
      <c r="A21" s="28" t="s">
        <v>24</v>
      </c>
      <c r="B21" s="10" t="s">
        <v>22</v>
      </c>
      <c r="C21" s="1" t="s">
        <v>5</v>
      </c>
      <c r="D21" s="1" t="s">
        <v>23</v>
      </c>
    </row>
    <row r="22" spans="1:7" x14ac:dyDescent="0.25">
      <c r="A22" s="28"/>
      <c r="B22" s="35">
        <v>225675.1</v>
      </c>
      <c r="C22" s="36" t="s">
        <v>53</v>
      </c>
      <c r="D22" s="2"/>
    </row>
    <row r="23" spans="1:7" x14ac:dyDescent="0.25">
      <c r="A23" s="32" t="s">
        <v>25</v>
      </c>
      <c r="B23" s="10" t="s">
        <v>22</v>
      </c>
      <c r="C23" s="1" t="s">
        <v>5</v>
      </c>
      <c r="D23" s="1" t="s">
        <v>23</v>
      </c>
    </row>
    <row r="24" spans="1:7" x14ac:dyDescent="0.25">
      <c r="A24" s="33"/>
      <c r="B24" s="11">
        <v>229804.97</v>
      </c>
      <c r="C24" s="9"/>
      <c r="D24" s="9"/>
    </row>
    <row r="25" spans="1:7" x14ac:dyDescent="0.25">
      <c r="A25" s="31" t="s">
        <v>26</v>
      </c>
      <c r="B25" s="10" t="s">
        <v>22</v>
      </c>
      <c r="C25" s="20"/>
      <c r="D25" s="1" t="s">
        <v>23</v>
      </c>
    </row>
    <row r="26" spans="1:7" x14ac:dyDescent="0.25">
      <c r="A26" s="34"/>
      <c r="B26" s="5">
        <v>13390.1</v>
      </c>
      <c r="C26" s="2"/>
      <c r="D26" s="2"/>
    </row>
    <row r="27" spans="1:7" x14ac:dyDescent="0.25">
      <c r="A27" s="31" t="s">
        <v>27</v>
      </c>
      <c r="B27" s="10" t="s">
        <v>22</v>
      </c>
      <c r="C27" s="1" t="s">
        <v>5</v>
      </c>
      <c r="D27" s="1" t="s">
        <v>23</v>
      </c>
    </row>
    <row r="28" spans="1:7" x14ac:dyDescent="0.25">
      <c r="A28" s="34"/>
      <c r="B28" s="5">
        <v>7154.97</v>
      </c>
      <c r="C28" s="2"/>
      <c r="D28" s="2"/>
    </row>
    <row r="29" spans="1:7" x14ac:dyDescent="0.25">
      <c r="A29" s="29" t="s">
        <v>28</v>
      </c>
      <c r="B29" s="10" t="s">
        <v>22</v>
      </c>
      <c r="C29" s="1" t="s">
        <v>5</v>
      </c>
      <c r="D29" s="1" t="s">
        <v>23</v>
      </c>
    </row>
    <row r="30" spans="1:7" x14ac:dyDescent="0.25">
      <c r="A30" s="30"/>
      <c r="B30" s="3">
        <v>13390.1</v>
      </c>
      <c r="C30" s="2"/>
      <c r="D30" s="2"/>
    </row>
    <row r="31" spans="1:7" x14ac:dyDescent="0.25">
      <c r="A31" s="28" t="s">
        <v>29</v>
      </c>
      <c r="B31" s="10" t="s">
        <v>22</v>
      </c>
      <c r="C31" s="1" t="s">
        <v>5</v>
      </c>
      <c r="D31" s="1" t="s">
        <v>23</v>
      </c>
    </row>
    <row r="32" spans="1:7" x14ac:dyDescent="0.25">
      <c r="A32" s="28"/>
      <c r="B32" s="3">
        <v>993.7</v>
      </c>
      <c r="C32" s="2"/>
      <c r="D32" s="2"/>
    </row>
    <row r="33" spans="1:4" x14ac:dyDescent="0.25">
      <c r="A33" s="28" t="s">
        <v>30</v>
      </c>
      <c r="B33" s="10" t="s">
        <v>22</v>
      </c>
      <c r="C33" s="1" t="s">
        <v>5</v>
      </c>
      <c r="D33" s="1" t="s">
        <v>23</v>
      </c>
    </row>
    <row r="34" spans="1:4" x14ac:dyDescent="0.25">
      <c r="A34" s="28"/>
      <c r="B34" s="12">
        <v>228709.66</v>
      </c>
      <c r="C34" s="2"/>
      <c r="D34" s="2"/>
    </row>
  </sheetData>
  <mergeCells count="16">
    <mergeCell ref="A29:A30"/>
    <mergeCell ref="A31:A32"/>
    <mergeCell ref="A33:A34"/>
    <mergeCell ref="A17:A18"/>
    <mergeCell ref="A19:A20"/>
    <mergeCell ref="A21:A22"/>
    <mergeCell ref="A23:A24"/>
    <mergeCell ref="A25:A26"/>
    <mergeCell ref="A27:A28"/>
    <mergeCell ref="A15:A16"/>
    <mergeCell ref="A3:A4"/>
    <mergeCell ref="A1:A2"/>
    <mergeCell ref="A5:A6"/>
    <mergeCell ref="A7:A9"/>
    <mergeCell ref="A10:A12"/>
    <mergeCell ref="A13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" sqref="B1:B1048576"/>
    </sheetView>
  </sheetViews>
  <sheetFormatPr defaultRowHeight="15" x14ac:dyDescent="0.25"/>
  <cols>
    <col min="1" max="1" width="12.7109375" bestFit="1" customWidth="1"/>
    <col min="2" max="2" width="9" style="27" bestFit="1" customWidth="1"/>
    <col min="3" max="3" width="12.85546875" bestFit="1" customWidth="1"/>
  </cols>
  <sheetData>
    <row r="1" spans="1:3" x14ac:dyDescent="0.25">
      <c r="A1" s="15" t="s">
        <v>44</v>
      </c>
      <c r="B1" s="24" t="s">
        <v>49</v>
      </c>
      <c r="C1" s="15" t="s">
        <v>50</v>
      </c>
    </row>
    <row r="2" spans="1:3" x14ac:dyDescent="0.25">
      <c r="A2" s="2">
        <v>1538523170</v>
      </c>
      <c r="B2" s="25">
        <v>-21.16</v>
      </c>
      <c r="C2" s="2">
        <v>2</v>
      </c>
    </row>
    <row r="3" spans="1:3" x14ac:dyDescent="0.25">
      <c r="A3" s="2">
        <v>1013361641</v>
      </c>
      <c r="B3" s="25">
        <v>0</v>
      </c>
      <c r="C3" s="2">
        <v>1</v>
      </c>
    </row>
    <row r="4" spans="1:3" x14ac:dyDescent="0.25">
      <c r="A4" s="2">
        <v>1326498387</v>
      </c>
      <c r="B4" s="25">
        <v>0</v>
      </c>
      <c r="C4" s="2">
        <v>1</v>
      </c>
    </row>
    <row r="5" spans="1:3" x14ac:dyDescent="0.25">
      <c r="A5" s="2">
        <v>1346604089</v>
      </c>
      <c r="B5" s="25">
        <v>0</v>
      </c>
      <c r="C5" s="2">
        <v>1</v>
      </c>
    </row>
    <row r="6" spans="1:3" x14ac:dyDescent="0.25">
      <c r="A6" s="2">
        <v>1104288703</v>
      </c>
      <c r="B6" s="25">
        <v>0</v>
      </c>
      <c r="C6" s="2">
        <v>1</v>
      </c>
    </row>
    <row r="7" spans="1:3" x14ac:dyDescent="0.25">
      <c r="A7" s="2">
        <v>1750741302</v>
      </c>
      <c r="B7" s="25">
        <v>3.8</v>
      </c>
      <c r="C7" s="2">
        <v>1</v>
      </c>
    </row>
    <row r="8" spans="1:3" x14ac:dyDescent="0.25">
      <c r="A8" s="2">
        <v>1316396708</v>
      </c>
      <c r="B8" s="25">
        <v>114.69</v>
      </c>
      <c r="C8" s="2">
        <v>3</v>
      </c>
    </row>
    <row r="9" spans="1:3" x14ac:dyDescent="0.25">
      <c r="A9" s="2">
        <v>1750742722</v>
      </c>
      <c r="B9" s="25">
        <v>169.93</v>
      </c>
      <c r="C9" s="2">
        <v>1</v>
      </c>
    </row>
    <row r="10" spans="1:3" x14ac:dyDescent="0.25">
      <c r="A10" s="21" t="s">
        <v>51</v>
      </c>
      <c r="B10" s="26">
        <f>SUM(B2:B9)</f>
        <v>267.26</v>
      </c>
      <c r="C10" s="21">
        <f>SUM(C2:C9)</f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workbookViewId="0">
      <selection activeCell="B8" sqref="B8"/>
    </sheetView>
  </sheetViews>
  <sheetFormatPr defaultRowHeight="15" x14ac:dyDescent="0.25"/>
  <cols>
    <col min="1" max="1" width="18.140625" style="13" bestFit="1" customWidth="1"/>
    <col min="2" max="2" width="12.7109375" style="17" bestFit="1" customWidth="1"/>
    <col min="3" max="16384" width="9.140625" style="13"/>
  </cols>
  <sheetData>
    <row r="1" spans="1:2" x14ac:dyDescent="0.25">
      <c r="A1" s="15" t="s">
        <v>31</v>
      </c>
      <c r="B1" s="16" t="s">
        <v>32</v>
      </c>
    </row>
    <row r="2" spans="1:2" x14ac:dyDescent="0.25">
      <c r="A2" s="14"/>
      <c r="B2" s="5" t="s">
        <v>33</v>
      </c>
    </row>
    <row r="3" spans="1:2" x14ac:dyDescent="0.25">
      <c r="A3" s="14" t="s">
        <v>34</v>
      </c>
      <c r="B3" s="5">
        <v>184.96</v>
      </c>
    </row>
    <row r="4" spans="1:2" x14ac:dyDescent="0.25">
      <c r="A4" s="14" t="s">
        <v>35</v>
      </c>
      <c r="B4" s="5">
        <v>243.15</v>
      </c>
    </row>
    <row r="5" spans="1:2" x14ac:dyDescent="0.25">
      <c r="A5" s="14" t="s">
        <v>36</v>
      </c>
      <c r="B5" s="5">
        <v>80.09</v>
      </c>
    </row>
    <row r="6" spans="1:2" x14ac:dyDescent="0.25">
      <c r="A6" s="14" t="s">
        <v>37</v>
      </c>
      <c r="B6" s="5">
        <v>499.2</v>
      </c>
    </row>
    <row r="7" spans="1:2" x14ac:dyDescent="0.25">
      <c r="A7" s="14" t="s">
        <v>38</v>
      </c>
      <c r="B7" s="5">
        <v>249.6</v>
      </c>
    </row>
    <row r="8" spans="1:2" x14ac:dyDescent="0.25">
      <c r="A8" s="14" t="s">
        <v>39</v>
      </c>
      <c r="B8" s="5">
        <v>19.190000000000001</v>
      </c>
    </row>
    <row r="9" spans="1:2" x14ac:dyDescent="0.25">
      <c r="A9" s="14" t="s">
        <v>40</v>
      </c>
      <c r="B9" s="5">
        <v>270.69</v>
      </c>
    </row>
    <row r="10" spans="1:2" x14ac:dyDescent="0.25">
      <c r="A10" s="14" t="s">
        <v>41</v>
      </c>
      <c r="B10" s="5">
        <v>22.79</v>
      </c>
    </row>
    <row r="11" spans="1:2" x14ac:dyDescent="0.25">
      <c r="A11" s="14" t="s">
        <v>42</v>
      </c>
      <c r="B11" s="5">
        <v>0</v>
      </c>
    </row>
    <row r="12" spans="1:2" x14ac:dyDescent="0.25">
      <c r="A12" s="14" t="s">
        <v>43</v>
      </c>
      <c r="B12" s="5">
        <v>14.03</v>
      </c>
    </row>
    <row r="13" spans="1:2" x14ac:dyDescent="0.25">
      <c r="A13" s="22" t="s">
        <v>51</v>
      </c>
      <c r="B13" s="23">
        <f>SUM(B3:B12)</f>
        <v>1583.7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showGridLines="0" workbookViewId="0">
      <selection activeCell="B1" sqref="B1"/>
    </sheetView>
  </sheetViews>
  <sheetFormatPr defaultRowHeight="15" x14ac:dyDescent="0.25"/>
  <cols>
    <col min="1" max="1" width="12.7109375" bestFit="1" customWidth="1"/>
    <col min="2" max="2" width="14.28515625" style="17" bestFit="1" customWidth="1"/>
  </cols>
  <sheetData>
    <row r="1" spans="1:2" x14ac:dyDescent="0.25">
      <c r="A1" s="19" t="s">
        <v>44</v>
      </c>
      <c r="B1" s="16" t="s">
        <v>32</v>
      </c>
    </row>
    <row r="2" spans="1:2" x14ac:dyDescent="0.25">
      <c r="A2" s="2" t="s">
        <v>45</v>
      </c>
      <c r="B2" s="5">
        <v>-4.8899999999999997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Pharmacy</vt:lpstr>
      <vt:lpstr>NPI_mismatch</vt:lpstr>
      <vt:lpstr>NDC_mismatch</vt:lpstr>
      <vt:lpstr>DEA_mismatch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diyshrestha</dc:creator>
  <cp:lastModifiedBy>diyshrestha</cp:lastModifiedBy>
  <dcterms:created xsi:type="dcterms:W3CDTF">2016-10-28T04:30:14Z</dcterms:created>
  <dcterms:modified xsi:type="dcterms:W3CDTF">2016-11-02T07:55:49Z</dcterms:modified>
</cp:coreProperties>
</file>