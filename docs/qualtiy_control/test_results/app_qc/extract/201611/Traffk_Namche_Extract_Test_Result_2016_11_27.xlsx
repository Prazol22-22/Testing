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 tabRatio="797"/>
  </bookViews>
  <sheets>
    <sheet name="Test_Summary" sheetId="3" r:id="rId1"/>
    <sheet name="File_Size_Comparision" sheetId="14" r:id="rId2"/>
    <sheet name="Care_Alerts" sheetId="18" r:id="rId3"/>
    <sheet name="Demographics" sheetId="15" r:id="rId4"/>
    <sheet name="Eligibility" sheetId="2" r:id="rId5"/>
    <sheet name="High_Cost" sheetId="16" r:id="rId6"/>
    <sheet name="Historical_Scores" sheetId="19" r:id="rId7"/>
    <sheet name="Medical_Claims" sheetId="7" r:id="rId8"/>
    <sheet name="Participation" sheetId="17" r:id="rId9"/>
    <sheet name="Member_PCP" sheetId="9" r:id="rId10"/>
    <sheet name="Pharmacy" sheetId="10" r:id="rId11"/>
    <sheet name="Quality_Metrics" sheetId="11" r:id="rId12"/>
    <sheet name="Scores" sheetId="12" r:id="rId13"/>
    <sheet name="Visit" sheetId="13" r:id="rId14"/>
  </sheets>
  <calcPr calcId="124519"/>
</workbook>
</file>

<file path=xl/calcChain.xml><?xml version="1.0" encoding="utf-8"?>
<calcChain xmlns="http://schemas.openxmlformats.org/spreadsheetml/2006/main">
  <c r="J26" i="19"/>
  <c r="I26"/>
  <c r="H26"/>
  <c r="J25"/>
  <c r="I25"/>
  <c r="H25"/>
  <c r="J24"/>
  <c r="I24"/>
  <c r="H24"/>
  <c r="J23"/>
  <c r="I23"/>
  <c r="H23"/>
  <c r="J22"/>
  <c r="I22"/>
  <c r="H22"/>
  <c r="J21"/>
  <c r="I21"/>
  <c r="H21"/>
  <c r="J20"/>
  <c r="I20"/>
  <c r="H20"/>
  <c r="J19"/>
  <c r="I19"/>
  <c r="H19"/>
  <c r="J18"/>
  <c r="I18"/>
  <c r="H18"/>
  <c r="J17"/>
  <c r="I17"/>
  <c r="H17"/>
  <c r="J16"/>
  <c r="I16"/>
  <c r="H16"/>
  <c r="J15"/>
  <c r="I15"/>
  <c r="H15"/>
  <c r="J14"/>
  <c r="I14"/>
  <c r="H14"/>
  <c r="J13"/>
  <c r="I13"/>
  <c r="H13"/>
  <c r="J12"/>
  <c r="I12"/>
  <c r="H12"/>
  <c r="J11"/>
  <c r="I11"/>
  <c r="H11"/>
  <c r="J10"/>
  <c r="I10"/>
  <c r="H10"/>
  <c r="M9"/>
  <c r="J9"/>
  <c r="I9"/>
  <c r="H9"/>
  <c r="M8"/>
  <c r="J8"/>
  <c r="I8"/>
  <c r="H8"/>
  <c r="J7"/>
  <c r="I7"/>
  <c r="H7"/>
  <c r="J6"/>
  <c r="I6"/>
  <c r="H6"/>
  <c r="J5"/>
  <c r="I5"/>
  <c r="H5"/>
  <c r="J4"/>
  <c r="I4"/>
  <c r="H4"/>
  <c r="N3"/>
  <c r="J3"/>
  <c r="I3"/>
  <c r="H3"/>
  <c r="J2"/>
  <c r="I2"/>
  <c r="H2"/>
  <c r="J19" i="18"/>
  <c r="I19"/>
  <c r="H19"/>
  <c r="J18"/>
  <c r="I18"/>
  <c r="H18"/>
  <c r="J17"/>
  <c r="I17"/>
  <c r="H17"/>
  <c r="J16"/>
  <c r="I16"/>
  <c r="H16"/>
  <c r="J15"/>
  <c r="I15"/>
  <c r="H15"/>
  <c r="J14"/>
  <c r="I14"/>
  <c r="H14"/>
  <c r="J13"/>
  <c r="I13"/>
  <c r="H13"/>
  <c r="J12"/>
  <c r="I12"/>
  <c r="H12"/>
  <c r="J11"/>
  <c r="I11"/>
  <c r="H11"/>
  <c r="J10"/>
  <c r="I10"/>
  <c r="H10"/>
  <c r="J9"/>
  <c r="I9"/>
  <c r="H9"/>
  <c r="M8"/>
  <c r="J8"/>
  <c r="I8"/>
  <c r="H8"/>
  <c r="M7"/>
  <c r="J7"/>
  <c r="I7"/>
  <c r="H7"/>
  <c r="J6"/>
  <c r="I6"/>
  <c r="H6"/>
  <c r="J5"/>
  <c r="I5"/>
  <c r="H5"/>
  <c r="J4"/>
  <c r="I4"/>
  <c r="H4"/>
  <c r="J3"/>
  <c r="I3"/>
  <c r="H3"/>
  <c r="N2"/>
  <c r="J2"/>
  <c r="I2"/>
  <c r="H2"/>
  <c r="G5" i="14"/>
  <c r="F7"/>
  <c r="G8"/>
  <c r="G9"/>
  <c r="G10"/>
  <c r="G12"/>
  <c r="G13"/>
  <c r="G14"/>
  <c r="G7"/>
  <c r="G11"/>
  <c r="G6"/>
  <c r="G3"/>
  <c r="F3"/>
  <c r="G6" i="19" l="1"/>
  <c r="G16"/>
  <c r="G2"/>
  <c r="G7"/>
  <c r="G21"/>
  <c r="G12"/>
  <c r="G20"/>
  <c r="G2" i="18"/>
  <c r="G3"/>
  <c r="G7"/>
  <c r="G8"/>
  <c r="G9"/>
  <c r="G13"/>
  <c r="G17"/>
  <c r="G4"/>
  <c r="G10"/>
  <c r="G14"/>
  <c r="G18"/>
  <c r="G13" i="19"/>
  <c r="G17"/>
  <c r="G3"/>
  <c r="G4"/>
  <c r="G8"/>
  <c r="G9"/>
  <c r="G10"/>
  <c r="G14"/>
  <c r="G18"/>
  <c r="G22"/>
  <c r="G5"/>
  <c r="G11"/>
  <c r="G15"/>
  <c r="G19"/>
  <c r="G23"/>
  <c r="G24"/>
  <c r="M7"/>
  <c r="G25" i="3" s="1"/>
  <c r="G26" i="19"/>
  <c r="G25"/>
  <c r="M6" i="18"/>
  <c r="G16" i="3" s="1"/>
  <c r="M5" i="18"/>
  <c r="G15" i="3" s="1"/>
  <c r="G5" i="18"/>
  <c r="G11"/>
  <c r="G15"/>
  <c r="G19"/>
  <c r="G6"/>
  <c r="G12"/>
  <c r="G16"/>
  <c r="M7" i="16"/>
  <c r="N2"/>
  <c r="N3" i="9"/>
  <c r="M8"/>
  <c r="M6" i="19" l="1"/>
  <c r="G24" i="3" s="1"/>
  <c r="N4" i="17"/>
  <c r="M10" s="1"/>
  <c r="N3"/>
  <c r="M9" s="1"/>
  <c r="G31" i="3" s="1"/>
  <c r="M7" i="15"/>
  <c r="N2"/>
  <c r="J11" i="17"/>
  <c r="J12"/>
  <c r="H11"/>
  <c r="H12"/>
  <c r="I11"/>
  <c r="I12"/>
  <c r="J10"/>
  <c r="I10"/>
  <c r="H10"/>
  <c r="J9"/>
  <c r="I9"/>
  <c r="H9"/>
  <c r="J8"/>
  <c r="I8"/>
  <c r="H8"/>
  <c r="J7"/>
  <c r="I7"/>
  <c r="H7"/>
  <c r="J6"/>
  <c r="I6"/>
  <c r="H6"/>
  <c r="J5"/>
  <c r="I5"/>
  <c r="H5"/>
  <c r="J4"/>
  <c r="I4"/>
  <c r="H4"/>
  <c r="J3"/>
  <c r="I3"/>
  <c r="H3"/>
  <c r="J2"/>
  <c r="I2"/>
  <c r="H2"/>
  <c r="H12" i="14"/>
  <c r="I12"/>
  <c r="H13"/>
  <c r="I13"/>
  <c r="H14"/>
  <c r="I14"/>
  <c r="J10" i="16"/>
  <c r="I10"/>
  <c r="H10"/>
  <c r="J9"/>
  <c r="I9"/>
  <c r="H9"/>
  <c r="J8"/>
  <c r="I8"/>
  <c r="H8"/>
  <c r="J7"/>
  <c r="I7"/>
  <c r="H7"/>
  <c r="J6"/>
  <c r="I6"/>
  <c r="H6"/>
  <c r="J5"/>
  <c r="I5"/>
  <c r="H5"/>
  <c r="J4"/>
  <c r="I4"/>
  <c r="H4"/>
  <c r="J3"/>
  <c r="I3"/>
  <c r="H3"/>
  <c r="J2"/>
  <c r="I2"/>
  <c r="H2"/>
  <c r="M8" i="17" l="1"/>
  <c r="G30" i="3" s="1"/>
  <c r="G11" i="17"/>
  <c r="G6" i="16"/>
  <c r="G12" i="17"/>
  <c r="G6"/>
  <c r="G10"/>
  <c r="G5"/>
  <c r="G9"/>
  <c r="M6" i="16"/>
  <c r="G23" i="3" s="1"/>
  <c r="G4" i="17"/>
  <c r="G8"/>
  <c r="G3"/>
  <c r="G2"/>
  <c r="G7"/>
  <c r="G3" i="16"/>
  <c r="G4"/>
  <c r="G5"/>
  <c r="G9"/>
  <c r="G10"/>
  <c r="G7"/>
  <c r="G2"/>
  <c r="G8"/>
  <c r="J27" i="15"/>
  <c r="I27"/>
  <c r="H27"/>
  <c r="J26"/>
  <c r="I26"/>
  <c r="H26"/>
  <c r="J25"/>
  <c r="I25"/>
  <c r="H25"/>
  <c r="J24"/>
  <c r="I24"/>
  <c r="H24"/>
  <c r="J23"/>
  <c r="I23"/>
  <c r="H23"/>
  <c r="J22"/>
  <c r="I22"/>
  <c r="H22"/>
  <c r="J21"/>
  <c r="I21"/>
  <c r="H21"/>
  <c r="J20"/>
  <c r="I20"/>
  <c r="H20"/>
  <c r="J19"/>
  <c r="I19"/>
  <c r="H19"/>
  <c r="J18"/>
  <c r="I18"/>
  <c r="H18"/>
  <c r="J17"/>
  <c r="I17"/>
  <c r="H17"/>
  <c r="J16"/>
  <c r="I16"/>
  <c r="H16"/>
  <c r="J15"/>
  <c r="I15"/>
  <c r="H15"/>
  <c r="J14"/>
  <c r="I14"/>
  <c r="H14"/>
  <c r="J13"/>
  <c r="I13"/>
  <c r="H13"/>
  <c r="J12"/>
  <c r="I12"/>
  <c r="H12"/>
  <c r="J11"/>
  <c r="I11"/>
  <c r="H11"/>
  <c r="J10"/>
  <c r="I10"/>
  <c r="H10"/>
  <c r="J9"/>
  <c r="I9"/>
  <c r="H9"/>
  <c r="J8"/>
  <c r="I8"/>
  <c r="H8"/>
  <c r="J7"/>
  <c r="I7"/>
  <c r="H7"/>
  <c r="J6"/>
  <c r="I6"/>
  <c r="H6"/>
  <c r="J5"/>
  <c r="I5"/>
  <c r="H5"/>
  <c r="J4"/>
  <c r="I4"/>
  <c r="H4"/>
  <c r="J3"/>
  <c r="I3"/>
  <c r="H3"/>
  <c r="J2"/>
  <c r="I2"/>
  <c r="H2"/>
  <c r="G9" l="1"/>
  <c r="G17"/>
  <c r="G25"/>
  <c r="G5"/>
  <c r="G13"/>
  <c r="G21"/>
  <c r="M7" i="17"/>
  <c r="G29" i="3" s="1"/>
  <c r="G7" i="15"/>
  <c r="M9" i="13"/>
  <c r="M6" i="15"/>
  <c r="G18" i="3" s="1"/>
  <c r="M5" i="16"/>
  <c r="G22" i="3" s="1"/>
  <c r="G12" i="15"/>
  <c r="G16"/>
  <c r="G20"/>
  <c r="G24"/>
  <c r="G10"/>
  <c r="G6"/>
  <c r="G11"/>
  <c r="G15"/>
  <c r="G19"/>
  <c r="G23"/>
  <c r="G27"/>
  <c r="G3"/>
  <c r="G4"/>
  <c r="G14"/>
  <c r="G18"/>
  <c r="G22"/>
  <c r="G26"/>
  <c r="G2"/>
  <c r="M5" s="1"/>
  <c r="G8"/>
  <c r="G17" i="3" l="1"/>
  <c r="N3" i="10"/>
  <c r="M9" s="1"/>
  <c r="N2"/>
  <c r="M8" s="1"/>
  <c r="G36" i="3" s="1"/>
  <c r="N3" i="7"/>
  <c r="M9" s="1"/>
  <c r="N2"/>
  <c r="M8" s="1"/>
  <c r="G28" i="3" s="1"/>
  <c r="N2" i="2"/>
  <c r="M8" s="1"/>
  <c r="G21" i="3" s="1"/>
  <c r="N3" i="2"/>
  <c r="M9" s="1"/>
  <c r="N3" i="13" l="1"/>
  <c r="M8" s="1"/>
  <c r="N3" i="12"/>
  <c r="M8" s="1"/>
  <c r="N3" i="11"/>
  <c r="M8" s="1"/>
  <c r="H26" i="10" l="1"/>
  <c r="H3" i="13" l="1"/>
  <c r="H4"/>
  <c r="H5"/>
  <c r="H6"/>
  <c r="H7"/>
  <c r="H8"/>
  <c r="H9"/>
  <c r="H10"/>
  <c r="H11"/>
  <c r="H12"/>
  <c r="H13"/>
  <c r="J13"/>
  <c r="I13"/>
  <c r="H3" i="7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J257"/>
  <c r="J258"/>
  <c r="J259"/>
  <c r="J260"/>
  <c r="J261"/>
  <c r="J262"/>
  <c r="J263"/>
  <c r="J264"/>
  <c r="J265"/>
  <c r="J266"/>
  <c r="J267"/>
  <c r="J268"/>
  <c r="J269"/>
  <c r="J270"/>
  <c r="J271"/>
  <c r="J272"/>
  <c r="J273"/>
  <c r="J274"/>
  <c r="J275"/>
  <c r="J27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J3" i="2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G74" s="1"/>
  <c r="I75"/>
  <c r="I76"/>
  <c r="G76" s="1"/>
  <c r="I77"/>
  <c r="I78"/>
  <c r="G78" s="1"/>
  <c r="I79"/>
  <c r="I80"/>
  <c r="G80" s="1"/>
  <c r="I81"/>
  <c r="G81" s="1"/>
  <c r="I82"/>
  <c r="G82" s="1"/>
  <c r="I83"/>
  <c r="I84"/>
  <c r="G84" s="1"/>
  <c r="I85"/>
  <c r="I86"/>
  <c r="G86" s="1"/>
  <c r="I87"/>
  <c r="I88"/>
  <c r="G88" s="1"/>
  <c r="I89"/>
  <c r="G89" s="1"/>
  <c r="I90"/>
  <c r="G90" s="1"/>
  <c r="I91"/>
  <c r="I92"/>
  <c r="G92" s="1"/>
  <c r="I93"/>
  <c r="I94"/>
  <c r="G75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3" i="10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I91"/>
  <c r="I92"/>
  <c r="H2" i="7"/>
  <c r="H2" i="13"/>
  <c r="H3" i="12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"/>
  <c r="H3" i="11"/>
  <c r="H4"/>
  <c r="H5"/>
  <c r="H6"/>
  <c r="H7"/>
  <c r="H8"/>
  <c r="H9"/>
  <c r="H10"/>
  <c r="H11"/>
  <c r="H12"/>
  <c r="H13"/>
  <c r="H14"/>
  <c r="H15"/>
  <c r="H2"/>
  <c r="H3" i="10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2"/>
  <c r="H3" i="9"/>
  <c r="H4"/>
  <c r="H5"/>
  <c r="H6"/>
  <c r="H7"/>
  <c r="H8"/>
  <c r="H9"/>
  <c r="H10"/>
  <c r="H2"/>
  <c r="H3" i="2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2"/>
  <c r="M7" i="13" l="1"/>
  <c r="G42" i="3" s="1"/>
  <c r="M7" i="12"/>
  <c r="G40" i="3" s="1"/>
  <c r="M7" i="11"/>
  <c r="M7" i="10"/>
  <c r="G35" i="3" s="1"/>
  <c r="M7" i="9"/>
  <c r="G33" i="3" s="1"/>
  <c r="M7" i="7"/>
  <c r="G27" i="3" s="1"/>
  <c r="M7" i="2"/>
  <c r="G20" i="3" s="1"/>
  <c r="G38"/>
  <c r="G274" i="7"/>
  <c r="G270"/>
  <c r="G266"/>
  <c r="G262"/>
  <c r="G258"/>
  <c r="G275"/>
  <c r="G271"/>
  <c r="G267"/>
  <c r="G263"/>
  <c r="G259"/>
  <c r="G276"/>
  <c r="G272"/>
  <c r="G268"/>
  <c r="G264"/>
  <c r="G260"/>
  <c r="G273"/>
  <c r="G269"/>
  <c r="G265"/>
  <c r="G261"/>
  <c r="G257"/>
  <c r="G85" i="2"/>
  <c r="G93"/>
  <c r="G77"/>
  <c r="G91"/>
  <c r="G87"/>
  <c r="G83"/>
  <c r="G79"/>
  <c r="G113" i="10"/>
  <c r="G109"/>
  <c r="G101"/>
  <c r="G97"/>
  <c r="G93"/>
  <c r="G108"/>
  <c r="G102"/>
  <c r="G98"/>
  <c r="G13" i="13"/>
  <c r="G112" i="10"/>
  <c r="G104"/>
  <c r="G100"/>
  <c r="G96"/>
  <c r="G105"/>
  <c r="G110"/>
  <c r="G106"/>
  <c r="G94"/>
  <c r="G94" i="2"/>
  <c r="G111" i="10"/>
  <c r="G107"/>
  <c r="G103"/>
  <c r="G99"/>
  <c r="G95"/>
  <c r="I3" i="13" l="1"/>
  <c r="J3"/>
  <c r="G3" s="1"/>
  <c r="I4"/>
  <c r="J4"/>
  <c r="I5"/>
  <c r="J5"/>
  <c r="G5" s="1"/>
  <c r="I6"/>
  <c r="J6"/>
  <c r="I7"/>
  <c r="J7"/>
  <c r="G7" s="1"/>
  <c r="I8"/>
  <c r="J8"/>
  <c r="I9"/>
  <c r="J9"/>
  <c r="G9" s="1"/>
  <c r="I10"/>
  <c r="J10"/>
  <c r="I11"/>
  <c r="J11"/>
  <c r="G11" s="1"/>
  <c r="I12"/>
  <c r="J12"/>
  <c r="J2"/>
  <c r="I2"/>
  <c r="I3" i="12"/>
  <c r="J3"/>
  <c r="I4"/>
  <c r="J4"/>
  <c r="I5"/>
  <c r="J5"/>
  <c r="I6"/>
  <c r="J6"/>
  <c r="I7"/>
  <c r="J7"/>
  <c r="I8"/>
  <c r="J8"/>
  <c r="I9"/>
  <c r="J9"/>
  <c r="I10"/>
  <c r="J10"/>
  <c r="I11"/>
  <c r="J11"/>
  <c r="I12"/>
  <c r="J12"/>
  <c r="I13"/>
  <c r="J13"/>
  <c r="I14"/>
  <c r="J14"/>
  <c r="I15"/>
  <c r="J15"/>
  <c r="I16"/>
  <c r="J16"/>
  <c r="I17"/>
  <c r="J17"/>
  <c r="I18"/>
  <c r="J18"/>
  <c r="I19"/>
  <c r="J19"/>
  <c r="I20"/>
  <c r="J20"/>
  <c r="I21"/>
  <c r="J21"/>
  <c r="I22"/>
  <c r="J22"/>
  <c r="I23"/>
  <c r="J23"/>
  <c r="I24"/>
  <c r="J24"/>
  <c r="I25"/>
  <c r="J25"/>
  <c r="I26"/>
  <c r="J26"/>
  <c r="J2"/>
  <c r="I2"/>
  <c r="I3" i="11"/>
  <c r="J3"/>
  <c r="I4"/>
  <c r="J4"/>
  <c r="I5"/>
  <c r="J5"/>
  <c r="I6"/>
  <c r="J6"/>
  <c r="I7"/>
  <c r="J7"/>
  <c r="I8"/>
  <c r="J8"/>
  <c r="I9"/>
  <c r="J9"/>
  <c r="I10"/>
  <c r="J10"/>
  <c r="I11"/>
  <c r="J11"/>
  <c r="I12"/>
  <c r="J12"/>
  <c r="I13"/>
  <c r="J13"/>
  <c r="I14"/>
  <c r="J14"/>
  <c r="I15"/>
  <c r="J15"/>
  <c r="J2"/>
  <c r="I2"/>
  <c r="I3" i="10"/>
  <c r="J3"/>
  <c r="I4"/>
  <c r="J4"/>
  <c r="I5"/>
  <c r="J5"/>
  <c r="I6"/>
  <c r="J6"/>
  <c r="I7"/>
  <c r="J7"/>
  <c r="I8"/>
  <c r="J8"/>
  <c r="I9"/>
  <c r="J9"/>
  <c r="I10"/>
  <c r="J10"/>
  <c r="I11"/>
  <c r="J11"/>
  <c r="I12"/>
  <c r="J12"/>
  <c r="I13"/>
  <c r="J13"/>
  <c r="I14"/>
  <c r="J14"/>
  <c r="I15"/>
  <c r="J15"/>
  <c r="I16"/>
  <c r="J16"/>
  <c r="I17"/>
  <c r="J17"/>
  <c r="I18"/>
  <c r="J18"/>
  <c r="I19"/>
  <c r="J19"/>
  <c r="I20"/>
  <c r="J20"/>
  <c r="I21"/>
  <c r="J21"/>
  <c r="I22"/>
  <c r="J22"/>
  <c r="I23"/>
  <c r="J23"/>
  <c r="I24"/>
  <c r="J24"/>
  <c r="I25"/>
  <c r="J25"/>
  <c r="I26"/>
  <c r="J26"/>
  <c r="I27"/>
  <c r="J27"/>
  <c r="I28"/>
  <c r="J28"/>
  <c r="I29"/>
  <c r="J29"/>
  <c r="I30"/>
  <c r="J30"/>
  <c r="I31"/>
  <c r="J31"/>
  <c r="I32"/>
  <c r="J32"/>
  <c r="I33"/>
  <c r="J33"/>
  <c r="I34"/>
  <c r="J34"/>
  <c r="I35"/>
  <c r="J35"/>
  <c r="I36"/>
  <c r="J36"/>
  <c r="I37"/>
  <c r="J37"/>
  <c r="I38"/>
  <c r="J38"/>
  <c r="I39"/>
  <c r="J39"/>
  <c r="I40"/>
  <c r="J40"/>
  <c r="I41"/>
  <c r="J41"/>
  <c r="I42"/>
  <c r="J42"/>
  <c r="I43"/>
  <c r="J43"/>
  <c r="I44"/>
  <c r="J44"/>
  <c r="I45"/>
  <c r="J45"/>
  <c r="I46"/>
  <c r="J46"/>
  <c r="I47"/>
  <c r="J47"/>
  <c r="I48"/>
  <c r="J48"/>
  <c r="I49"/>
  <c r="J49"/>
  <c r="I50"/>
  <c r="J50"/>
  <c r="I51"/>
  <c r="J51"/>
  <c r="I52"/>
  <c r="J52"/>
  <c r="I53"/>
  <c r="J53"/>
  <c r="I54"/>
  <c r="J54"/>
  <c r="I55"/>
  <c r="J55"/>
  <c r="I56"/>
  <c r="J56"/>
  <c r="I57"/>
  <c r="J57"/>
  <c r="I58"/>
  <c r="J58"/>
  <c r="I59"/>
  <c r="J59"/>
  <c r="I60"/>
  <c r="J60"/>
  <c r="I61"/>
  <c r="J61"/>
  <c r="I62"/>
  <c r="J62"/>
  <c r="I63"/>
  <c r="J63"/>
  <c r="I64"/>
  <c r="J64"/>
  <c r="I65"/>
  <c r="J65"/>
  <c r="I66"/>
  <c r="J66"/>
  <c r="I67"/>
  <c r="J67"/>
  <c r="I68"/>
  <c r="J68"/>
  <c r="I69"/>
  <c r="J69"/>
  <c r="I70"/>
  <c r="J70"/>
  <c r="I71"/>
  <c r="J71"/>
  <c r="I72"/>
  <c r="J72"/>
  <c r="I73"/>
  <c r="J73"/>
  <c r="I74"/>
  <c r="J74"/>
  <c r="I75"/>
  <c r="J75"/>
  <c r="I76"/>
  <c r="J76"/>
  <c r="I77"/>
  <c r="J77"/>
  <c r="I78"/>
  <c r="J78"/>
  <c r="I79"/>
  <c r="J79"/>
  <c r="I80"/>
  <c r="J80"/>
  <c r="I81"/>
  <c r="J81"/>
  <c r="I82"/>
  <c r="J82"/>
  <c r="I83"/>
  <c r="J83"/>
  <c r="I84"/>
  <c r="J84"/>
  <c r="I85"/>
  <c r="J85"/>
  <c r="I86"/>
  <c r="J86"/>
  <c r="I87"/>
  <c r="J87"/>
  <c r="I88"/>
  <c r="J88"/>
  <c r="I89"/>
  <c r="J89"/>
  <c r="I90"/>
  <c r="J90"/>
  <c r="J91"/>
  <c r="J92"/>
  <c r="J2"/>
  <c r="I2"/>
  <c r="I3" i="9"/>
  <c r="J3"/>
  <c r="I4"/>
  <c r="J4"/>
  <c r="I5"/>
  <c r="J5"/>
  <c r="I6"/>
  <c r="J6"/>
  <c r="I7"/>
  <c r="J7"/>
  <c r="I8"/>
  <c r="J8"/>
  <c r="I9"/>
  <c r="J9"/>
  <c r="I10"/>
  <c r="J10"/>
  <c r="J2"/>
  <c r="I2"/>
  <c r="I3" i="7"/>
  <c r="J3"/>
  <c r="I4"/>
  <c r="J4"/>
  <c r="I5"/>
  <c r="J5"/>
  <c r="I6"/>
  <c r="J6"/>
  <c r="I7"/>
  <c r="J7"/>
  <c r="I8"/>
  <c r="J8"/>
  <c r="I9"/>
  <c r="J9"/>
  <c r="I10"/>
  <c r="J10"/>
  <c r="I11"/>
  <c r="J11"/>
  <c r="I12"/>
  <c r="J12"/>
  <c r="I13"/>
  <c r="J13"/>
  <c r="I14"/>
  <c r="J14"/>
  <c r="I15"/>
  <c r="J15"/>
  <c r="I16"/>
  <c r="J16"/>
  <c r="I17"/>
  <c r="J17"/>
  <c r="I18"/>
  <c r="J18"/>
  <c r="I19"/>
  <c r="J19"/>
  <c r="I20"/>
  <c r="J20"/>
  <c r="I21"/>
  <c r="J21"/>
  <c r="I22"/>
  <c r="J22"/>
  <c r="I23"/>
  <c r="J23"/>
  <c r="I24"/>
  <c r="J24"/>
  <c r="I25"/>
  <c r="J25"/>
  <c r="I26"/>
  <c r="J26"/>
  <c r="I27"/>
  <c r="J27"/>
  <c r="I28"/>
  <c r="J28"/>
  <c r="I29"/>
  <c r="J29"/>
  <c r="I30"/>
  <c r="J30"/>
  <c r="I31"/>
  <c r="J31"/>
  <c r="I32"/>
  <c r="J32"/>
  <c r="I33"/>
  <c r="J33"/>
  <c r="I34"/>
  <c r="J34"/>
  <c r="I35"/>
  <c r="J35"/>
  <c r="I36"/>
  <c r="J36"/>
  <c r="I37"/>
  <c r="J37"/>
  <c r="I38"/>
  <c r="J38"/>
  <c r="I39"/>
  <c r="J39"/>
  <c r="I40"/>
  <c r="J40"/>
  <c r="I41"/>
  <c r="J41"/>
  <c r="I42"/>
  <c r="J42"/>
  <c r="I43"/>
  <c r="J43"/>
  <c r="I44"/>
  <c r="J44"/>
  <c r="I45"/>
  <c r="J45"/>
  <c r="I46"/>
  <c r="J46"/>
  <c r="I47"/>
  <c r="J47"/>
  <c r="I48"/>
  <c r="J48"/>
  <c r="I49"/>
  <c r="J49"/>
  <c r="I50"/>
  <c r="J50"/>
  <c r="I51"/>
  <c r="J51"/>
  <c r="I52"/>
  <c r="J52"/>
  <c r="I53"/>
  <c r="J53"/>
  <c r="I54"/>
  <c r="J54"/>
  <c r="I55"/>
  <c r="J55"/>
  <c r="I56"/>
  <c r="J56"/>
  <c r="I57"/>
  <c r="J57"/>
  <c r="I58"/>
  <c r="J58"/>
  <c r="I59"/>
  <c r="J59"/>
  <c r="I60"/>
  <c r="J60"/>
  <c r="I61"/>
  <c r="J61"/>
  <c r="I62"/>
  <c r="J62"/>
  <c r="I63"/>
  <c r="J63"/>
  <c r="I64"/>
  <c r="J64"/>
  <c r="I65"/>
  <c r="J65"/>
  <c r="I66"/>
  <c r="J66"/>
  <c r="I67"/>
  <c r="J67"/>
  <c r="I68"/>
  <c r="J68"/>
  <c r="I69"/>
  <c r="J69"/>
  <c r="I70"/>
  <c r="J70"/>
  <c r="I71"/>
  <c r="J71"/>
  <c r="I72"/>
  <c r="J72"/>
  <c r="I73"/>
  <c r="J73"/>
  <c r="I74"/>
  <c r="J74"/>
  <c r="I75"/>
  <c r="J75"/>
  <c r="I76"/>
  <c r="J76"/>
  <c r="I77"/>
  <c r="J77"/>
  <c r="I78"/>
  <c r="J78"/>
  <c r="I79"/>
  <c r="J79"/>
  <c r="I80"/>
  <c r="J80"/>
  <c r="I81"/>
  <c r="J81"/>
  <c r="I82"/>
  <c r="J82"/>
  <c r="I83"/>
  <c r="J83"/>
  <c r="I84"/>
  <c r="J84"/>
  <c r="I85"/>
  <c r="J85"/>
  <c r="I86"/>
  <c r="J86"/>
  <c r="I87"/>
  <c r="J87"/>
  <c r="I88"/>
  <c r="J88"/>
  <c r="I89"/>
  <c r="J89"/>
  <c r="I90"/>
  <c r="J90"/>
  <c r="I91"/>
  <c r="J91"/>
  <c r="I92"/>
  <c r="J92"/>
  <c r="I93"/>
  <c r="J93"/>
  <c r="I94"/>
  <c r="J94"/>
  <c r="I95"/>
  <c r="J95"/>
  <c r="I96"/>
  <c r="J96"/>
  <c r="I97"/>
  <c r="J97"/>
  <c r="I98"/>
  <c r="J98"/>
  <c r="I99"/>
  <c r="J99"/>
  <c r="I100"/>
  <c r="J100"/>
  <c r="I101"/>
  <c r="J101"/>
  <c r="I102"/>
  <c r="J102"/>
  <c r="I103"/>
  <c r="J103"/>
  <c r="I104"/>
  <c r="J104"/>
  <c r="I105"/>
  <c r="J105"/>
  <c r="I106"/>
  <c r="J106"/>
  <c r="I107"/>
  <c r="J107"/>
  <c r="I108"/>
  <c r="J108"/>
  <c r="I109"/>
  <c r="J109"/>
  <c r="I110"/>
  <c r="J110"/>
  <c r="I111"/>
  <c r="J111"/>
  <c r="I112"/>
  <c r="J112"/>
  <c r="I113"/>
  <c r="J113"/>
  <c r="I114"/>
  <c r="J114"/>
  <c r="I115"/>
  <c r="J115"/>
  <c r="I116"/>
  <c r="J116"/>
  <c r="I117"/>
  <c r="J117"/>
  <c r="I118"/>
  <c r="J118"/>
  <c r="I119"/>
  <c r="J119"/>
  <c r="I120"/>
  <c r="J120"/>
  <c r="I121"/>
  <c r="J121"/>
  <c r="I122"/>
  <c r="J122"/>
  <c r="I123"/>
  <c r="J123"/>
  <c r="I124"/>
  <c r="J124"/>
  <c r="I125"/>
  <c r="J125"/>
  <c r="I126"/>
  <c r="J126"/>
  <c r="I127"/>
  <c r="J127"/>
  <c r="I128"/>
  <c r="J128"/>
  <c r="I129"/>
  <c r="J129"/>
  <c r="I130"/>
  <c r="J130"/>
  <c r="I131"/>
  <c r="J131"/>
  <c r="I132"/>
  <c r="J132"/>
  <c r="I133"/>
  <c r="J133"/>
  <c r="I134"/>
  <c r="J134"/>
  <c r="I135"/>
  <c r="J135"/>
  <c r="I136"/>
  <c r="J136"/>
  <c r="I137"/>
  <c r="J137"/>
  <c r="I138"/>
  <c r="J138"/>
  <c r="I139"/>
  <c r="J139"/>
  <c r="I140"/>
  <c r="J140"/>
  <c r="I141"/>
  <c r="J141"/>
  <c r="I142"/>
  <c r="J142"/>
  <c r="I143"/>
  <c r="J143"/>
  <c r="I144"/>
  <c r="J144"/>
  <c r="I145"/>
  <c r="J145"/>
  <c r="I146"/>
  <c r="J146"/>
  <c r="I147"/>
  <c r="J147"/>
  <c r="I148"/>
  <c r="J148"/>
  <c r="I149"/>
  <c r="J149"/>
  <c r="I150"/>
  <c r="J150"/>
  <c r="I151"/>
  <c r="J151"/>
  <c r="I152"/>
  <c r="J152"/>
  <c r="I153"/>
  <c r="J153"/>
  <c r="I154"/>
  <c r="J154"/>
  <c r="I155"/>
  <c r="J155"/>
  <c r="I156"/>
  <c r="J156"/>
  <c r="I157"/>
  <c r="J157"/>
  <c r="I158"/>
  <c r="J158"/>
  <c r="I159"/>
  <c r="J159"/>
  <c r="I160"/>
  <c r="J160"/>
  <c r="I161"/>
  <c r="J161"/>
  <c r="I162"/>
  <c r="J162"/>
  <c r="I163"/>
  <c r="J163"/>
  <c r="I164"/>
  <c r="J164"/>
  <c r="I165"/>
  <c r="J165"/>
  <c r="I166"/>
  <c r="J166"/>
  <c r="I167"/>
  <c r="J167"/>
  <c r="I168"/>
  <c r="J168"/>
  <c r="I169"/>
  <c r="J169"/>
  <c r="I170"/>
  <c r="J170"/>
  <c r="I171"/>
  <c r="J171"/>
  <c r="I172"/>
  <c r="J172"/>
  <c r="I173"/>
  <c r="J173"/>
  <c r="I174"/>
  <c r="J174"/>
  <c r="I175"/>
  <c r="J175"/>
  <c r="I176"/>
  <c r="J176"/>
  <c r="I177"/>
  <c r="J177"/>
  <c r="I178"/>
  <c r="J178"/>
  <c r="I179"/>
  <c r="J179"/>
  <c r="I180"/>
  <c r="J180"/>
  <c r="I181"/>
  <c r="J181"/>
  <c r="I182"/>
  <c r="J182"/>
  <c r="I183"/>
  <c r="J183"/>
  <c r="I184"/>
  <c r="J184"/>
  <c r="I185"/>
  <c r="J185"/>
  <c r="I186"/>
  <c r="J186"/>
  <c r="I187"/>
  <c r="J187"/>
  <c r="I188"/>
  <c r="J188"/>
  <c r="I189"/>
  <c r="J189"/>
  <c r="I190"/>
  <c r="J190"/>
  <c r="I191"/>
  <c r="J191"/>
  <c r="I192"/>
  <c r="J192"/>
  <c r="I193"/>
  <c r="J193"/>
  <c r="I194"/>
  <c r="J194"/>
  <c r="I195"/>
  <c r="J195"/>
  <c r="I196"/>
  <c r="J196"/>
  <c r="I197"/>
  <c r="J197"/>
  <c r="I198"/>
  <c r="J198"/>
  <c r="I199"/>
  <c r="J199"/>
  <c r="I200"/>
  <c r="J200"/>
  <c r="I201"/>
  <c r="J201"/>
  <c r="I202"/>
  <c r="J202"/>
  <c r="I203"/>
  <c r="J203"/>
  <c r="I204"/>
  <c r="J204"/>
  <c r="I205"/>
  <c r="J205"/>
  <c r="I206"/>
  <c r="J206"/>
  <c r="I207"/>
  <c r="J207"/>
  <c r="I208"/>
  <c r="J208"/>
  <c r="I209"/>
  <c r="J209"/>
  <c r="I210"/>
  <c r="J210"/>
  <c r="I211"/>
  <c r="J211"/>
  <c r="I212"/>
  <c r="J212"/>
  <c r="I213"/>
  <c r="J213"/>
  <c r="I214"/>
  <c r="J214"/>
  <c r="I215"/>
  <c r="J215"/>
  <c r="I216"/>
  <c r="J216"/>
  <c r="I217"/>
  <c r="J217"/>
  <c r="I218"/>
  <c r="J218"/>
  <c r="I219"/>
  <c r="J219"/>
  <c r="I220"/>
  <c r="J220"/>
  <c r="I221"/>
  <c r="J221"/>
  <c r="I222"/>
  <c r="J222"/>
  <c r="I223"/>
  <c r="J223"/>
  <c r="I224"/>
  <c r="J224"/>
  <c r="I225"/>
  <c r="J225"/>
  <c r="I226"/>
  <c r="J226"/>
  <c r="I227"/>
  <c r="J227"/>
  <c r="I228"/>
  <c r="J228"/>
  <c r="I229"/>
  <c r="J229"/>
  <c r="I230"/>
  <c r="J230"/>
  <c r="I231"/>
  <c r="J231"/>
  <c r="I232"/>
  <c r="J232"/>
  <c r="I233"/>
  <c r="J233"/>
  <c r="I234"/>
  <c r="J234"/>
  <c r="I235"/>
  <c r="J235"/>
  <c r="I236"/>
  <c r="J236"/>
  <c r="I237"/>
  <c r="J237"/>
  <c r="I238"/>
  <c r="J238"/>
  <c r="I239"/>
  <c r="J239"/>
  <c r="I240"/>
  <c r="J240"/>
  <c r="I241"/>
  <c r="J241"/>
  <c r="I242"/>
  <c r="J242"/>
  <c r="I243"/>
  <c r="J243"/>
  <c r="I244"/>
  <c r="J244"/>
  <c r="I245"/>
  <c r="J245"/>
  <c r="I246"/>
  <c r="J246"/>
  <c r="I247"/>
  <c r="J247"/>
  <c r="I248"/>
  <c r="J248"/>
  <c r="I249"/>
  <c r="J249"/>
  <c r="I250"/>
  <c r="J250"/>
  <c r="I251"/>
  <c r="J251"/>
  <c r="I252"/>
  <c r="J252"/>
  <c r="I253"/>
  <c r="J253"/>
  <c r="I254"/>
  <c r="J254"/>
  <c r="I255"/>
  <c r="J255"/>
  <c r="I256"/>
  <c r="J256"/>
  <c r="J2"/>
  <c r="I2"/>
  <c r="J2" i="2"/>
  <c r="I2"/>
  <c r="I5" i="14"/>
  <c r="I6"/>
  <c r="I8"/>
  <c r="I9"/>
  <c r="I10"/>
  <c r="I11"/>
  <c r="I4"/>
  <c r="H5"/>
  <c r="H6"/>
  <c r="H8"/>
  <c r="H9"/>
  <c r="H10"/>
  <c r="H11"/>
  <c r="H4"/>
  <c r="G4" s="1"/>
  <c r="M10" i="7" l="1"/>
  <c r="G12" i="13"/>
  <c r="G10"/>
  <c r="G8"/>
  <c r="G6"/>
  <c r="G4"/>
  <c r="G256" i="7"/>
  <c r="G254"/>
  <c r="G252"/>
  <c r="G250"/>
  <c r="G248"/>
  <c r="G246"/>
  <c r="G244"/>
  <c r="G242"/>
  <c r="G240"/>
  <c r="G238"/>
  <c r="G236"/>
  <c r="G234"/>
  <c r="G232"/>
  <c r="G230"/>
  <c r="G228"/>
  <c r="G226"/>
  <c r="G224"/>
  <c r="G222"/>
  <c r="G220"/>
  <c r="G218"/>
  <c r="G216"/>
  <c r="G214"/>
  <c r="G212"/>
  <c r="G210"/>
  <c r="G208"/>
  <c r="G206"/>
  <c r="G204"/>
  <c r="G202"/>
  <c r="G200"/>
  <c r="G198"/>
  <c r="G196"/>
  <c r="G194"/>
  <c r="G192"/>
  <c r="G190"/>
  <c r="G188"/>
  <c r="G186"/>
  <c r="G184"/>
  <c r="G182"/>
  <c r="G180"/>
  <c r="G178"/>
  <c r="G176"/>
  <c r="G174"/>
  <c r="G172"/>
  <c r="G170"/>
  <c r="G168"/>
  <c r="G166"/>
  <c r="G164"/>
  <c r="G162"/>
  <c r="G160"/>
  <c r="G158"/>
  <c r="G156"/>
  <c r="G154"/>
  <c r="G152"/>
  <c r="G150"/>
  <c r="G148"/>
  <c r="G146"/>
  <c r="G144"/>
  <c r="G142"/>
  <c r="G140"/>
  <c r="G138"/>
  <c r="G136"/>
  <c r="G134"/>
  <c r="G132"/>
  <c r="G130"/>
  <c r="G128"/>
  <c r="G126"/>
  <c r="G124"/>
  <c r="G122"/>
  <c r="G120"/>
  <c r="G118"/>
  <c r="G116"/>
  <c r="G114"/>
  <c r="G112"/>
  <c r="G110"/>
  <c r="G108"/>
  <c r="G106"/>
  <c r="G104"/>
  <c r="G102"/>
  <c r="G100"/>
  <c r="G98"/>
  <c r="G96"/>
  <c r="G94"/>
  <c r="G92"/>
  <c r="G90"/>
  <c r="G88"/>
  <c r="G86"/>
  <c r="G84"/>
  <c r="G82"/>
  <c r="G80"/>
  <c r="G78"/>
  <c r="G76"/>
  <c r="G74"/>
  <c r="G72"/>
  <c r="G70"/>
  <c r="G68"/>
  <c r="G66"/>
  <c r="G64"/>
  <c r="G62"/>
  <c r="G60"/>
  <c r="G58"/>
  <c r="G56"/>
  <c r="G54"/>
  <c r="G52"/>
  <c r="G50"/>
  <c r="G48"/>
  <c r="G46"/>
  <c r="G44"/>
  <c r="G42"/>
  <c r="G40"/>
  <c r="G38"/>
  <c r="G36"/>
  <c r="G34"/>
  <c r="G32"/>
  <c r="G30"/>
  <c r="G28"/>
  <c r="G26"/>
  <c r="G24"/>
  <c r="G22"/>
  <c r="G20"/>
  <c r="G18"/>
  <c r="G16"/>
  <c r="G14"/>
  <c r="G12"/>
  <c r="G10"/>
  <c r="G8"/>
  <c r="G6"/>
  <c r="G4"/>
  <c r="G255"/>
  <c r="G253"/>
  <c r="G251"/>
  <c r="G249"/>
  <c r="G247"/>
  <c r="G245"/>
  <c r="G243"/>
  <c r="G241"/>
  <c r="G239"/>
  <c r="G237"/>
  <c r="G235"/>
  <c r="G233"/>
  <c r="G231"/>
  <c r="G229"/>
  <c r="G227"/>
  <c r="G225"/>
  <c r="G223"/>
  <c r="G221"/>
  <c r="G219"/>
  <c r="G217"/>
  <c r="G215"/>
  <c r="G213"/>
  <c r="G211"/>
  <c r="G209"/>
  <c r="G207"/>
  <c r="G205"/>
  <c r="G203"/>
  <c r="G201"/>
  <c r="G199"/>
  <c r="G197"/>
  <c r="G195"/>
  <c r="G193"/>
  <c r="G191"/>
  <c r="G189"/>
  <c r="G187"/>
  <c r="G185"/>
  <c r="G183"/>
  <c r="G181"/>
  <c r="G179"/>
  <c r="G177"/>
  <c r="G175"/>
  <c r="G173"/>
  <c r="G171"/>
  <c r="G169"/>
  <c r="G167"/>
  <c r="G165"/>
  <c r="G163"/>
  <c r="G161"/>
  <c r="G159"/>
  <c r="G157"/>
  <c r="G155"/>
  <c r="G153"/>
  <c r="G151"/>
  <c r="G149"/>
  <c r="G147"/>
  <c r="G145"/>
  <c r="G143"/>
  <c r="G141"/>
  <c r="G139"/>
  <c r="G137"/>
  <c r="G135"/>
  <c r="G133"/>
  <c r="G131"/>
  <c r="G129"/>
  <c r="G127"/>
  <c r="G125"/>
  <c r="G123"/>
  <c r="G121"/>
  <c r="G119"/>
  <c r="G117"/>
  <c r="G115"/>
  <c r="G113"/>
  <c r="G111"/>
  <c r="G109"/>
  <c r="G107"/>
  <c r="G105"/>
  <c r="G103"/>
  <c r="G101"/>
  <c r="G99"/>
  <c r="G97"/>
  <c r="G95"/>
  <c r="G93"/>
  <c r="G91"/>
  <c r="G89"/>
  <c r="G87"/>
  <c r="G85"/>
  <c r="G83"/>
  <c r="G81"/>
  <c r="G79"/>
  <c r="G77"/>
  <c r="G75"/>
  <c r="G73"/>
  <c r="G71"/>
  <c r="G69"/>
  <c r="G67"/>
  <c r="G65"/>
  <c r="G63"/>
  <c r="G61"/>
  <c r="G59"/>
  <c r="G57"/>
  <c r="G55"/>
  <c r="G53"/>
  <c r="G51"/>
  <c r="G49"/>
  <c r="G47"/>
  <c r="G45"/>
  <c r="G43"/>
  <c r="G41"/>
  <c r="G39"/>
  <c r="G37"/>
  <c r="G35"/>
  <c r="G33"/>
  <c r="G31"/>
  <c r="G29"/>
  <c r="G27"/>
  <c r="G25"/>
  <c r="G23"/>
  <c r="G21"/>
  <c r="G19"/>
  <c r="G17"/>
  <c r="G15"/>
  <c r="G13"/>
  <c r="G11"/>
  <c r="G9"/>
  <c r="G7"/>
  <c r="G5"/>
  <c r="G3"/>
  <c r="G25" i="12"/>
  <c r="G23"/>
  <c r="G21"/>
  <c r="G19"/>
  <c r="G17"/>
  <c r="G15"/>
  <c r="G13"/>
  <c r="G11"/>
  <c r="G9"/>
  <c r="G7"/>
  <c r="G5"/>
  <c r="G3"/>
  <c r="G15" i="11"/>
  <c r="G13"/>
  <c r="G11"/>
  <c r="G9"/>
  <c r="G7"/>
  <c r="G5"/>
  <c r="G3"/>
  <c r="G91" i="10"/>
  <c r="G89"/>
  <c r="G87"/>
  <c r="G85"/>
  <c r="G83"/>
  <c r="G81"/>
  <c r="G79"/>
  <c r="G77"/>
  <c r="G75"/>
  <c r="G73"/>
  <c r="G71"/>
  <c r="G69"/>
  <c r="G67"/>
  <c r="G65"/>
  <c r="G63"/>
  <c r="G61"/>
  <c r="G59"/>
  <c r="G57"/>
  <c r="G55"/>
  <c r="G53"/>
  <c r="G51"/>
  <c r="G49"/>
  <c r="G47"/>
  <c r="G45"/>
  <c r="G43"/>
  <c r="G41"/>
  <c r="G39"/>
  <c r="G37"/>
  <c r="G35"/>
  <c r="G33"/>
  <c r="G31"/>
  <c r="G29"/>
  <c r="G27"/>
  <c r="G25"/>
  <c r="G23"/>
  <c r="G21"/>
  <c r="G19"/>
  <c r="G17"/>
  <c r="G15"/>
  <c r="G13"/>
  <c r="G11"/>
  <c r="G9"/>
  <c r="G7"/>
  <c r="G5"/>
  <c r="G3"/>
  <c r="G9" i="9"/>
  <c r="G7"/>
  <c r="G5"/>
  <c r="G3"/>
  <c r="G14" i="11"/>
  <c r="G12"/>
  <c r="G10"/>
  <c r="G8"/>
  <c r="G6"/>
  <c r="G4"/>
  <c r="G18" i="12"/>
  <c r="G14"/>
  <c r="G6"/>
  <c r="G10" i="9"/>
  <c r="G8"/>
  <c r="G6"/>
  <c r="G4"/>
  <c r="G92" i="10"/>
  <c r="G90"/>
  <c r="G88"/>
  <c r="G86"/>
  <c r="G84"/>
  <c r="G82"/>
  <c r="G80"/>
  <c r="G78"/>
  <c r="G76"/>
  <c r="G74"/>
  <c r="G72"/>
  <c r="G70"/>
  <c r="G68"/>
  <c r="G66"/>
  <c r="G64"/>
  <c r="G62"/>
  <c r="G60"/>
  <c r="G58"/>
  <c r="G56"/>
  <c r="G54"/>
  <c r="G52"/>
  <c r="G50"/>
  <c r="G48"/>
  <c r="G46"/>
  <c r="G44"/>
  <c r="G42"/>
  <c r="G40"/>
  <c r="G38"/>
  <c r="G36"/>
  <c r="G34"/>
  <c r="G32"/>
  <c r="G30"/>
  <c r="G28"/>
  <c r="G26"/>
  <c r="G24"/>
  <c r="G22"/>
  <c r="G20"/>
  <c r="G18"/>
  <c r="G16"/>
  <c r="G14"/>
  <c r="G12"/>
  <c r="G10"/>
  <c r="G8"/>
  <c r="G6"/>
  <c r="G4"/>
  <c r="G2"/>
  <c r="M8" i="15"/>
  <c r="G2" i="13"/>
  <c r="G26" i="12"/>
  <c r="G22"/>
  <c r="G10"/>
  <c r="G24"/>
  <c r="G20"/>
  <c r="G16"/>
  <c r="G12"/>
  <c r="G8"/>
  <c r="G4"/>
  <c r="G2"/>
  <c r="G2" i="7"/>
  <c r="G2" i="11"/>
  <c r="G2" i="9"/>
  <c r="G2" i="2"/>
  <c r="G73"/>
  <c r="G71"/>
  <c r="G69"/>
  <c r="G67"/>
  <c r="G65"/>
  <c r="G63"/>
  <c r="G61"/>
  <c r="G59"/>
  <c r="G57"/>
  <c r="G55"/>
  <c r="G53"/>
  <c r="G51"/>
  <c r="G49"/>
  <c r="G47"/>
  <c r="G45"/>
  <c r="G43"/>
  <c r="G41"/>
  <c r="G39"/>
  <c r="G37"/>
  <c r="G35"/>
  <c r="G33"/>
  <c r="G31"/>
  <c r="G29"/>
  <c r="G27"/>
  <c r="G25"/>
  <c r="G23"/>
  <c r="G21"/>
  <c r="G19"/>
  <c r="G17"/>
  <c r="G15"/>
  <c r="G13"/>
  <c r="G11"/>
  <c r="G9"/>
  <c r="G7"/>
  <c r="G5"/>
  <c r="G3"/>
  <c r="G72"/>
  <c r="G70"/>
  <c r="G68"/>
  <c r="G66"/>
  <c r="G64"/>
  <c r="G62"/>
  <c r="G60"/>
  <c r="G58"/>
  <c r="G56"/>
  <c r="G54"/>
  <c r="G52"/>
  <c r="G50"/>
  <c r="G48"/>
  <c r="G46"/>
  <c r="G44"/>
  <c r="G42"/>
  <c r="G40"/>
  <c r="G38"/>
  <c r="G36"/>
  <c r="G34"/>
  <c r="G32"/>
  <c r="G30"/>
  <c r="G28"/>
  <c r="G26"/>
  <c r="G24"/>
  <c r="G22"/>
  <c r="G20"/>
  <c r="G18"/>
  <c r="G16"/>
  <c r="G14"/>
  <c r="G12"/>
  <c r="G10"/>
  <c r="G8"/>
  <c r="G6"/>
  <c r="G4"/>
  <c r="M6" i="7" l="1"/>
  <c r="G26" i="3" s="1"/>
  <c r="M6" i="2"/>
  <c r="G19" i="3" s="1"/>
  <c r="M10" i="10"/>
  <c r="M9" i="9"/>
  <c r="M8" i="16"/>
  <c r="M11" i="17"/>
  <c r="M6" i="11"/>
  <c r="G37" i="3" s="1"/>
  <c r="M6" i="13"/>
  <c r="G41" i="3" s="1"/>
  <c r="M6" i="12"/>
  <c r="G39" i="3" s="1"/>
  <c r="M6" i="10"/>
  <c r="G34" i="3" s="1"/>
  <c r="M6" i="9"/>
  <c r="G32" i="3" s="1"/>
  <c r="M10" i="2"/>
  <c r="M9" i="12"/>
  <c r="M9" i="11"/>
  <c r="L2" i="14" l="1"/>
  <c r="G14" i="3" s="1"/>
</calcChain>
</file>

<file path=xl/sharedStrings.xml><?xml version="1.0" encoding="utf-8"?>
<sst xmlns="http://schemas.openxmlformats.org/spreadsheetml/2006/main" count="2294" uniqueCount="553">
  <si>
    <t>mbr_id</t>
  </si>
  <si>
    <t>ins_policy_id</t>
  </si>
  <si>
    <t>mbr_ssn</t>
  </si>
  <si>
    <t>mbr_first_name</t>
  </si>
  <si>
    <t>mbr_middle_name</t>
  </si>
  <si>
    <t>mbr_last_name</t>
  </si>
  <si>
    <t>mbr_current_status</t>
  </si>
  <si>
    <t>mbr_gender</t>
  </si>
  <si>
    <t>mbr_dob</t>
  </si>
  <si>
    <t>mbr_street_1</t>
  </si>
  <si>
    <t>mbr_street_2</t>
  </si>
  <si>
    <t>mbr_city</t>
  </si>
  <si>
    <t>mbr_county</t>
  </si>
  <si>
    <t>mbr_state</t>
  </si>
  <si>
    <t>mbr_zip</t>
  </si>
  <si>
    <t>mbr_phone</t>
  </si>
  <si>
    <t>mbr_region_code</t>
  </si>
  <si>
    <t>mbr_region_name</t>
  </si>
  <si>
    <t>mbr_relationship_code</t>
  </si>
  <si>
    <t>mbr_relationship_desc</t>
  </si>
  <si>
    <t>ins_plan_type_code</t>
  </si>
  <si>
    <t>ins_plan_type_desc</t>
  </si>
  <si>
    <t>ins_carrier_id</t>
  </si>
  <si>
    <t>ins_carrier_name</t>
  </si>
  <si>
    <t>ins_coverage_type_code</t>
  </si>
  <si>
    <t>ins_coverage_type_desc</t>
  </si>
  <si>
    <t>ins_plan_id</t>
  </si>
  <si>
    <t>ins_plan_desc</t>
  </si>
  <si>
    <t>ins_emp_group_id</t>
  </si>
  <si>
    <t>ins_emp_group_name</t>
  </si>
  <si>
    <t>ins_division_id</t>
  </si>
  <si>
    <t>ins_division_name</t>
  </si>
  <si>
    <t>ins_cobra_code</t>
  </si>
  <si>
    <t>ins_cobra_desc</t>
  </si>
  <si>
    <t>ins_med_eff_date</t>
  </si>
  <si>
    <t>ins_med_term_date</t>
  </si>
  <si>
    <t>ins_rx_eff_date</t>
  </si>
  <si>
    <t>ins_rx_term_date</t>
  </si>
  <si>
    <t>ins_den_eff_date</t>
  </si>
  <si>
    <t>ins_den_term_date</t>
  </si>
  <si>
    <t>ins_vis_eff_date</t>
  </si>
  <si>
    <t>ins_vis_term_date</t>
  </si>
  <si>
    <t>ins_ltd_eff_date</t>
  </si>
  <si>
    <t>ins_ltd_term_date</t>
  </si>
  <si>
    <t>ins_std_eff_date</t>
  </si>
  <si>
    <t>ins_std_term_date</t>
  </si>
  <si>
    <t>prv_pcp_id</t>
  </si>
  <si>
    <t>prv_pcp_first_name</t>
  </si>
  <si>
    <t>prv_pcp_middle_name</t>
  </si>
  <si>
    <t>prv_pcp_last_name</t>
  </si>
  <si>
    <t>prv_pcp_site_id</t>
  </si>
  <si>
    <t>udf1</t>
  </si>
  <si>
    <t>udf2</t>
  </si>
  <si>
    <t>udf3</t>
  </si>
  <si>
    <t>udf4</t>
  </si>
  <si>
    <t>udf5</t>
  </si>
  <si>
    <t>udf6</t>
  </si>
  <si>
    <t>udf7</t>
  </si>
  <si>
    <t>udf8</t>
  </si>
  <si>
    <t>udf9</t>
  </si>
  <si>
    <t>udf10</t>
  </si>
  <si>
    <t>udf11</t>
  </si>
  <si>
    <t>udf12</t>
  </si>
  <si>
    <t>udf13</t>
  </si>
  <si>
    <t>udf14</t>
  </si>
  <si>
    <t>udf15</t>
  </si>
  <si>
    <t>udf16</t>
  </si>
  <si>
    <t>udf17</t>
  </si>
  <si>
    <t>udf18</t>
  </si>
  <si>
    <t>udf19</t>
  </si>
  <si>
    <t>udf20</t>
  </si>
  <si>
    <t>dw_member_id</t>
  </si>
  <si>
    <t>Extract Layout</t>
  </si>
  <si>
    <t>Eligibility.csv</t>
  </si>
  <si>
    <t>Medical.csv</t>
  </si>
  <si>
    <t>Pcp.csv</t>
  </si>
  <si>
    <t>Pharmacy.csv</t>
  </si>
  <si>
    <t>QualityMetrics.csv</t>
  </si>
  <si>
    <t>Scores.csv</t>
  </si>
  <si>
    <t>Visits.csv</t>
  </si>
  <si>
    <t>Extract Length</t>
  </si>
  <si>
    <t>Layout Result</t>
  </si>
  <si>
    <t>Length Result</t>
  </si>
  <si>
    <t>dw_record_id</t>
  </si>
  <si>
    <t>dw_account_id</t>
  </si>
  <si>
    <t>dw_client_id</t>
  </si>
  <si>
    <t>dw_rawfilename</t>
  </si>
  <si>
    <t>dw_recievedmonth</t>
  </si>
  <si>
    <t>dw_vendor_name</t>
  </si>
  <si>
    <t>score_type</t>
  </si>
  <si>
    <t>score_start_date</t>
  </si>
  <si>
    <t>score_end_date</t>
  </si>
  <si>
    <t>ip_score</t>
  </si>
  <si>
    <t>op_score</t>
  </si>
  <si>
    <t>phy_score</t>
  </si>
  <si>
    <t>rx_score</t>
  </si>
  <si>
    <t>med_score</t>
  </si>
  <si>
    <t>total_score</t>
  </si>
  <si>
    <t>concurrent_total</t>
  </si>
  <si>
    <t>erScore</t>
  </si>
  <si>
    <t>otherScore</t>
  </si>
  <si>
    <t>concurrentInpatient</t>
  </si>
  <si>
    <t>concurrentMedical</t>
  </si>
  <si>
    <t>concurrentOutpatient</t>
  </si>
  <si>
    <t>concurrentPharmacy</t>
  </si>
  <si>
    <t>concurrentPhysician</t>
  </si>
  <si>
    <t>concurrentIpNormalizedToGroup</t>
  </si>
  <si>
    <t>concurrentOpNormalizedToGroup</t>
  </si>
  <si>
    <t>concurrentPhyNormalizedToGroup</t>
  </si>
  <si>
    <t>rev_claim_id</t>
  </si>
  <si>
    <t>rev_claim_line_id</t>
  </si>
  <si>
    <t>rev_claim_type</t>
  </si>
  <si>
    <t>rev_claim_type_flag</t>
  </si>
  <si>
    <t>prv_service_provider_id</t>
  </si>
  <si>
    <t>prv_npi</t>
  </si>
  <si>
    <t>prv_tin</t>
  </si>
  <si>
    <t>prv_type_desc</t>
  </si>
  <si>
    <t>prv_first_name</t>
  </si>
  <si>
    <t>prv_middle_name</t>
  </si>
  <si>
    <t>prv_last_name</t>
  </si>
  <si>
    <t>prv_gender</t>
  </si>
  <si>
    <t>prv_native_language</t>
  </si>
  <si>
    <t>prv_network_code</t>
  </si>
  <si>
    <t>prv_network_name</t>
  </si>
  <si>
    <t>prv_phone</t>
  </si>
  <si>
    <t>prv_speciality_1_code</t>
  </si>
  <si>
    <t>prv_Specialty_1_desc</t>
  </si>
  <si>
    <t>prv_speciality_2_code</t>
  </si>
  <si>
    <t>prv_Specialty_2_desc</t>
  </si>
  <si>
    <t>prv_speciality_3_code</t>
  </si>
  <si>
    <t>prv_Specialty_3_desc</t>
  </si>
  <si>
    <t>prv_street_1</t>
  </si>
  <si>
    <t>prv_street_2</t>
  </si>
  <si>
    <t>prv_city</t>
  </si>
  <si>
    <t>prv_county</t>
  </si>
  <si>
    <t>prv_state</t>
  </si>
  <si>
    <t>prv_zip</t>
  </si>
  <si>
    <t>prv_in_network_flag</t>
  </si>
  <si>
    <t>svc_pos_code</t>
  </si>
  <si>
    <t>svc_pos_desc</t>
  </si>
  <si>
    <t>svc_diag_1_code</t>
  </si>
  <si>
    <t>svc_diag_1_desc</t>
  </si>
  <si>
    <t>svc_diag_2_code</t>
  </si>
  <si>
    <t>svc_diag_2_desc</t>
  </si>
  <si>
    <t>svc_diag_3_code</t>
  </si>
  <si>
    <t>svc_diag_3_desc</t>
  </si>
  <si>
    <t>svc_diag_4_code</t>
  </si>
  <si>
    <t>svc_diag_4_desc</t>
  </si>
  <si>
    <t>svc_diag_5_code</t>
  </si>
  <si>
    <t>svc_diag_5_desc</t>
  </si>
  <si>
    <t>svc_diag_6_code</t>
  </si>
  <si>
    <t>svc_diag_6_desc</t>
  </si>
  <si>
    <t>svc_diag_7_code</t>
  </si>
  <si>
    <t>svc_diag_7_desc</t>
  </si>
  <si>
    <t>svc_diag_8_code</t>
  </si>
  <si>
    <t>svc_diag_8_desc</t>
  </si>
  <si>
    <t>svc_diag_9_code</t>
  </si>
  <si>
    <t>svc_diag_9_desc</t>
  </si>
  <si>
    <t>svc_procedure_type</t>
  </si>
  <si>
    <t>svc_procedure_code</t>
  </si>
  <si>
    <t>svc_procedure_desc</t>
  </si>
  <si>
    <t>svc_rev_code</t>
  </si>
  <si>
    <t>svc_rev_desc</t>
  </si>
  <si>
    <t>svc_cpt_code</t>
  </si>
  <si>
    <t>svc_cpt_desc</t>
  </si>
  <si>
    <t>svc_icd_proc_1_code</t>
  </si>
  <si>
    <t>svc_icd_proc_1_desc</t>
  </si>
  <si>
    <t>svc_icd_proc_2_code</t>
  </si>
  <si>
    <t>svc_icd_proc_2_desc</t>
  </si>
  <si>
    <t>svc_drg_type_code</t>
  </si>
  <si>
    <t>svc_drg_type_Desc</t>
  </si>
  <si>
    <t>svc_drg_code</t>
  </si>
  <si>
    <t>svc_drg_desc</t>
  </si>
  <si>
    <t>svc_hcpcs_code</t>
  </si>
  <si>
    <t>svc_hcpcs_desc</t>
  </si>
  <si>
    <t>svc_modifier_code</t>
  </si>
  <si>
    <t>svc_modifier_desc</t>
  </si>
  <si>
    <t>svc_modifier_2_code</t>
  </si>
  <si>
    <t>svc_modifier_2_desc</t>
  </si>
  <si>
    <t>svc_modifier_3_code</t>
  </si>
  <si>
    <t>svc_modifier_3_desc</t>
  </si>
  <si>
    <t>svc_tos_code</t>
  </si>
  <si>
    <t>svc_tos_desc</t>
  </si>
  <si>
    <t>svc_discharge_code</t>
  </si>
  <si>
    <t>svc_discharge_desc</t>
  </si>
  <si>
    <t>svc_service_qty</t>
  </si>
  <si>
    <t>svc_ip_days</t>
  </si>
  <si>
    <t>svc_covered_days</t>
  </si>
  <si>
    <t>svc_admit_type</t>
  </si>
  <si>
    <t>svc_service_frm_date</t>
  </si>
  <si>
    <t>svc_service_to_date</t>
  </si>
  <si>
    <t>rev_adjudication_date</t>
  </si>
  <si>
    <t>rev_paid_date</t>
  </si>
  <si>
    <t>svc_benefit_code</t>
  </si>
  <si>
    <t>svc_benefit_desc</t>
  </si>
  <si>
    <t>rev_allowed_amt</t>
  </si>
  <si>
    <t>rev_billed_amt</t>
  </si>
  <si>
    <t>rev_cob_paid_amt</t>
  </si>
  <si>
    <t>rev_coinsurance_amt</t>
  </si>
  <si>
    <t>rev_copay_amt</t>
  </si>
  <si>
    <t>rev_coverage_charge_amt</t>
  </si>
  <si>
    <t>rev_deductible_amt</t>
  </si>
  <si>
    <t>rev_not_covered_amt</t>
  </si>
  <si>
    <t>rev_other_savings</t>
  </si>
  <si>
    <t>rev_ppo_savings</t>
  </si>
  <si>
    <t>rev_paid_amt</t>
  </si>
  <si>
    <t>rev_pay_type</t>
  </si>
  <si>
    <t>rev_check_num</t>
  </si>
  <si>
    <t>svc_pre_authorization</t>
  </si>
  <si>
    <t>rev_adjudication_code</t>
  </si>
  <si>
    <t>rev_adjudication_desc</t>
  </si>
  <si>
    <t>rev_bill_type_code</t>
  </si>
  <si>
    <t>rev_bill_type_desc</t>
  </si>
  <si>
    <t>dw_admrule</t>
  </si>
  <si>
    <t>proc1_grouper_id</t>
  </si>
  <si>
    <t>proc1_Subgrouper_desc</t>
  </si>
  <si>
    <t>rev_grouper_id</t>
  </si>
  <si>
    <t>rev_grouper_desc</t>
  </si>
  <si>
    <t>rev_subgrouper_id</t>
  </si>
  <si>
    <t>rev_subgrouper_desc</t>
  </si>
  <si>
    <t>cpt_grouper_id</t>
  </si>
  <si>
    <t>cpt_grouper_desc</t>
  </si>
  <si>
    <t>cpt_subgrouper_id</t>
  </si>
  <si>
    <t>cpt_subgrouper_desc</t>
  </si>
  <si>
    <t>icd1_grouper_id</t>
  </si>
  <si>
    <t>icd1_grouper_desc</t>
  </si>
  <si>
    <t>icd1_subgrouper_id</t>
  </si>
  <si>
    <t>icd1_subgrouper_desc</t>
  </si>
  <si>
    <t>icd2_grouper_id</t>
  </si>
  <si>
    <t>icd2_grouper_desc</t>
  </si>
  <si>
    <t>icd2_subgrouper_id</t>
  </si>
  <si>
    <t>icd2_subgrouper_desc</t>
  </si>
  <si>
    <t>drg_grouper_id</t>
  </si>
  <si>
    <t>drg_grouper_desc</t>
  </si>
  <si>
    <t>drg_subgrouper_id</t>
  </si>
  <si>
    <t>drg_subgrouper_desc</t>
  </si>
  <si>
    <t>hcpcs_grouper_id</t>
  </si>
  <si>
    <t>hcpcs_grouper_desc</t>
  </si>
  <si>
    <t>hcpcs_subgrouper_id</t>
  </si>
  <si>
    <t>hcpcs_subgrouper_desc</t>
  </si>
  <si>
    <t>diag1_grouper_id</t>
  </si>
  <si>
    <t>diag1_grouper_desc</t>
  </si>
  <si>
    <t>diag1_supergrouper_id</t>
  </si>
  <si>
    <t>diag1_supergrouper_desc</t>
  </si>
  <si>
    <t>diag2_grouper_id</t>
  </si>
  <si>
    <t>diag2_grouper_desc</t>
  </si>
  <si>
    <t>diag2_supergrouper_id</t>
  </si>
  <si>
    <t>diag2_supergrouper_desc</t>
  </si>
  <si>
    <t>diag3_grouper_id</t>
  </si>
  <si>
    <t>diag3_grouper_desc</t>
  </si>
  <si>
    <t>diag3_supergrouper_id</t>
  </si>
  <si>
    <t>diag3_supergrouper_desc</t>
  </si>
  <si>
    <t>diag4_grouper_id</t>
  </si>
  <si>
    <t>diag4_grouper_desc</t>
  </si>
  <si>
    <t>diag4_supergrouper_id</t>
  </si>
  <si>
    <t>diag4_supergrouper_desc</t>
  </si>
  <si>
    <t>diag5_grouper_id</t>
  </si>
  <si>
    <t>diag5_grouper_desc</t>
  </si>
  <si>
    <t>diag5_supergrouper_id</t>
  </si>
  <si>
    <t>diag5_supergrouper_desc</t>
  </si>
  <si>
    <t>diag6_grouper_id</t>
  </si>
  <si>
    <t>diag6_grouper_desc</t>
  </si>
  <si>
    <t>diag6_supergrouper_id</t>
  </si>
  <si>
    <t>diag6_supergrouper_desc</t>
  </si>
  <si>
    <t>diag7_grouper_id</t>
  </si>
  <si>
    <t>diag7_grouper_desc</t>
  </si>
  <si>
    <t>diag7_supergrouper_id</t>
  </si>
  <si>
    <t>diag7_supergrouper_desc</t>
  </si>
  <si>
    <t>diag8_grouper_id</t>
  </si>
  <si>
    <t>diag8_grouper_desc</t>
  </si>
  <si>
    <t>diag8_supergrouper_id</t>
  </si>
  <si>
    <t>diag8_supergrouper_desc</t>
  </si>
  <si>
    <t>diag9_grouper_id</t>
  </si>
  <si>
    <t>diag9_grouper_desc</t>
  </si>
  <si>
    <t>diag9_supergrouper_id</t>
  </si>
  <si>
    <t>diag9_supergrouper_desc</t>
  </si>
  <si>
    <t>rev_betos</t>
  </si>
  <si>
    <t>rev_betos_grouper</t>
  </si>
  <si>
    <t>rev_betos_sub_grouper</t>
  </si>
  <si>
    <t>cpt_betos</t>
  </si>
  <si>
    <t>cpt_betos_grouper</t>
  </si>
  <si>
    <t>cpt_betos_sub_grouper</t>
  </si>
  <si>
    <t>icd1_betos</t>
  </si>
  <si>
    <t>icd1_betos_grouper</t>
  </si>
  <si>
    <t>icd1_betos_sub_grouper</t>
  </si>
  <si>
    <t>icd2_betos</t>
  </si>
  <si>
    <t>icd2_betos_grouper</t>
  </si>
  <si>
    <t>icd2_betos_sub_grouper</t>
  </si>
  <si>
    <t>drg_betos</t>
  </si>
  <si>
    <t>drg_betos_grouper</t>
  </si>
  <si>
    <t>drg_betos_sub_grouper</t>
  </si>
  <si>
    <t>hcpcs_betos</t>
  </si>
  <si>
    <t>hcpcs_betos_grouper</t>
  </si>
  <si>
    <t>hcpcs_betos_sub_grouper</t>
  </si>
  <si>
    <t>dw_creation_date</t>
  </si>
  <si>
    <t>dw_update_date</t>
  </si>
  <si>
    <t>visit_id</t>
  </si>
  <si>
    <t>is_makalu_used</t>
  </si>
  <si>
    <t>19,2</t>
  </si>
  <si>
    <t>pcp_name</t>
  </si>
  <si>
    <t>pcp_npi</t>
  </si>
  <si>
    <t>start_date</t>
  </si>
  <si>
    <t>end_date</t>
  </si>
  <si>
    <t>rev_transaction_num</t>
  </si>
  <si>
    <t>prv_prescriber_id</t>
  </si>
  <si>
    <t>prv_prescriber_first_name</t>
  </si>
  <si>
    <t>prv_prescriber_middle_name</t>
  </si>
  <si>
    <t>prv_prescriber_last_name</t>
  </si>
  <si>
    <t>prv_prescriber_type_Code</t>
  </si>
  <si>
    <t>prv_prescriber_type_desc</t>
  </si>
  <si>
    <t>prv_dea</t>
  </si>
  <si>
    <t>prv_nabp</t>
  </si>
  <si>
    <t>prv_type_code</t>
  </si>
  <si>
    <t>svc_written_date</t>
  </si>
  <si>
    <t>svc_filled_date</t>
  </si>
  <si>
    <t>svc_service_date</t>
  </si>
  <si>
    <t>svc_ndc_code</t>
  </si>
  <si>
    <t>svc_ndc_desc</t>
  </si>
  <si>
    <t>svc_rx_class_code</t>
  </si>
  <si>
    <t>svc_rx_class_desc</t>
  </si>
  <si>
    <t>svc_drug_name</t>
  </si>
  <si>
    <t>svc_dosage</t>
  </si>
  <si>
    <t>svc_drug_strength</t>
  </si>
  <si>
    <t>svc_unit_qty</t>
  </si>
  <si>
    <t>svc_days_of_supply</t>
  </si>
  <si>
    <t>svc_label_name</t>
  </si>
  <si>
    <t>svc_formulary_plan_code</t>
  </si>
  <si>
    <t>svc_formulary_flag</t>
  </si>
  <si>
    <t>svc_generic_flag</t>
  </si>
  <si>
    <t>svc_mail_order_flag</t>
  </si>
  <si>
    <t>svc_refill_qty</t>
  </si>
  <si>
    <t>svc_refill_allowed</t>
  </si>
  <si>
    <t>svc_counter_allow</t>
  </si>
  <si>
    <t>svc_daw_code</t>
  </si>
  <si>
    <t>svc_daw_desc</t>
  </si>
  <si>
    <t>rev_disp_fee_amt</t>
  </si>
  <si>
    <t>rev_ingred_cost_amt</t>
  </si>
  <si>
    <t>rev_stax_amt</t>
  </si>
  <si>
    <t>rev_usual_cust_amt</t>
  </si>
  <si>
    <t>memberFirstName</t>
  </si>
  <si>
    <t>memberLastName</t>
  </si>
  <si>
    <t>memberGender</t>
  </si>
  <si>
    <t>memberDOB</t>
  </si>
  <si>
    <t>measureId</t>
  </si>
  <si>
    <t>measureDesc</t>
  </si>
  <si>
    <t>Positive/Negative</t>
  </si>
  <si>
    <t>measureName</t>
  </si>
  <si>
    <t>startDate</t>
  </si>
  <si>
    <t>EndDate</t>
  </si>
  <si>
    <t>numerator</t>
  </si>
  <si>
    <t>denomenator</t>
  </si>
  <si>
    <t>mbr_visit_type</t>
  </si>
  <si>
    <t>mbr_start_date</t>
  </si>
  <si>
    <t>mbr_end_date</t>
  </si>
  <si>
    <t>value</t>
  </si>
  <si>
    <t>admission_type</t>
  </si>
  <si>
    <t>ip_days</t>
  </si>
  <si>
    <t>Current Extract</t>
  </si>
  <si>
    <t>File Name</t>
  </si>
  <si>
    <t>Size</t>
  </si>
  <si>
    <t>Test Result</t>
  </si>
  <si>
    <t>Test Case ID</t>
  </si>
  <si>
    <t>Summary</t>
  </si>
  <si>
    <t>EX01</t>
  </si>
  <si>
    <t>EX02</t>
  </si>
  <si>
    <t>EX03</t>
  </si>
  <si>
    <t>EX04</t>
  </si>
  <si>
    <t>EX05</t>
  </si>
  <si>
    <t>EX06</t>
  </si>
  <si>
    <t>EX07</t>
  </si>
  <si>
    <t>EX08</t>
  </si>
  <si>
    <t>EX09</t>
  </si>
  <si>
    <t>EX10</t>
  </si>
  <si>
    <t>Verify file size</t>
  </si>
  <si>
    <t>EX11</t>
  </si>
  <si>
    <t>% Change</t>
  </si>
  <si>
    <t>Date</t>
  </si>
  <si>
    <t>Version</t>
  </si>
  <si>
    <t>Description</t>
  </si>
  <si>
    <t>Reviewer/s</t>
  </si>
  <si>
    <t>Remarks</t>
  </si>
  <si>
    <t>Start Date</t>
  </si>
  <si>
    <t>End Date</t>
  </si>
  <si>
    <t>Test Environment</t>
  </si>
  <si>
    <t>Overall Result</t>
  </si>
  <si>
    <t>RaghuP</t>
  </si>
  <si>
    <t>Test Case Revision History</t>
  </si>
  <si>
    <t>Test Case Execution History</t>
  </si>
  <si>
    <t>Test Case Summary Results</t>
  </si>
  <si>
    <t>Client layout</t>
  </si>
  <si>
    <t>Client Length</t>
  </si>
  <si>
    <t>Previous Extract</t>
  </si>
  <si>
    <t>Author</t>
  </si>
  <si>
    <t>Tester</t>
  </si>
  <si>
    <t>Extract Total Count</t>
  </si>
  <si>
    <t>Application Total Count</t>
  </si>
  <si>
    <t>Difference</t>
  </si>
  <si>
    <t>Data Type</t>
  </si>
  <si>
    <t>int</t>
  </si>
  <si>
    <t>varchar</t>
  </si>
  <si>
    <t>date</t>
  </si>
  <si>
    <t>Result</t>
  </si>
  <si>
    <t>Field Length Result</t>
  </si>
  <si>
    <t>Overall</t>
  </si>
  <si>
    <t>char</t>
  </si>
  <si>
    <t>numeric</t>
  </si>
  <si>
    <t>mbr_mrn</t>
  </si>
  <si>
    <t>mbr_hicn</t>
  </si>
  <si>
    <t>proc1_grouper_desc</t>
  </si>
  <si>
    <t>proc1_Subgrouper_id</t>
  </si>
  <si>
    <t>proc7_betos</t>
  </si>
  <si>
    <t>proc7_betos_grouper</t>
  </si>
  <si>
    <t>proc7_betos_sub_grouper</t>
  </si>
  <si>
    <t>Fail</t>
  </si>
  <si>
    <t>Verify Eligibility layout</t>
  </si>
  <si>
    <t>Verify Eligibility field length</t>
  </si>
  <si>
    <t>EX12</t>
  </si>
  <si>
    <t>EX13</t>
  </si>
  <si>
    <t>EX14</t>
  </si>
  <si>
    <t>EX15</t>
  </si>
  <si>
    <t xml:space="preserve">Verify Member PCP layout </t>
  </si>
  <si>
    <t xml:space="preserve">Verify Pharmacy layout </t>
  </si>
  <si>
    <t xml:space="preserve">Verify Quality Metrics layout </t>
  </si>
  <si>
    <t xml:space="preserve">Verify Scores layout </t>
  </si>
  <si>
    <t>Verify Visit layout</t>
  </si>
  <si>
    <t>Verify Member PCP field length</t>
  </si>
  <si>
    <t>Verify Pharmacy field length</t>
  </si>
  <si>
    <t>Verify Quality Metrics field length</t>
  </si>
  <si>
    <t>Verify Scores field length</t>
  </si>
  <si>
    <t>Verify Visit field length</t>
  </si>
  <si>
    <t>Overall File Size Result</t>
  </si>
  <si>
    <t xml:space="preserve">Verify Medcial Claims layout </t>
  </si>
  <si>
    <t>Verify Medcial Claims field length</t>
  </si>
  <si>
    <t>1.1</t>
  </si>
  <si>
    <t>1.0</t>
  </si>
  <si>
    <t>Overall Result Auto Display function added.</t>
  </si>
  <si>
    <t>udf21</t>
  </si>
  <si>
    <t>udf22</t>
  </si>
  <si>
    <t>udf23</t>
  </si>
  <si>
    <t>udf24</t>
  </si>
  <si>
    <t>udf25</t>
  </si>
  <si>
    <t>udf26</t>
  </si>
  <si>
    <t>udf27</t>
  </si>
  <si>
    <t>udf28</t>
  </si>
  <si>
    <t>udf29</t>
  </si>
  <si>
    <t>udf30</t>
  </si>
  <si>
    <t>udf31</t>
  </si>
  <si>
    <t>udf32</t>
  </si>
  <si>
    <t>udf33</t>
  </si>
  <si>
    <t>udf34</t>
  </si>
  <si>
    <t>udf35</t>
  </si>
  <si>
    <t>udf36</t>
  </si>
  <si>
    <t>udf37</t>
  </si>
  <si>
    <t>udf38</t>
  </si>
  <si>
    <t>udf39</t>
  </si>
  <si>
    <t>udf40</t>
  </si>
  <si>
    <t> 19,2</t>
  </si>
  <si>
    <t>19,2 </t>
  </si>
  <si>
    <t>Varchar</t>
  </si>
  <si>
    <t>admission_from_er</t>
  </si>
  <si>
    <t>Current Extract Count</t>
  </si>
  <si>
    <t>Previous Extract Count</t>
  </si>
  <si>
    <t>Previous Extract and Current Count section added in each tab</t>
  </si>
  <si>
    <t>1.2</t>
  </si>
  <si>
    <t>1.3</t>
  </si>
  <si>
    <t>Count Result</t>
  </si>
  <si>
    <t>% change in file size with respect to previous file</t>
  </si>
  <si>
    <t>% change in count with respect to previous count</t>
  </si>
  <si>
    <t>Prior Count</t>
  </si>
  <si>
    <t>Verify Eligibility count between application and extract</t>
  </si>
  <si>
    <t>Verify Medcial Claims count  between application and extract</t>
  </si>
  <si>
    <t>Verify Pharmacy count  between application and extract</t>
  </si>
  <si>
    <t>EX16</t>
  </si>
  <si>
    <t>EX17</t>
  </si>
  <si>
    <t>EX18</t>
  </si>
  <si>
    <t>Count Verification between extract and application added in each tab</t>
  </si>
  <si>
    <t xml:space="preserve"> </t>
  </si>
  <si>
    <t xml:space="preserve"> 19,2</t>
  </si>
  <si>
    <t>Verify Demographics layout</t>
  </si>
  <si>
    <t>Verify Demographics field length</t>
  </si>
  <si>
    <t>Diagnosis_code</t>
  </si>
  <si>
    <t>Paid_Amount</t>
  </si>
  <si>
    <t>SuperGrouperDescription</t>
  </si>
  <si>
    <t>GrouperDescription</t>
  </si>
  <si>
    <t xml:space="preserve">Verify High_Cost layout </t>
  </si>
  <si>
    <t>Verify High_Cost field length</t>
  </si>
  <si>
    <t>EX19</t>
  </si>
  <si>
    <t>EX20</t>
  </si>
  <si>
    <t>EX21</t>
  </si>
  <si>
    <t>EX22</t>
  </si>
  <si>
    <t>Demographics.csv</t>
  </si>
  <si>
    <t>HighCost.csv</t>
  </si>
  <si>
    <t>Participation.csv</t>
  </si>
  <si>
    <t>program_type</t>
  </si>
  <si>
    <t>program_code</t>
  </si>
  <si>
    <t>program_name</t>
  </si>
  <si>
    <t>program_status</t>
  </si>
  <si>
    <t>program_start_date</t>
  </si>
  <si>
    <t>program_end_date</t>
  </si>
  <si>
    <t>Verify Participation field length</t>
  </si>
  <si>
    <t>Verify Participation count  between application and extract</t>
  </si>
  <si>
    <t>EX23</t>
  </si>
  <si>
    <t>EX24</t>
  </si>
  <si>
    <t>EX25</t>
  </si>
  <si>
    <t xml:space="preserve">Verify Participation layout </t>
  </si>
  <si>
    <t>UAT</t>
  </si>
  <si>
    <t>Pass</t>
  </si>
  <si>
    <t>CareAlerts.csv</t>
  </si>
  <si>
    <t>3.40 MB</t>
  </si>
  <si>
    <t>1.60 MB</t>
  </si>
  <si>
    <t>64.14 MB</t>
  </si>
  <si>
    <t>HistoricalScores.csv</t>
  </si>
  <si>
    <t>7.36 MB</t>
  </si>
  <si>
    <t>463.96 MB</t>
  </si>
  <si>
    <t>151 B</t>
  </si>
  <si>
    <t>1.52 MB</t>
  </si>
  <si>
    <t>14.30 MB</t>
  </si>
  <si>
    <t>5.78 MB</t>
  </si>
  <si>
    <t>first_name</t>
  </si>
  <si>
    <t>last_name</t>
  </si>
  <si>
    <t>middle_name</t>
  </si>
  <si>
    <t>mbr_status</t>
  </si>
  <si>
    <t>mbr_relationship</t>
  </si>
  <si>
    <t>pcp_full_name</t>
  </si>
  <si>
    <t>mbr_age</t>
  </si>
  <si>
    <t>mbr_months</t>
  </si>
  <si>
    <t>care_alert_startDate</t>
  </si>
  <si>
    <t>care_alert_id</t>
  </si>
  <si>
    <t>care_alert_desc</t>
  </si>
  <si>
    <t>metric_Type</t>
  </si>
  <si>
    <t>metric_name</t>
  </si>
  <si>
    <t>Verify Care Alerts layout</t>
  </si>
  <si>
    <t>Verify  Care Alerts field length</t>
  </si>
  <si>
    <t>EX26</t>
  </si>
  <si>
    <t>EX27</t>
  </si>
  <si>
    <t>mbr_ssn field length has chaged from 20 t0 22</t>
  </si>
  <si>
    <t>ins_plan_id field length has chaged from 20 t0 56</t>
  </si>
  <si>
    <t>ins_division_id field length has chaged from 20 t0 53</t>
  </si>
  <si>
    <t>diagnosis_code</t>
  </si>
  <si>
    <t>paid_amount</t>
  </si>
  <si>
    <t>superGrouperDescription</t>
  </si>
  <si>
    <t>grouperDescription</t>
  </si>
  <si>
    <t>rev_claim_id field length has chaged from 20 t0 37</t>
  </si>
  <si>
    <t>prv_state field length has chaged from 2 t0 12</t>
  </si>
  <si>
    <t>admissionFromEr</t>
  </si>
  <si>
    <t>EX28</t>
  </si>
  <si>
    <t>EX29</t>
  </si>
  <si>
    <t xml:space="preserve">Verify Historical_Scores layout </t>
  </si>
  <si>
    <t>Verify Historical_Scores field length</t>
  </si>
  <si>
    <t>AchyutB</t>
  </si>
  <si>
    <t>685.35 KB</t>
  </si>
  <si>
    <t>634.43 KB</t>
  </si>
  <si>
    <t>624.74 KB</t>
  </si>
</sst>
</file>

<file path=xl/styles.xml><?xml version="1.0" encoding="utf-8"?>
<styleSheet xmlns="http://schemas.openxmlformats.org/spreadsheetml/2006/main">
  <numFmts count="4">
    <numFmt numFmtId="41" formatCode="_(* #,##0_);_(* \(#,##0\);_(* &quot;-&quot;_);_(@_)"/>
    <numFmt numFmtId="43" formatCode="_(* #,##0.00_);_(* \(#,##0.00\);_(* &quot;-&quot;??_);_(@_)"/>
    <numFmt numFmtId="164" formatCode="&quot;$&quot;#,##0.00"/>
    <numFmt numFmtId="165" formatCode="mm/dd/yyyy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263238"/>
      <name val="Arial"/>
      <family val="2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164" fontId="2" fillId="0" borderId="0" applyBorder="0" applyProtection="0"/>
    <xf numFmtId="0" fontId="6" fillId="0" borderId="0"/>
    <xf numFmtId="43" fontId="1" fillId="0" borderId="0" applyFont="0" applyFill="0" applyBorder="0" applyAlignment="0" applyProtection="0"/>
  </cellStyleXfs>
  <cellXfs count="60">
    <xf numFmtId="0" fontId="0" fillId="0" borderId="0" xfId="0"/>
    <xf numFmtId="0" fontId="0" fillId="0" borderId="1" xfId="0" applyBorder="1"/>
    <xf numFmtId="10" fontId="0" fillId="0" borderId="1" xfId="1" applyNumberFormat="1" applyFont="1" applyBorder="1"/>
    <xf numFmtId="0" fontId="3" fillId="0" borderId="0" xfId="0" applyFont="1"/>
    <xf numFmtId="0" fontId="4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 wrapText="1"/>
    </xf>
    <xf numFmtId="165" fontId="5" fillId="2" borderId="1" xfId="0" applyNumberFormat="1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8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/>
    <xf numFmtId="0" fontId="7" fillId="3" borderId="1" xfId="0" applyFont="1" applyFill="1" applyBorder="1" applyAlignment="1">
      <alignment vertical="center" wrapText="1"/>
    </xf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3" fontId="0" fillId="0" borderId="1" xfId="0" applyNumberFormat="1" applyBorder="1"/>
    <xf numFmtId="0" fontId="7" fillId="4" borderId="1" xfId="0" applyFont="1" applyFill="1" applyBorder="1"/>
    <xf numFmtId="41" fontId="0" fillId="0" borderId="1" xfId="4" applyNumberFormat="1" applyFont="1" applyBorder="1" applyAlignment="1">
      <alignment horizontal="center"/>
    </xf>
    <xf numFmtId="41" fontId="0" fillId="0" borderId="1" xfId="0" applyNumberFormat="1" applyBorder="1"/>
    <xf numFmtId="0" fontId="9" fillId="0" borderId="1" xfId="0" applyFont="1" applyBorder="1"/>
    <xf numFmtId="0" fontId="7" fillId="3" borderId="1" xfId="0" applyFont="1" applyFill="1" applyBorder="1" applyAlignment="1"/>
    <xf numFmtId="0" fontId="7" fillId="2" borderId="0" xfId="0" applyFont="1" applyFill="1" applyBorder="1"/>
    <xf numFmtId="0" fontId="10" fillId="2" borderId="0" xfId="0" applyFont="1" applyFill="1"/>
    <xf numFmtId="2" fontId="6" fillId="2" borderId="1" xfId="0" applyNumberFormat="1" applyFont="1" applyFill="1" applyBorder="1" applyAlignment="1">
      <alignment horizontal="center" vertical="center" wrapText="1"/>
    </xf>
    <xf numFmtId="2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/>
    <xf numFmtId="0" fontId="0" fillId="5" borderId="1" xfId="0" applyFill="1" applyBorder="1"/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0" borderId="1" xfId="0" applyBorder="1"/>
    <xf numFmtId="0" fontId="0" fillId="0" borderId="0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41" fontId="0" fillId="0" borderId="1" xfId="0" applyNumberFormat="1" applyBorder="1" applyAlignment="1">
      <alignment horizontal="center"/>
    </xf>
    <xf numFmtId="10" fontId="0" fillId="0" borderId="1" xfId="1" applyNumberFormat="1" applyFont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9" fillId="0" borderId="0" xfId="0" applyFont="1" applyFill="1" applyBorder="1" applyAlignment="1"/>
    <xf numFmtId="0" fontId="9" fillId="0" borderId="0" xfId="0" applyFont="1"/>
    <xf numFmtId="0" fontId="0" fillId="0" borderId="1" xfId="0" applyBorder="1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7" fillId="3" borderId="0" xfId="0" applyFont="1" applyFill="1" applyBorder="1" applyAlignment="1"/>
    <xf numFmtId="0" fontId="0" fillId="0" borderId="1" xfId="0" applyBorder="1" applyAlignment="1">
      <alignment horizontal="left"/>
    </xf>
    <xf numFmtId="0" fontId="0" fillId="0" borderId="1" xfId="0" applyBorder="1"/>
    <xf numFmtId="0" fontId="8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</cellXfs>
  <cellStyles count="5">
    <cellStyle name="Comma" xfId="4" builtinId="3"/>
    <cellStyle name="Excel Built-in Normal" xfId="2"/>
    <cellStyle name="Normal" xfId="0" builtinId="0"/>
    <cellStyle name="Normal 2" xfId="3"/>
    <cellStyle name="Percent" xfId="1" builtinId="5"/>
  </cellStyles>
  <dxfs count="182"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1" tint="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1" tint="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42"/>
  <sheetViews>
    <sheetView showGridLines="0" tabSelected="1" workbookViewId="0">
      <selection activeCell="B1" sqref="B1:G1"/>
    </sheetView>
  </sheetViews>
  <sheetFormatPr defaultRowHeight="15"/>
  <cols>
    <col min="1" max="1" width="3.85546875" customWidth="1"/>
    <col min="2" max="2" width="11.5703125" bestFit="1" customWidth="1"/>
    <col min="3" max="3" width="10.140625" bestFit="1" customWidth="1"/>
    <col min="4" max="4" width="20.5703125" bestFit="1" customWidth="1"/>
    <col min="5" max="5" width="10.28515625" customWidth="1"/>
    <col min="6" max="6" width="13.85546875" bestFit="1" customWidth="1"/>
    <col min="7" max="7" width="12.5703125" bestFit="1" customWidth="1"/>
  </cols>
  <sheetData>
    <row r="1" spans="2:7" ht="15" customHeight="1">
      <c r="B1" s="57" t="s">
        <v>386</v>
      </c>
      <c r="C1" s="57"/>
      <c r="D1" s="57"/>
      <c r="E1" s="57"/>
      <c r="F1" s="57"/>
      <c r="G1" s="57"/>
    </row>
    <row r="2" spans="2:7">
      <c r="B2" s="14" t="s">
        <v>376</v>
      </c>
      <c r="C2" s="15" t="s">
        <v>377</v>
      </c>
      <c r="D2" s="14" t="s">
        <v>378</v>
      </c>
      <c r="E2" s="14" t="s">
        <v>392</v>
      </c>
      <c r="F2" s="14" t="s">
        <v>379</v>
      </c>
      <c r="G2" s="14" t="s">
        <v>380</v>
      </c>
    </row>
    <row r="3" spans="2:7">
      <c r="B3" s="9">
        <v>42418</v>
      </c>
      <c r="C3" s="28" t="s">
        <v>434</v>
      </c>
      <c r="D3" s="5"/>
      <c r="E3" s="5" t="s">
        <v>385</v>
      </c>
      <c r="F3" s="5"/>
      <c r="G3" s="5"/>
    </row>
    <row r="4" spans="2:7" ht="25.5">
      <c r="B4" s="10">
        <v>42425</v>
      </c>
      <c r="C4" s="28" t="s">
        <v>433</v>
      </c>
      <c r="D4" s="5" t="s">
        <v>435</v>
      </c>
      <c r="E4" s="5" t="s">
        <v>385</v>
      </c>
      <c r="F4" s="5"/>
      <c r="G4" s="5"/>
    </row>
    <row r="5" spans="2:7" ht="38.25">
      <c r="B5" s="10">
        <v>42578</v>
      </c>
      <c r="C5" s="28" t="s">
        <v>463</v>
      </c>
      <c r="D5" s="5" t="s">
        <v>462</v>
      </c>
      <c r="E5" s="5" t="s">
        <v>385</v>
      </c>
      <c r="F5" s="5"/>
      <c r="G5" s="5"/>
    </row>
    <row r="6" spans="2:7" ht="51">
      <c r="B6" s="10">
        <v>42587</v>
      </c>
      <c r="C6" s="28" t="s">
        <v>464</v>
      </c>
      <c r="D6" s="5" t="s">
        <v>475</v>
      </c>
      <c r="E6" s="5" t="s">
        <v>385</v>
      </c>
      <c r="F6" s="5"/>
      <c r="G6" s="5"/>
    </row>
    <row r="7" spans="2:7">
      <c r="B7" s="6"/>
      <c r="C7" s="6"/>
      <c r="D7" s="4"/>
      <c r="E7" s="4"/>
      <c r="F7" s="4"/>
      <c r="G7" s="4"/>
    </row>
    <row r="8" spans="2:7">
      <c r="B8" s="57" t="s">
        <v>387</v>
      </c>
      <c r="C8" s="57"/>
      <c r="D8" s="57"/>
      <c r="E8" s="57"/>
      <c r="F8" s="57"/>
      <c r="G8" s="57"/>
    </row>
    <row r="9" spans="2:7">
      <c r="B9" s="14" t="s">
        <v>381</v>
      </c>
      <c r="C9" s="14" t="s">
        <v>382</v>
      </c>
      <c r="D9" s="14" t="s">
        <v>383</v>
      </c>
      <c r="E9" s="14" t="s">
        <v>393</v>
      </c>
      <c r="F9" s="14" t="s">
        <v>384</v>
      </c>
      <c r="G9" s="14" t="s">
        <v>380</v>
      </c>
    </row>
    <row r="10" spans="2:7">
      <c r="B10" s="9">
        <v>42701</v>
      </c>
      <c r="C10" s="9">
        <v>42701</v>
      </c>
      <c r="D10" s="30" t="s">
        <v>505</v>
      </c>
      <c r="E10" s="7" t="s">
        <v>549</v>
      </c>
      <c r="F10" s="30" t="s">
        <v>506</v>
      </c>
      <c r="G10" s="8"/>
    </row>
    <row r="12" spans="2:7">
      <c r="B12" s="57" t="s">
        <v>388</v>
      </c>
      <c r="C12" s="57"/>
      <c r="D12" s="57"/>
      <c r="E12" s="57"/>
      <c r="F12" s="57"/>
      <c r="G12" s="57"/>
    </row>
    <row r="13" spans="2:7">
      <c r="B13" s="16" t="s">
        <v>361</v>
      </c>
      <c r="C13" s="58" t="s">
        <v>362</v>
      </c>
      <c r="D13" s="58"/>
      <c r="E13" s="58"/>
      <c r="F13" s="58"/>
      <c r="G13" s="16" t="s">
        <v>360</v>
      </c>
    </row>
    <row r="14" spans="2:7">
      <c r="B14" s="1" t="s">
        <v>363</v>
      </c>
      <c r="C14" s="56" t="s">
        <v>373</v>
      </c>
      <c r="D14" s="56"/>
      <c r="E14" s="56"/>
      <c r="F14" s="56"/>
      <c r="G14" s="12" t="str">
        <f>File_Size_Comparision!L2</f>
        <v>Pass</v>
      </c>
    </row>
    <row r="15" spans="2:7">
      <c r="B15" s="52" t="s">
        <v>364</v>
      </c>
      <c r="C15" s="56" t="s">
        <v>531</v>
      </c>
      <c r="D15" s="56"/>
      <c r="E15" s="56"/>
      <c r="F15" s="56"/>
      <c r="G15" s="12" t="str">
        <f>Care_Alerts!M5</f>
        <v>Pass</v>
      </c>
    </row>
    <row r="16" spans="2:7">
      <c r="B16" s="52" t="s">
        <v>365</v>
      </c>
      <c r="C16" s="56" t="s">
        <v>532</v>
      </c>
      <c r="D16" s="56"/>
      <c r="E16" s="56"/>
      <c r="F16" s="56"/>
      <c r="G16" s="12" t="str">
        <f>Care_Alerts!M6</f>
        <v>Pass</v>
      </c>
    </row>
    <row r="17" spans="2:7">
      <c r="B17" s="52" t="s">
        <v>366</v>
      </c>
      <c r="C17" s="56" t="s">
        <v>478</v>
      </c>
      <c r="D17" s="56"/>
      <c r="E17" s="56"/>
      <c r="F17" s="56"/>
      <c r="G17" s="12" t="str">
        <f>Demographics!M5</f>
        <v>Pass</v>
      </c>
    </row>
    <row r="18" spans="2:7">
      <c r="B18" s="52" t="s">
        <v>367</v>
      </c>
      <c r="C18" s="56" t="s">
        <v>479</v>
      </c>
      <c r="D18" s="56"/>
      <c r="E18" s="56"/>
      <c r="F18" s="56"/>
      <c r="G18" s="12" t="str">
        <f>Demographics!M6</f>
        <v>Pass</v>
      </c>
    </row>
    <row r="19" spans="2:7">
      <c r="B19" s="52" t="s">
        <v>368</v>
      </c>
      <c r="C19" s="56" t="s">
        <v>414</v>
      </c>
      <c r="D19" s="56"/>
      <c r="E19" s="56"/>
      <c r="F19" s="56"/>
      <c r="G19" s="12" t="str">
        <f>Eligibility!M6</f>
        <v>Pass</v>
      </c>
    </row>
    <row r="20" spans="2:7">
      <c r="B20" s="52" t="s">
        <v>369</v>
      </c>
      <c r="C20" s="56" t="s">
        <v>415</v>
      </c>
      <c r="D20" s="56"/>
      <c r="E20" s="56"/>
      <c r="F20" s="56"/>
      <c r="G20" s="12" t="str">
        <f>Eligibility!M7</f>
        <v>Pass</v>
      </c>
    </row>
    <row r="21" spans="2:7">
      <c r="B21" s="52" t="s">
        <v>370</v>
      </c>
      <c r="C21" s="56" t="s">
        <v>469</v>
      </c>
      <c r="D21" s="56"/>
      <c r="E21" s="56"/>
      <c r="F21" s="56"/>
      <c r="G21" s="12" t="str">
        <f>Eligibility!M8</f>
        <v>Pass</v>
      </c>
    </row>
    <row r="22" spans="2:7">
      <c r="B22" s="52" t="s">
        <v>371</v>
      </c>
      <c r="C22" s="56" t="s">
        <v>484</v>
      </c>
      <c r="D22" s="56"/>
      <c r="E22" s="56"/>
      <c r="F22" s="56"/>
      <c r="G22" s="12" t="str">
        <f>High_Cost!M5</f>
        <v>Pass</v>
      </c>
    </row>
    <row r="23" spans="2:7">
      <c r="B23" s="52" t="s">
        <v>372</v>
      </c>
      <c r="C23" s="56" t="s">
        <v>485</v>
      </c>
      <c r="D23" s="56"/>
      <c r="E23" s="56"/>
      <c r="F23" s="56"/>
      <c r="G23" s="12" t="str">
        <f>High_Cost!M6</f>
        <v>Pass</v>
      </c>
    </row>
    <row r="24" spans="2:7">
      <c r="B24" s="52" t="s">
        <v>374</v>
      </c>
      <c r="C24" s="56" t="s">
        <v>547</v>
      </c>
      <c r="D24" s="56"/>
      <c r="E24" s="56"/>
      <c r="F24" s="56"/>
      <c r="G24" s="12" t="str">
        <f>Historical_Scores!M6</f>
        <v>Pass</v>
      </c>
    </row>
    <row r="25" spans="2:7">
      <c r="B25" s="52" t="s">
        <v>416</v>
      </c>
      <c r="C25" s="56" t="s">
        <v>548</v>
      </c>
      <c r="D25" s="56"/>
      <c r="E25" s="56"/>
      <c r="F25" s="56"/>
      <c r="G25" s="12" t="str">
        <f>Historical_Scores!M7</f>
        <v>Pass</v>
      </c>
    </row>
    <row r="26" spans="2:7">
      <c r="B26" s="52" t="s">
        <v>417</v>
      </c>
      <c r="C26" s="56" t="s">
        <v>431</v>
      </c>
      <c r="D26" s="56"/>
      <c r="E26" s="56"/>
      <c r="F26" s="56"/>
      <c r="G26" s="12" t="str">
        <f>Medical_Claims!M6</f>
        <v>Pass</v>
      </c>
    </row>
    <row r="27" spans="2:7">
      <c r="B27" s="52" t="s">
        <v>418</v>
      </c>
      <c r="C27" s="56" t="s">
        <v>432</v>
      </c>
      <c r="D27" s="56"/>
      <c r="E27" s="56"/>
      <c r="F27" s="56"/>
      <c r="G27" s="12" t="str">
        <f>Medical_Claims!M7</f>
        <v>Pass</v>
      </c>
    </row>
    <row r="28" spans="2:7">
      <c r="B28" s="52" t="s">
        <v>419</v>
      </c>
      <c r="C28" s="56" t="s">
        <v>470</v>
      </c>
      <c r="D28" s="56"/>
      <c r="E28" s="56"/>
      <c r="F28" s="56"/>
      <c r="G28" s="12" t="str">
        <f>Medical_Claims!M8</f>
        <v>Pass</v>
      </c>
    </row>
    <row r="29" spans="2:7">
      <c r="B29" s="52" t="s">
        <v>472</v>
      </c>
      <c r="C29" s="56" t="s">
        <v>504</v>
      </c>
      <c r="D29" s="56"/>
      <c r="E29" s="56"/>
      <c r="F29" s="56"/>
      <c r="G29" s="12" t="str">
        <f>Participation!M7</f>
        <v>Pass</v>
      </c>
    </row>
    <row r="30" spans="2:7">
      <c r="B30" s="52" t="s">
        <v>473</v>
      </c>
      <c r="C30" s="56" t="s">
        <v>499</v>
      </c>
      <c r="D30" s="56"/>
      <c r="E30" s="56"/>
      <c r="F30" s="56"/>
      <c r="G30" s="12" t="str">
        <f>Participation!M8</f>
        <v>Pass</v>
      </c>
    </row>
    <row r="31" spans="2:7">
      <c r="B31" s="52" t="s">
        <v>474</v>
      </c>
      <c r="C31" s="56" t="s">
        <v>500</v>
      </c>
      <c r="D31" s="56"/>
      <c r="E31" s="56"/>
      <c r="F31" s="56"/>
      <c r="G31" s="40" t="str">
        <f>Participation!M9</f>
        <v>Pass</v>
      </c>
    </row>
    <row r="32" spans="2:7">
      <c r="B32" s="52" t="s">
        <v>486</v>
      </c>
      <c r="C32" s="56" t="s">
        <v>420</v>
      </c>
      <c r="D32" s="56"/>
      <c r="E32" s="56"/>
      <c r="F32" s="56"/>
      <c r="G32" s="12" t="str">
        <f>Member_PCP!M6</f>
        <v>Pass</v>
      </c>
    </row>
    <row r="33" spans="2:7">
      <c r="B33" s="52" t="s">
        <v>487</v>
      </c>
      <c r="C33" s="56" t="s">
        <v>425</v>
      </c>
      <c r="D33" s="56"/>
      <c r="E33" s="56"/>
      <c r="F33" s="56"/>
      <c r="G33" s="12" t="str">
        <f>Member_PCP!M7</f>
        <v>Pass</v>
      </c>
    </row>
    <row r="34" spans="2:7">
      <c r="B34" s="52" t="s">
        <v>488</v>
      </c>
      <c r="C34" s="56" t="s">
        <v>421</v>
      </c>
      <c r="D34" s="56"/>
      <c r="E34" s="56"/>
      <c r="F34" s="56"/>
      <c r="G34" s="12" t="str">
        <f>Pharmacy!M6</f>
        <v>Pass</v>
      </c>
    </row>
    <row r="35" spans="2:7">
      <c r="B35" s="52" t="s">
        <v>489</v>
      </c>
      <c r="C35" s="56" t="s">
        <v>426</v>
      </c>
      <c r="D35" s="56"/>
      <c r="E35" s="56"/>
      <c r="F35" s="56"/>
      <c r="G35" s="12" t="str">
        <f>Pharmacy!M7</f>
        <v>Pass</v>
      </c>
    </row>
    <row r="36" spans="2:7">
      <c r="B36" s="52" t="s">
        <v>501</v>
      </c>
      <c r="C36" s="56" t="s">
        <v>471</v>
      </c>
      <c r="D36" s="56"/>
      <c r="E36" s="56"/>
      <c r="F36" s="56"/>
      <c r="G36" s="12" t="str">
        <f>Pharmacy!M8</f>
        <v>Pass</v>
      </c>
    </row>
    <row r="37" spans="2:7">
      <c r="B37" s="52" t="s">
        <v>502</v>
      </c>
      <c r="C37" s="56" t="s">
        <v>422</v>
      </c>
      <c r="D37" s="56"/>
      <c r="E37" s="56"/>
      <c r="F37" s="56"/>
      <c r="G37" s="12" t="str">
        <f>Quality_Metrics!M6</f>
        <v>Pass</v>
      </c>
    </row>
    <row r="38" spans="2:7">
      <c r="B38" s="52" t="s">
        <v>503</v>
      </c>
      <c r="C38" s="56" t="s">
        <v>427</v>
      </c>
      <c r="D38" s="56"/>
      <c r="E38" s="56"/>
      <c r="F38" s="56"/>
      <c r="G38" s="12" t="str">
        <f>Quality_Metrics!M7</f>
        <v>Pass</v>
      </c>
    </row>
    <row r="39" spans="2:7">
      <c r="B39" s="52" t="s">
        <v>533</v>
      </c>
      <c r="C39" s="56" t="s">
        <v>423</v>
      </c>
      <c r="D39" s="56"/>
      <c r="E39" s="56"/>
      <c r="F39" s="56"/>
      <c r="G39" s="12" t="str">
        <f>Scores!M6</f>
        <v>Pass</v>
      </c>
    </row>
    <row r="40" spans="2:7">
      <c r="B40" s="52" t="s">
        <v>534</v>
      </c>
      <c r="C40" s="56" t="s">
        <v>428</v>
      </c>
      <c r="D40" s="56"/>
      <c r="E40" s="56"/>
      <c r="F40" s="56"/>
      <c r="G40" s="12" t="str">
        <f>Scores!M7</f>
        <v>Pass</v>
      </c>
    </row>
    <row r="41" spans="2:7">
      <c r="B41" s="52" t="s">
        <v>545</v>
      </c>
      <c r="C41" s="56" t="s">
        <v>424</v>
      </c>
      <c r="D41" s="56"/>
      <c r="E41" s="56"/>
      <c r="F41" s="56"/>
      <c r="G41" s="12" t="str">
        <f>Visit!M6</f>
        <v>Pass</v>
      </c>
    </row>
    <row r="42" spans="2:7">
      <c r="B42" s="52" t="s">
        <v>546</v>
      </c>
      <c r="C42" s="56" t="s">
        <v>429</v>
      </c>
      <c r="D42" s="56"/>
      <c r="E42" s="56"/>
      <c r="F42" s="56"/>
      <c r="G42" s="12" t="str">
        <f>Visit!M7</f>
        <v>Pass</v>
      </c>
    </row>
  </sheetData>
  <mergeCells count="33">
    <mergeCell ref="C16:F16"/>
    <mergeCell ref="C18:F18"/>
    <mergeCell ref="C25:F25"/>
    <mergeCell ref="C42:F42"/>
    <mergeCell ref="B8:G8"/>
    <mergeCell ref="C39:F39"/>
    <mergeCell ref="C41:F41"/>
    <mergeCell ref="C38:F38"/>
    <mergeCell ref="C40:F40"/>
    <mergeCell ref="C21:F21"/>
    <mergeCell ref="C28:F28"/>
    <mergeCell ref="C36:F36"/>
    <mergeCell ref="C23:F23"/>
    <mergeCell ref="C29:F29"/>
    <mergeCell ref="C30:F30"/>
    <mergeCell ref="C31:F31"/>
    <mergeCell ref="C15:F15"/>
    <mergeCell ref="C22:F22"/>
    <mergeCell ref="C24:F24"/>
    <mergeCell ref="B1:G1"/>
    <mergeCell ref="C14:F14"/>
    <mergeCell ref="C37:F37"/>
    <mergeCell ref="C20:F20"/>
    <mergeCell ref="C27:F27"/>
    <mergeCell ref="C33:F33"/>
    <mergeCell ref="C35:F35"/>
    <mergeCell ref="C13:F13"/>
    <mergeCell ref="C32:F32"/>
    <mergeCell ref="C34:F34"/>
    <mergeCell ref="B12:G12"/>
    <mergeCell ref="C19:F19"/>
    <mergeCell ref="C26:F26"/>
    <mergeCell ref="C17:F17"/>
  </mergeCells>
  <conditionalFormatting sqref="F10 G14:G42">
    <cfRule type="cellIs" dxfId="181" priority="41" operator="equal">
      <formula>"Fail"</formula>
    </cfRule>
    <cfRule type="cellIs" dxfId="180" priority="42" operator="equal">
      <formula>"Pass"</formula>
    </cfRule>
  </conditionalFormatting>
  <conditionalFormatting sqref="F10 G14:G42">
    <cfRule type="cellIs" dxfId="179" priority="39" operator="equal">
      <formula>"Not Tested"</formula>
    </cfRule>
    <cfRule type="cellIs" dxfId="178" priority="40" operator="equal">
      <formula>"Partially Pass"</formula>
    </cfRule>
  </conditionalFormatting>
  <conditionalFormatting sqref="F10">
    <cfRule type="containsText" dxfId="177" priority="1" operator="containsText" text="Partially Pass">
      <formula>NOT(ISERROR(SEARCH("Partially Pass",F10)))</formula>
    </cfRule>
    <cfRule type="containsText" dxfId="176" priority="2" operator="containsText" text="Pass">
      <formula>NOT(ISERROR(SEARCH("Pass",F10)))</formula>
    </cfRule>
    <cfRule type="cellIs" dxfId="175" priority="25" operator="equal">
      <formula>"Not Tested"</formula>
    </cfRule>
    <cfRule type="cellIs" dxfId="174" priority="26" operator="equal">
      <formula>"Pending"</formula>
    </cfRule>
    <cfRule type="cellIs" dxfId="173" priority="27" operator="equal">
      <formula>"Ongoing"</formula>
    </cfRule>
    <cfRule type="cellIs" dxfId="172" priority="28" operator="equal">
      <formula>"Blocked"</formula>
    </cfRule>
    <cfRule type="cellIs" dxfId="171" priority="29" operator="equal">
      <formula>"Fail"</formula>
    </cfRule>
    <cfRule type="cellIs" dxfId="170" priority="30" operator="equal">
      <formula>"Partially Fail"</formula>
    </cfRule>
    <cfRule type="cellIs" dxfId="169" priority="31" operator="equal">
      <formula>"Pass"</formula>
    </cfRule>
  </conditionalFormatting>
  <conditionalFormatting sqref="F10">
    <cfRule type="cellIs" dxfId="168" priority="32" operator="equal">
      <formula>"Not Tested"</formula>
    </cfRule>
    <cfRule type="cellIs" dxfId="167" priority="33" operator="equal">
      <formula>"Pending"</formula>
    </cfRule>
    <cfRule type="cellIs" dxfId="166" priority="34" operator="equal">
      <formula>"Ongoing"</formula>
    </cfRule>
    <cfRule type="cellIs" dxfId="165" priority="35" operator="equal">
      <formula>"Blocked"</formula>
    </cfRule>
    <cfRule type="cellIs" dxfId="164" priority="36" operator="equal">
      <formula>"Fail"</formula>
    </cfRule>
    <cfRule type="cellIs" dxfId="163" priority="37" operator="equal">
      <formula>"Partially Pass"</formula>
    </cfRule>
    <cfRule type="cellIs" dxfId="162" priority="38" operator="equal">
      <formula>"Pass"</formula>
    </cfRule>
  </conditionalFormatting>
  <conditionalFormatting sqref="G42">
    <cfRule type="cellIs" dxfId="161" priority="5" operator="equal">
      <formula>"Fail"</formula>
    </cfRule>
    <cfRule type="cellIs" dxfId="160" priority="6" operator="equal">
      <formula>"Pass"</formula>
    </cfRule>
  </conditionalFormatting>
  <conditionalFormatting sqref="G42">
    <cfRule type="cellIs" dxfId="159" priority="3" operator="equal">
      <formula>"Not Tested"</formula>
    </cfRule>
    <cfRule type="cellIs" dxfId="158" priority="4" operator="equal">
      <formula>"Partially Pass"</formula>
    </cfRule>
  </conditionalFormatting>
  <dataValidations count="1">
    <dataValidation type="list" allowBlank="1" showInputMessage="1" showErrorMessage="1" sqref="F10">
      <formula1>"Pass,Fail,Partially Pass,Not Tested"</formula1>
    </dataValidation>
  </dataValidation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M31"/>
  <sheetViews>
    <sheetView showGridLines="0" workbookViewId="0">
      <pane ySplit="2" topLeftCell="A3" activePane="bottomLeft" state="frozen"/>
      <selection pane="bottomLeft" activeCell="B1" sqref="B1:C1"/>
    </sheetView>
  </sheetViews>
  <sheetFormatPr defaultRowHeight="15"/>
  <cols>
    <col min="1" max="1" width="3.28515625" customWidth="1"/>
    <col min="2" max="2" width="18.5703125" bestFit="1" customWidth="1"/>
    <col min="3" max="3" width="9.85546875" bestFit="1" customWidth="1"/>
    <col min="4" max="4" width="18.5703125" bestFit="1" customWidth="1"/>
    <col min="5" max="5" width="9.85546875" bestFit="1" customWidth="1"/>
    <col min="6" max="6" width="10.85546875" bestFit="1" customWidth="1"/>
    <col min="7" max="7" width="10.7109375" bestFit="1" customWidth="1"/>
    <col min="8" max="8" width="9.140625" hidden="1" customWidth="1"/>
    <col min="9" max="9" width="7" hidden="1" customWidth="1"/>
    <col min="10" max="10" width="5.140625" customWidth="1"/>
    <col min="11" max="11" width="21.5703125" bestFit="1" customWidth="1"/>
    <col min="12" max="12" width="11.28515625" bestFit="1" customWidth="1"/>
    <col min="13" max="13" width="9.140625" customWidth="1"/>
    <col min="18" max="18" width="26.42578125" bestFit="1" customWidth="1"/>
  </cols>
  <sheetData>
    <row r="1" spans="2:13">
      <c r="B1" s="58" t="s">
        <v>391</v>
      </c>
      <c r="C1" s="58"/>
      <c r="D1" s="58" t="s">
        <v>357</v>
      </c>
      <c r="E1" s="58"/>
      <c r="F1" s="59" t="s">
        <v>375</v>
      </c>
      <c r="G1" s="59" t="s">
        <v>360</v>
      </c>
      <c r="M1" s="27" t="s">
        <v>413</v>
      </c>
    </row>
    <row r="2" spans="2:13">
      <c r="B2" s="16" t="s">
        <v>358</v>
      </c>
      <c r="C2" s="16" t="s">
        <v>359</v>
      </c>
      <c r="D2" s="16" t="s">
        <v>358</v>
      </c>
      <c r="E2" s="16" t="s">
        <v>359</v>
      </c>
      <c r="F2" s="59"/>
      <c r="G2" s="59"/>
      <c r="K2" s="25" t="s">
        <v>430</v>
      </c>
      <c r="L2" s="12" t="str">
        <f>IF(ISERROR(VLOOKUP($M$1,$G$2:$G$11,1,)),"Pass","Fail")</f>
        <v>Pass</v>
      </c>
    </row>
    <row r="3" spans="2:13">
      <c r="B3" s="55" t="s">
        <v>507</v>
      </c>
      <c r="C3" s="11"/>
      <c r="D3" s="55" t="s">
        <v>507</v>
      </c>
      <c r="E3" s="55" t="s">
        <v>508</v>
      </c>
      <c r="F3" s="2">
        <f>IF(I3=0,0%,(I3-H3)/I3)</f>
        <v>0</v>
      </c>
      <c r="G3" s="12" t="str">
        <f>IF(AND(F3&lt;=10%,F3&gt;=-10%),"Pass","Fail")</f>
        <v>Pass</v>
      </c>
      <c r="K3" s="54"/>
      <c r="L3" s="38"/>
    </row>
    <row r="4" spans="2:13">
      <c r="B4" s="45" t="s">
        <v>490</v>
      </c>
      <c r="C4" s="11"/>
      <c r="D4" s="49" t="s">
        <v>490</v>
      </c>
      <c r="E4" s="55" t="s">
        <v>509</v>
      </c>
      <c r="F4" s="2">
        <v>0</v>
      </c>
      <c r="G4" s="12" t="str">
        <f t="shared" ref="G4:G13" si="0">IF(AND(F4&lt;=10%,F4&gt;=-10%),"Pass","Fail")</f>
        <v>Pass</v>
      </c>
      <c r="H4" s="1" t="e">
        <f>LEFT(C4, SEARCH(" ", C4, 1))</f>
        <v>#VALUE!</v>
      </c>
      <c r="I4" s="1" t="str">
        <f>LEFT(E4, SEARCH(" ", E4, 1))</f>
        <v xml:space="preserve">1.60 </v>
      </c>
    </row>
    <row r="5" spans="2:13">
      <c r="B5" s="45" t="s">
        <v>73</v>
      </c>
      <c r="C5" s="11"/>
      <c r="D5" s="49" t="s">
        <v>73</v>
      </c>
      <c r="E5" s="55" t="s">
        <v>510</v>
      </c>
      <c r="F5" s="2">
        <v>0</v>
      </c>
      <c r="G5" s="12" t="str">
        <f t="shared" si="0"/>
        <v>Pass</v>
      </c>
      <c r="H5" s="1" t="e">
        <f t="shared" ref="H5:H11" si="1">LEFT(C5, SEARCH(" ", C5, 1))</f>
        <v>#VALUE!</v>
      </c>
      <c r="I5" s="1" t="str">
        <f t="shared" ref="I5:I11" si="2">LEFT(E5, SEARCH(" ", E5, 1))</f>
        <v xml:space="preserve">64.14 </v>
      </c>
    </row>
    <row r="6" spans="2:13">
      <c r="B6" s="49" t="s">
        <v>491</v>
      </c>
      <c r="C6" s="11"/>
      <c r="D6" s="49" t="s">
        <v>491</v>
      </c>
      <c r="E6" s="55" t="s">
        <v>550</v>
      </c>
      <c r="F6" s="2">
        <v>0</v>
      </c>
      <c r="G6" s="12" t="str">
        <f t="shared" si="0"/>
        <v>Pass</v>
      </c>
      <c r="H6" s="1" t="e">
        <f t="shared" si="1"/>
        <v>#VALUE!</v>
      </c>
      <c r="I6" s="1" t="str">
        <f t="shared" si="2"/>
        <v xml:space="preserve">685.35 </v>
      </c>
      <c r="M6" s="29"/>
    </row>
    <row r="7" spans="2:13">
      <c r="B7" s="52" t="s">
        <v>511</v>
      </c>
      <c r="C7" s="11"/>
      <c r="D7" s="52" t="s">
        <v>511</v>
      </c>
      <c r="E7" s="55" t="s">
        <v>512</v>
      </c>
      <c r="F7" s="2">
        <f t="shared" ref="F7" si="3">IF(I7=0,0%,(I7-H7)/I7)</f>
        <v>0</v>
      </c>
      <c r="G7" s="12" t="str">
        <f t="shared" si="0"/>
        <v>Pass</v>
      </c>
      <c r="H7" s="52"/>
      <c r="I7" s="52"/>
      <c r="M7" s="29"/>
    </row>
    <row r="8" spans="2:13">
      <c r="B8" s="49" t="s">
        <v>74</v>
      </c>
      <c r="C8" s="11"/>
      <c r="D8" s="49" t="s">
        <v>74</v>
      </c>
      <c r="E8" s="55" t="s">
        <v>513</v>
      </c>
      <c r="F8" s="2">
        <v>0</v>
      </c>
      <c r="G8" s="12" t="str">
        <f t="shared" si="0"/>
        <v>Pass</v>
      </c>
      <c r="H8" s="1" t="e">
        <f t="shared" si="1"/>
        <v>#VALUE!</v>
      </c>
      <c r="I8" s="1" t="str">
        <f t="shared" si="2"/>
        <v xml:space="preserve">463.96 </v>
      </c>
      <c r="M8" s="29"/>
    </row>
    <row r="9" spans="2:13">
      <c r="B9" s="49" t="s">
        <v>492</v>
      </c>
      <c r="C9" s="11"/>
      <c r="D9" s="49" t="s">
        <v>492</v>
      </c>
      <c r="E9" s="55" t="s">
        <v>514</v>
      </c>
      <c r="F9" s="2">
        <v>0</v>
      </c>
      <c r="G9" s="12" t="str">
        <f t="shared" si="0"/>
        <v>Pass</v>
      </c>
      <c r="H9" s="1" t="e">
        <f t="shared" si="1"/>
        <v>#VALUE!</v>
      </c>
      <c r="I9" s="1" t="str">
        <f t="shared" si="2"/>
        <v xml:space="preserve">151 </v>
      </c>
      <c r="M9" s="29"/>
    </row>
    <row r="10" spans="2:13">
      <c r="B10" s="49" t="s">
        <v>75</v>
      </c>
      <c r="C10" s="11"/>
      <c r="D10" s="49" t="s">
        <v>75</v>
      </c>
      <c r="E10" s="55" t="s">
        <v>551</v>
      </c>
      <c r="F10" s="2">
        <v>0</v>
      </c>
      <c r="G10" s="12" t="str">
        <f t="shared" si="0"/>
        <v>Pass</v>
      </c>
      <c r="H10" s="1" t="e">
        <f t="shared" si="1"/>
        <v>#VALUE!</v>
      </c>
      <c r="I10" s="1" t="str">
        <f t="shared" si="2"/>
        <v xml:space="preserve">634.43 </v>
      </c>
      <c r="M10" s="29"/>
    </row>
    <row r="11" spans="2:13">
      <c r="B11" s="49" t="s">
        <v>76</v>
      </c>
      <c r="C11" s="11"/>
      <c r="D11" s="49" t="s">
        <v>76</v>
      </c>
      <c r="E11" s="55" t="s">
        <v>515</v>
      </c>
      <c r="F11" s="2">
        <v>0</v>
      </c>
      <c r="G11" s="12" t="str">
        <f t="shared" si="0"/>
        <v>Pass</v>
      </c>
      <c r="H11" s="1" t="e">
        <f t="shared" si="1"/>
        <v>#VALUE!</v>
      </c>
      <c r="I11" s="1" t="str">
        <f t="shared" si="2"/>
        <v xml:space="preserve">1.52 </v>
      </c>
      <c r="M11" s="29"/>
    </row>
    <row r="12" spans="2:13">
      <c r="B12" s="49" t="s">
        <v>77</v>
      </c>
      <c r="C12" s="11"/>
      <c r="D12" s="49" t="s">
        <v>77</v>
      </c>
      <c r="E12" s="55" t="s">
        <v>516</v>
      </c>
      <c r="F12" s="2">
        <v>0</v>
      </c>
      <c r="G12" s="12" t="str">
        <f t="shared" si="0"/>
        <v>Pass</v>
      </c>
      <c r="H12" s="49" t="e">
        <f t="shared" ref="H12:H14" si="4">LEFT(C12, SEARCH(" ", C12, 1))</f>
        <v>#VALUE!</v>
      </c>
      <c r="I12" s="49" t="str">
        <f t="shared" ref="I12:I14" si="5">LEFT(E12, SEARCH(" ", E12, 1))</f>
        <v xml:space="preserve">14.30 </v>
      </c>
      <c r="M12" s="29"/>
    </row>
    <row r="13" spans="2:13">
      <c r="B13" s="49" t="s">
        <v>78</v>
      </c>
      <c r="C13" s="49"/>
      <c r="D13" s="49" t="s">
        <v>78</v>
      </c>
      <c r="E13" s="55" t="s">
        <v>552</v>
      </c>
      <c r="F13" s="2">
        <v>0</v>
      </c>
      <c r="G13" s="12" t="str">
        <f t="shared" si="0"/>
        <v>Pass</v>
      </c>
      <c r="H13" s="49" t="e">
        <f t="shared" si="4"/>
        <v>#VALUE!</v>
      </c>
      <c r="I13" s="49" t="str">
        <f t="shared" si="5"/>
        <v xml:space="preserve">624.74 </v>
      </c>
      <c r="M13" s="29"/>
    </row>
    <row r="14" spans="2:13">
      <c r="B14" s="49" t="s">
        <v>79</v>
      </c>
      <c r="C14" s="49"/>
      <c r="D14" s="49" t="s">
        <v>79</v>
      </c>
      <c r="E14" s="55" t="s">
        <v>517</v>
      </c>
      <c r="F14" s="2">
        <v>0</v>
      </c>
      <c r="G14" s="12" t="str">
        <f>IF(AND(F14&lt;=10%,F14&gt;=-10%),"Pass","Fail")</f>
        <v>Pass</v>
      </c>
      <c r="H14" s="49" t="e">
        <f t="shared" si="4"/>
        <v>#VALUE!</v>
      </c>
      <c r="I14" s="49" t="str">
        <f t="shared" si="5"/>
        <v xml:space="preserve">5.78 </v>
      </c>
      <c r="M14" s="29"/>
    </row>
    <row r="15" spans="2:13">
      <c r="M15" s="29"/>
    </row>
    <row r="16" spans="2:13">
      <c r="M16" s="29"/>
    </row>
    <row r="17" spans="2:13">
      <c r="K17" s="29"/>
      <c r="M17" s="29"/>
    </row>
    <row r="18" spans="2:13">
      <c r="E18" s="29"/>
      <c r="M18" s="29"/>
    </row>
    <row r="19" spans="2:13">
      <c r="M19" s="29"/>
    </row>
    <row r="20" spans="2:13">
      <c r="B20" s="29"/>
      <c r="M20" s="29"/>
    </row>
    <row r="21" spans="2:13">
      <c r="B21" s="29"/>
      <c r="M21" s="29"/>
    </row>
    <row r="22" spans="2:13">
      <c r="B22" s="29"/>
      <c r="M22" s="29"/>
    </row>
    <row r="23" spans="2:13">
      <c r="B23" s="29"/>
      <c r="M23" s="29"/>
    </row>
    <row r="24" spans="2:13">
      <c r="B24" s="29"/>
      <c r="M24" s="29"/>
    </row>
    <row r="25" spans="2:13">
      <c r="B25" s="29"/>
      <c r="M25" s="29"/>
    </row>
    <row r="26" spans="2:13">
      <c r="B26" s="29"/>
      <c r="M26" s="29"/>
    </row>
    <row r="27" spans="2:13">
      <c r="M27" s="29"/>
    </row>
    <row r="28" spans="2:13">
      <c r="M28" s="29"/>
    </row>
    <row r="29" spans="2:13">
      <c r="M29" s="29"/>
    </row>
    <row r="30" spans="2:13">
      <c r="M30" s="29"/>
    </row>
    <row r="31" spans="2:13">
      <c r="M31" s="29"/>
    </row>
  </sheetData>
  <mergeCells count="4">
    <mergeCell ref="B1:C1"/>
    <mergeCell ref="D1:E1"/>
    <mergeCell ref="G1:G2"/>
    <mergeCell ref="F1:F2"/>
  </mergeCells>
  <conditionalFormatting sqref="G4:G14">
    <cfRule type="cellIs" dxfId="157" priority="7" operator="equal">
      <formula>"Fail"</formula>
    </cfRule>
    <cfRule type="cellIs" dxfId="156" priority="8" operator="equal">
      <formula>"Pass"</formula>
    </cfRule>
  </conditionalFormatting>
  <conditionalFormatting sqref="L2:L3">
    <cfRule type="cellIs" dxfId="155" priority="5" operator="equal">
      <formula>"Fail"</formula>
    </cfRule>
    <cfRule type="cellIs" dxfId="154" priority="6" operator="equal">
      <formula>"Pass"</formula>
    </cfRule>
  </conditionalFormatting>
  <conditionalFormatting sqref="G3:G14">
    <cfRule type="cellIs" dxfId="153" priority="1" operator="equal">
      <formula>"Fail"</formula>
    </cfRule>
    <cfRule type="cellIs" dxfId="152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O19"/>
  <sheetViews>
    <sheetView showGridLines="0" workbookViewId="0">
      <pane ySplit="1" topLeftCell="A2" activePane="bottomLeft" state="frozen"/>
      <selection pane="bottomLeft" activeCell="F2" sqref="F2:F19"/>
    </sheetView>
  </sheetViews>
  <sheetFormatPr defaultRowHeight="1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" customWidth="1"/>
    <col min="9" max="9" width="15.140625" hidden="1" customWidth="1"/>
    <col min="10" max="10" width="11" hidden="1" customWidth="1"/>
    <col min="11" max="11" width="7.855468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>
      <c r="B1" s="17" t="s">
        <v>389</v>
      </c>
      <c r="C1" s="17" t="s">
        <v>397</v>
      </c>
      <c r="D1" s="17" t="s">
        <v>390</v>
      </c>
      <c r="E1" s="17" t="s">
        <v>72</v>
      </c>
      <c r="F1" s="17" t="s">
        <v>80</v>
      </c>
      <c r="G1" s="17" t="s">
        <v>81</v>
      </c>
      <c r="H1" s="17" t="s">
        <v>82</v>
      </c>
      <c r="L1" s="21" t="s">
        <v>460</v>
      </c>
      <c r="M1" s="21" t="s">
        <v>461</v>
      </c>
      <c r="N1" s="21" t="s">
        <v>396</v>
      </c>
      <c r="O1" s="26" t="s">
        <v>413</v>
      </c>
    </row>
    <row r="2" spans="2:15">
      <c r="B2" s="52" t="s">
        <v>83</v>
      </c>
      <c r="C2" s="52" t="s">
        <v>399</v>
      </c>
      <c r="D2" s="12"/>
      <c r="E2" s="52" t="s">
        <v>83</v>
      </c>
      <c r="F2" s="12">
        <v>5</v>
      </c>
      <c r="G2" s="12" t="str">
        <f>IF(I2=J2,"Pass","Fail")</f>
        <v>Pass</v>
      </c>
      <c r="H2" s="13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>
        <v>15557</v>
      </c>
      <c r="M2" s="20"/>
      <c r="N2" s="23">
        <f>L2-M2</f>
        <v>15557</v>
      </c>
    </row>
    <row r="3" spans="2:15">
      <c r="B3" s="52" t="s">
        <v>71</v>
      </c>
      <c r="C3" s="52" t="s">
        <v>399</v>
      </c>
      <c r="D3" s="12"/>
      <c r="E3" s="52" t="s">
        <v>71</v>
      </c>
      <c r="F3" s="12">
        <v>32</v>
      </c>
      <c r="G3" s="12" t="str">
        <f t="shared" ref="G3:G19" si="0">IF(I3=J3,"Pass","Fail")</f>
        <v>Pass</v>
      </c>
      <c r="H3" s="13" t="str">
        <f t="shared" ref="H3:H19" si="1">IF(AND(ISBLANK(D3),F3&gt;=0),"Pass",IF(F3&lt;=D3,"Pass","Fail"))</f>
        <v>Pass</v>
      </c>
      <c r="I3" s="3" t="str">
        <f t="shared" ref="I3:I19" si="2">SUBSTITUTE(B3,"_","")</f>
        <v>dwmemberid</v>
      </c>
      <c r="J3" s="3" t="str">
        <f t="shared" ref="J3:J19" si="3">SUBSTITUTE(E3,"_","")</f>
        <v>dwmemberid</v>
      </c>
    </row>
    <row r="4" spans="2:15">
      <c r="B4" s="52" t="s">
        <v>0</v>
      </c>
      <c r="C4" s="52" t="s">
        <v>399</v>
      </c>
      <c r="D4" s="12"/>
      <c r="E4" s="52" t="s">
        <v>0</v>
      </c>
      <c r="F4" s="12">
        <v>20</v>
      </c>
      <c r="G4" s="12" t="str">
        <f t="shared" si="0"/>
        <v>Pass</v>
      </c>
      <c r="H4" s="13" t="str">
        <f t="shared" si="1"/>
        <v>Pass</v>
      </c>
      <c r="I4" s="3" t="str">
        <f t="shared" si="2"/>
        <v>mbrid</v>
      </c>
      <c r="J4" s="3" t="str">
        <f t="shared" si="3"/>
        <v>mbrid</v>
      </c>
      <c r="L4" s="25" t="s">
        <v>403</v>
      </c>
      <c r="M4" s="53" t="s">
        <v>401</v>
      </c>
    </row>
    <row r="5" spans="2:15">
      <c r="B5" s="52" t="s">
        <v>518</v>
      </c>
      <c r="C5" s="52" t="s">
        <v>399</v>
      </c>
      <c r="D5" s="12"/>
      <c r="E5" s="52" t="s">
        <v>518</v>
      </c>
      <c r="F5" s="12">
        <v>13</v>
      </c>
      <c r="G5" s="12" t="str">
        <f t="shared" si="0"/>
        <v>Pass</v>
      </c>
      <c r="H5" s="13" t="str">
        <f t="shared" si="1"/>
        <v>Pass</v>
      </c>
      <c r="I5" s="3" t="str">
        <f t="shared" si="2"/>
        <v>firstname</v>
      </c>
      <c r="J5" s="3" t="str">
        <f t="shared" si="3"/>
        <v>firstname</v>
      </c>
      <c r="L5" s="24" t="s">
        <v>81</v>
      </c>
      <c r="M5" s="12" t="str">
        <f>IF(ISERROR(VLOOKUP($O$1,$G$2:$G$19,1,)),"Pass","Fail")</f>
        <v>Pass</v>
      </c>
    </row>
    <row r="6" spans="2:15">
      <c r="B6" s="52" t="s">
        <v>519</v>
      </c>
      <c r="C6" s="52" t="s">
        <v>399</v>
      </c>
      <c r="D6" s="12"/>
      <c r="E6" s="52" t="s">
        <v>519</v>
      </c>
      <c r="F6" s="12">
        <v>16</v>
      </c>
      <c r="G6" s="12" t="str">
        <f t="shared" si="0"/>
        <v>Pass</v>
      </c>
      <c r="H6" s="13" t="str">
        <f t="shared" si="1"/>
        <v>Pass</v>
      </c>
      <c r="I6" s="3" t="str">
        <f t="shared" si="2"/>
        <v>lastname</v>
      </c>
      <c r="J6" s="3" t="str">
        <f t="shared" si="3"/>
        <v>lastname</v>
      </c>
      <c r="L6" s="24" t="s">
        <v>402</v>
      </c>
      <c r="M6" s="12" t="str">
        <f>IF(ISERROR(VLOOKUP($O$1,$H$2:$H$19,1,)),"Pass","Fail")</f>
        <v>Pass</v>
      </c>
    </row>
    <row r="7" spans="2:15">
      <c r="B7" s="52" t="s">
        <v>520</v>
      </c>
      <c r="C7" s="52" t="s">
        <v>399</v>
      </c>
      <c r="D7" s="12"/>
      <c r="E7" s="52" t="s">
        <v>520</v>
      </c>
      <c r="F7" s="12">
        <v>0</v>
      </c>
      <c r="G7" s="12" t="str">
        <f t="shared" si="0"/>
        <v>Pass</v>
      </c>
      <c r="H7" s="13" t="str">
        <f t="shared" si="1"/>
        <v>Pass</v>
      </c>
      <c r="I7" s="3" t="str">
        <f t="shared" si="2"/>
        <v>middlename</v>
      </c>
      <c r="J7" s="3" t="str">
        <f t="shared" si="3"/>
        <v>middlename</v>
      </c>
      <c r="L7" s="24" t="s">
        <v>467</v>
      </c>
      <c r="M7" s="39">
        <f>IF(M2=0,0%,N2/M2)</f>
        <v>0</v>
      </c>
    </row>
    <row r="8" spans="2:15">
      <c r="B8" s="52" t="s">
        <v>8</v>
      </c>
      <c r="C8" s="52" t="s">
        <v>399</v>
      </c>
      <c r="D8" s="12"/>
      <c r="E8" s="52" t="s">
        <v>8</v>
      </c>
      <c r="F8" s="12">
        <v>10</v>
      </c>
      <c r="G8" s="12" t="str">
        <f t="shared" si="0"/>
        <v>Pass</v>
      </c>
      <c r="H8" s="13" t="str">
        <f t="shared" si="1"/>
        <v>Pass</v>
      </c>
      <c r="I8" s="3" t="str">
        <f t="shared" si="2"/>
        <v>mbrdob</v>
      </c>
      <c r="J8" s="3" t="str">
        <f t="shared" si="3"/>
        <v>mbrdob</v>
      </c>
      <c r="L8" s="24" t="s">
        <v>466</v>
      </c>
      <c r="M8" s="41">
        <f>File_Size_Comparision!F4</f>
        <v>0</v>
      </c>
    </row>
    <row r="9" spans="2:15">
      <c r="B9" s="52" t="s">
        <v>7</v>
      </c>
      <c r="C9" s="52" t="s">
        <v>399</v>
      </c>
      <c r="D9" s="12"/>
      <c r="E9" s="52" t="s">
        <v>7</v>
      </c>
      <c r="F9" s="12">
        <v>7</v>
      </c>
      <c r="G9" s="12" t="str">
        <f t="shared" si="0"/>
        <v>Pass</v>
      </c>
      <c r="H9" s="13" t="str">
        <f t="shared" si="1"/>
        <v>Pass</v>
      </c>
      <c r="I9" s="3" t="str">
        <f t="shared" si="2"/>
        <v>mbrgender</v>
      </c>
      <c r="J9" s="3" t="str">
        <f t="shared" si="3"/>
        <v>mbrgender</v>
      </c>
    </row>
    <row r="10" spans="2:15">
      <c r="B10" s="52" t="s">
        <v>521</v>
      </c>
      <c r="C10" s="52" t="s">
        <v>400</v>
      </c>
      <c r="D10" s="12"/>
      <c r="E10" s="52" t="s">
        <v>521</v>
      </c>
      <c r="F10" s="12">
        <v>6</v>
      </c>
      <c r="G10" s="12" t="str">
        <f t="shared" si="0"/>
        <v>Pass</v>
      </c>
      <c r="H10" s="13" t="str">
        <f t="shared" si="1"/>
        <v>Pass</v>
      </c>
      <c r="I10" s="3" t="str">
        <f t="shared" si="2"/>
        <v>mbrstatus</v>
      </c>
      <c r="J10" s="3" t="str">
        <f t="shared" si="3"/>
        <v>mbrstatus</v>
      </c>
    </row>
    <row r="11" spans="2:15">
      <c r="B11" s="52" t="s">
        <v>522</v>
      </c>
      <c r="C11" s="52" t="s">
        <v>399</v>
      </c>
      <c r="D11" s="12"/>
      <c r="E11" s="52" t="s">
        <v>522</v>
      </c>
      <c r="F11" s="12">
        <v>16</v>
      </c>
      <c r="G11" s="12" t="str">
        <f t="shared" si="0"/>
        <v>Pass</v>
      </c>
      <c r="H11" s="13" t="str">
        <f t="shared" si="1"/>
        <v>Pass</v>
      </c>
      <c r="I11" s="3" t="str">
        <f t="shared" si="2"/>
        <v>mbrrelationship</v>
      </c>
      <c r="J11" s="3" t="str">
        <f t="shared" si="3"/>
        <v>mbrrelationship</v>
      </c>
      <c r="L11" s="43"/>
    </row>
    <row r="12" spans="2:15">
      <c r="B12" s="52" t="s">
        <v>523</v>
      </c>
      <c r="C12" s="52" t="s">
        <v>399</v>
      </c>
      <c r="D12" s="12"/>
      <c r="E12" s="52" t="s">
        <v>523</v>
      </c>
      <c r="F12" s="12">
        <v>43</v>
      </c>
      <c r="G12" s="12" t="str">
        <f t="shared" si="0"/>
        <v>Pass</v>
      </c>
      <c r="H12" s="13" t="str">
        <f t="shared" si="1"/>
        <v>Pass</v>
      </c>
      <c r="I12" s="3" t="str">
        <f t="shared" si="2"/>
        <v>pcpfullname</v>
      </c>
      <c r="J12" s="3" t="str">
        <f t="shared" si="3"/>
        <v>pcpfullname</v>
      </c>
    </row>
    <row r="13" spans="2:15">
      <c r="B13" s="52" t="s">
        <v>524</v>
      </c>
      <c r="C13" s="52" t="s">
        <v>399</v>
      </c>
      <c r="D13" s="12"/>
      <c r="E13" s="52" t="s">
        <v>524</v>
      </c>
      <c r="F13" s="12">
        <v>2</v>
      </c>
      <c r="G13" s="12" t="str">
        <f t="shared" si="0"/>
        <v>Pass</v>
      </c>
      <c r="H13" s="13" t="str">
        <f t="shared" si="1"/>
        <v>Pass</v>
      </c>
      <c r="I13" s="3" t="str">
        <f t="shared" si="2"/>
        <v>mbrage</v>
      </c>
      <c r="J13" s="3" t="str">
        <f t="shared" si="3"/>
        <v>mbrage</v>
      </c>
    </row>
    <row r="14" spans="2:15">
      <c r="B14" s="52" t="s">
        <v>525</v>
      </c>
      <c r="C14" s="52" t="s">
        <v>399</v>
      </c>
      <c r="D14" s="12"/>
      <c r="E14" s="52" t="s">
        <v>525</v>
      </c>
      <c r="F14" s="12">
        <v>2</v>
      </c>
      <c r="G14" s="12" t="str">
        <f t="shared" si="0"/>
        <v>Pass</v>
      </c>
      <c r="H14" s="13" t="str">
        <f t="shared" si="1"/>
        <v>Pass</v>
      </c>
      <c r="I14" s="3" t="str">
        <f t="shared" si="2"/>
        <v>mbrmonths</v>
      </c>
      <c r="J14" s="3" t="str">
        <f t="shared" si="3"/>
        <v>mbrmonths</v>
      </c>
    </row>
    <row r="15" spans="2:15">
      <c r="B15" s="52" t="s">
        <v>526</v>
      </c>
      <c r="C15" s="52" t="s">
        <v>399</v>
      </c>
      <c r="D15" s="12"/>
      <c r="E15" s="52" t="s">
        <v>526</v>
      </c>
      <c r="F15" s="12">
        <v>10</v>
      </c>
      <c r="G15" s="12" t="str">
        <f t="shared" si="0"/>
        <v>Pass</v>
      </c>
      <c r="H15" s="13" t="str">
        <f t="shared" si="1"/>
        <v>Pass</v>
      </c>
      <c r="I15" s="3" t="str">
        <f t="shared" si="2"/>
        <v>carealertstartDate</v>
      </c>
      <c r="J15" s="3" t="str">
        <f t="shared" si="3"/>
        <v>carealertstartDate</v>
      </c>
    </row>
    <row r="16" spans="2:15">
      <c r="B16" s="52" t="s">
        <v>527</v>
      </c>
      <c r="C16" s="52" t="s">
        <v>399</v>
      </c>
      <c r="D16" s="12"/>
      <c r="E16" s="52" t="s">
        <v>527</v>
      </c>
      <c r="F16" s="12">
        <v>21</v>
      </c>
      <c r="G16" s="12" t="str">
        <f t="shared" si="0"/>
        <v>Pass</v>
      </c>
      <c r="H16" s="13" t="str">
        <f t="shared" si="1"/>
        <v>Pass</v>
      </c>
      <c r="I16" s="3" t="str">
        <f t="shared" si="2"/>
        <v>carealertid</v>
      </c>
      <c r="J16" s="3" t="str">
        <f t="shared" si="3"/>
        <v>carealertid</v>
      </c>
    </row>
    <row r="17" spans="2:10">
      <c r="B17" s="52" t="s">
        <v>528</v>
      </c>
      <c r="C17" s="52" t="s">
        <v>399</v>
      </c>
      <c r="D17" s="12"/>
      <c r="E17" s="52" t="s">
        <v>528</v>
      </c>
      <c r="F17" s="12">
        <v>94</v>
      </c>
      <c r="G17" s="12" t="str">
        <f t="shared" si="0"/>
        <v>Pass</v>
      </c>
      <c r="H17" s="13" t="str">
        <f t="shared" si="1"/>
        <v>Pass</v>
      </c>
      <c r="I17" s="3" t="str">
        <f t="shared" si="2"/>
        <v>carealertdesc</v>
      </c>
      <c r="J17" s="3" t="str">
        <f t="shared" si="3"/>
        <v>carealertdesc</v>
      </c>
    </row>
    <row r="18" spans="2:10">
      <c r="B18" s="52" t="s">
        <v>529</v>
      </c>
      <c r="C18" s="52" t="s">
        <v>399</v>
      </c>
      <c r="D18" s="12"/>
      <c r="E18" s="52" t="s">
        <v>529</v>
      </c>
      <c r="F18" s="12">
        <v>15</v>
      </c>
      <c r="G18" s="12" t="str">
        <f t="shared" si="0"/>
        <v>Pass</v>
      </c>
      <c r="H18" s="13" t="str">
        <f t="shared" si="1"/>
        <v>Pass</v>
      </c>
      <c r="I18" s="3" t="str">
        <f t="shared" si="2"/>
        <v>metricType</v>
      </c>
      <c r="J18" s="3" t="str">
        <f t="shared" si="3"/>
        <v>metricType</v>
      </c>
    </row>
    <row r="19" spans="2:10">
      <c r="B19" s="52" t="s">
        <v>530</v>
      </c>
      <c r="C19" s="52" t="s">
        <v>399</v>
      </c>
      <c r="D19" s="12"/>
      <c r="E19" s="52" t="s">
        <v>530</v>
      </c>
      <c r="F19" s="12">
        <v>14</v>
      </c>
      <c r="G19" s="12" t="str">
        <f t="shared" si="0"/>
        <v>Pass</v>
      </c>
      <c r="H19" s="13" t="str">
        <f t="shared" si="1"/>
        <v>Pass</v>
      </c>
      <c r="I19" s="3" t="str">
        <f t="shared" si="2"/>
        <v>metricname</v>
      </c>
      <c r="J19" s="3" t="str">
        <f t="shared" si="3"/>
        <v>metricname</v>
      </c>
    </row>
  </sheetData>
  <conditionalFormatting sqref="G2:H19">
    <cfRule type="cellIs" dxfId="151" priority="7" operator="equal">
      <formula>"Fail"</formula>
    </cfRule>
    <cfRule type="cellIs" dxfId="150" priority="8" operator="equal">
      <formula>"Pass"</formula>
    </cfRule>
  </conditionalFormatting>
  <conditionalFormatting sqref="M5:M6">
    <cfRule type="cellIs" dxfId="149" priority="1" operator="equal">
      <formula>"Fail"</formula>
    </cfRule>
    <cfRule type="cellIs" dxfId="148" priority="2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1:O27"/>
  <sheetViews>
    <sheetView showGridLines="0" workbookViewId="0">
      <pane ySplit="1" topLeftCell="A2" activePane="bottomLeft" state="frozen"/>
      <selection pane="bottomLeft" activeCell="F2" sqref="F2:F27"/>
    </sheetView>
  </sheetViews>
  <sheetFormatPr defaultRowHeight="1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" customWidth="1"/>
    <col min="9" max="9" width="0.140625" hidden="1" customWidth="1"/>
    <col min="10" max="10" width="11" hidden="1" customWidth="1"/>
    <col min="11" max="11" width="7.855468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>
      <c r="B1" s="17" t="s">
        <v>389</v>
      </c>
      <c r="C1" s="17" t="s">
        <v>397</v>
      </c>
      <c r="D1" s="17" t="s">
        <v>390</v>
      </c>
      <c r="E1" s="17" t="s">
        <v>72</v>
      </c>
      <c r="F1" s="17" t="s">
        <v>80</v>
      </c>
      <c r="G1" s="17" t="s">
        <v>81</v>
      </c>
      <c r="H1" s="17" t="s">
        <v>82</v>
      </c>
      <c r="L1" s="21" t="s">
        <v>460</v>
      </c>
      <c r="M1" s="21" t="s">
        <v>461</v>
      </c>
      <c r="N1" s="21" t="s">
        <v>396</v>
      </c>
      <c r="O1" s="26" t="s">
        <v>413</v>
      </c>
    </row>
    <row r="2" spans="2:15">
      <c r="B2" s="46" t="s">
        <v>83</v>
      </c>
      <c r="C2" s="46" t="s">
        <v>399</v>
      </c>
      <c r="D2" s="12"/>
      <c r="E2" s="46" t="s">
        <v>83</v>
      </c>
      <c r="F2" s="12">
        <v>4</v>
      </c>
      <c r="G2" s="12" t="str">
        <f>IF(I2=J2,"Pass","Fail")</f>
        <v>Pass</v>
      </c>
      <c r="H2" s="13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>
        <v>5662</v>
      </c>
      <c r="M2" s="20"/>
      <c r="N2" s="23">
        <f>L2-M2</f>
        <v>5662</v>
      </c>
    </row>
    <row r="3" spans="2:15">
      <c r="B3" s="46" t="s">
        <v>84</v>
      </c>
      <c r="C3" s="46" t="s">
        <v>399</v>
      </c>
      <c r="D3" s="12">
        <v>10</v>
      </c>
      <c r="E3" s="46" t="s">
        <v>84</v>
      </c>
      <c r="F3" s="12">
        <v>0</v>
      </c>
      <c r="G3" s="12" t="str">
        <f t="shared" ref="G3:G27" si="0">IF(I3=J3,"Pass","Fail")</f>
        <v>Pass</v>
      </c>
      <c r="H3" s="13" t="str">
        <f t="shared" ref="H3:H27" si="1">IF(AND(ISBLANK(D3),F3&gt;=0),"Pass",IF(F3&lt;=D3,"Pass","Fail"))</f>
        <v>Pass</v>
      </c>
      <c r="I3" s="3" t="str">
        <f t="shared" ref="I3:I27" si="2">SUBSTITUTE(B3,"_","")</f>
        <v>dwaccountid</v>
      </c>
      <c r="J3" s="3" t="str">
        <f t="shared" ref="J3:J27" si="3">SUBSTITUTE(E3,"_","")</f>
        <v>dwaccountid</v>
      </c>
    </row>
    <row r="4" spans="2:15">
      <c r="B4" s="46" t="s">
        <v>85</v>
      </c>
      <c r="C4" s="46" t="s">
        <v>399</v>
      </c>
      <c r="D4" s="12">
        <v>10</v>
      </c>
      <c r="E4" s="46" t="s">
        <v>85</v>
      </c>
      <c r="F4" s="12">
        <v>8</v>
      </c>
      <c r="G4" s="12" t="str">
        <f t="shared" si="0"/>
        <v>Pass</v>
      </c>
      <c r="H4" s="13" t="str">
        <f t="shared" si="1"/>
        <v>Pass</v>
      </c>
      <c r="I4" s="3" t="str">
        <f t="shared" si="2"/>
        <v>dwclientid</v>
      </c>
      <c r="J4" s="3" t="str">
        <f t="shared" si="3"/>
        <v>dwclientid</v>
      </c>
      <c r="L4" s="25" t="s">
        <v>403</v>
      </c>
      <c r="M4" s="50" t="s">
        <v>401</v>
      </c>
    </row>
    <row r="5" spans="2:15">
      <c r="B5" s="46" t="s">
        <v>71</v>
      </c>
      <c r="C5" s="46" t="s">
        <v>399</v>
      </c>
      <c r="D5" s="12">
        <v>50</v>
      </c>
      <c r="E5" s="46" t="s">
        <v>71</v>
      </c>
      <c r="F5" s="12">
        <v>32</v>
      </c>
      <c r="G5" s="12" t="str">
        <f t="shared" si="0"/>
        <v>Pass</v>
      </c>
      <c r="H5" s="13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81</v>
      </c>
      <c r="M5" s="12" t="str">
        <f>IF(ISERROR(VLOOKUP($O$1,$G$2:$G$27,1,)),"Pass","Fail")</f>
        <v>Pass</v>
      </c>
    </row>
    <row r="6" spans="2:15">
      <c r="B6" s="46" t="s">
        <v>0</v>
      </c>
      <c r="C6" s="46" t="s">
        <v>399</v>
      </c>
      <c r="D6" s="12">
        <v>20</v>
      </c>
      <c r="E6" s="46" t="s">
        <v>0</v>
      </c>
      <c r="F6" s="12">
        <v>20</v>
      </c>
      <c r="G6" s="12" t="str">
        <f t="shared" si="0"/>
        <v>Pass</v>
      </c>
      <c r="H6" s="13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4" t="s">
        <v>402</v>
      </c>
      <c r="M6" s="12" t="str">
        <f>IF(ISERROR(VLOOKUP($O$1,$H$2:$H$27,1,)),"Pass","Fail")</f>
        <v>Pass</v>
      </c>
    </row>
    <row r="7" spans="2:15">
      <c r="B7" s="46" t="s">
        <v>2</v>
      </c>
      <c r="C7" s="46" t="s">
        <v>399</v>
      </c>
      <c r="D7" s="12">
        <v>22</v>
      </c>
      <c r="E7" s="46" t="s">
        <v>2</v>
      </c>
      <c r="F7" s="12">
        <v>22</v>
      </c>
      <c r="G7" s="12" t="str">
        <f t="shared" si="0"/>
        <v>Pass</v>
      </c>
      <c r="H7" s="13" t="str">
        <f t="shared" si="1"/>
        <v>Pass</v>
      </c>
      <c r="I7" s="3" t="str">
        <f t="shared" si="2"/>
        <v>mbrssn</v>
      </c>
      <c r="J7" s="3" t="str">
        <f t="shared" si="3"/>
        <v>mbrssn</v>
      </c>
      <c r="K7" t="s">
        <v>535</v>
      </c>
      <c r="L7" s="24" t="s">
        <v>467</v>
      </c>
      <c r="M7" s="39">
        <f>IF(M2=0,0%,N2/M2)</f>
        <v>0</v>
      </c>
    </row>
    <row r="8" spans="2:15">
      <c r="B8" s="46" t="s">
        <v>3</v>
      </c>
      <c r="C8" s="46" t="s">
        <v>399</v>
      </c>
      <c r="D8" s="12">
        <v>100</v>
      </c>
      <c r="E8" s="46" t="s">
        <v>3</v>
      </c>
      <c r="F8" s="12">
        <v>13</v>
      </c>
      <c r="G8" s="12" t="str">
        <f t="shared" si="0"/>
        <v>Pass</v>
      </c>
      <c r="H8" s="13" t="str">
        <f t="shared" si="1"/>
        <v>Pass</v>
      </c>
      <c r="I8" s="3" t="str">
        <f t="shared" si="2"/>
        <v>mbrfirstname</v>
      </c>
      <c r="J8" s="3" t="str">
        <f t="shared" si="3"/>
        <v>mbrfirstname</v>
      </c>
      <c r="L8" s="24" t="s">
        <v>466</v>
      </c>
      <c r="M8" s="41">
        <f>File_Size_Comparision!F4</f>
        <v>0</v>
      </c>
    </row>
    <row r="9" spans="2:15">
      <c r="B9" s="46" t="s">
        <v>4</v>
      </c>
      <c r="C9" s="46" t="s">
        <v>399</v>
      </c>
      <c r="D9" s="12">
        <v>100</v>
      </c>
      <c r="E9" s="46" t="s">
        <v>4</v>
      </c>
      <c r="F9" s="12">
        <v>0</v>
      </c>
      <c r="G9" s="12" t="str">
        <f t="shared" si="0"/>
        <v>Pass</v>
      </c>
      <c r="H9" s="13" t="str">
        <f t="shared" si="1"/>
        <v>Pass</v>
      </c>
      <c r="I9" s="3" t="str">
        <f t="shared" si="2"/>
        <v>mbrmiddlename</v>
      </c>
      <c r="J9" s="3" t="str">
        <f t="shared" si="3"/>
        <v>mbrmiddlename</v>
      </c>
    </row>
    <row r="10" spans="2:15">
      <c r="B10" s="46" t="s">
        <v>5</v>
      </c>
      <c r="C10" s="46" t="s">
        <v>400</v>
      </c>
      <c r="D10" s="12">
        <v>100</v>
      </c>
      <c r="E10" s="46" t="s">
        <v>5</v>
      </c>
      <c r="F10" s="12">
        <v>20</v>
      </c>
      <c r="G10" s="12" t="str">
        <f t="shared" si="0"/>
        <v>Pass</v>
      </c>
      <c r="H10" s="13" t="str">
        <f t="shared" si="1"/>
        <v>Pass</v>
      </c>
      <c r="I10" s="3" t="str">
        <f t="shared" si="2"/>
        <v>mbrlastname</v>
      </c>
      <c r="J10" s="3" t="str">
        <f t="shared" si="3"/>
        <v>mbrlastname</v>
      </c>
    </row>
    <row r="11" spans="2:15">
      <c r="B11" s="46" t="s">
        <v>6</v>
      </c>
      <c r="C11" s="46" t="s">
        <v>399</v>
      </c>
      <c r="D11" s="12">
        <v>10</v>
      </c>
      <c r="E11" s="46" t="s">
        <v>6</v>
      </c>
      <c r="F11" s="12">
        <v>6</v>
      </c>
      <c r="G11" s="12" t="str">
        <f t="shared" si="0"/>
        <v>Pass</v>
      </c>
      <c r="H11" s="13" t="str">
        <f t="shared" si="1"/>
        <v>Pass</v>
      </c>
      <c r="I11" s="3" t="str">
        <f t="shared" si="2"/>
        <v>mbrcurrentstatus</v>
      </c>
      <c r="J11" s="3" t="str">
        <f t="shared" si="3"/>
        <v>mbrcurrentstatus</v>
      </c>
      <c r="L11" s="43"/>
    </row>
    <row r="12" spans="2:15">
      <c r="B12" s="46" t="s">
        <v>7</v>
      </c>
      <c r="C12" s="46" t="s">
        <v>399</v>
      </c>
      <c r="D12" s="12">
        <v>10</v>
      </c>
      <c r="E12" s="46" t="s">
        <v>7</v>
      </c>
      <c r="F12" s="12">
        <v>1</v>
      </c>
      <c r="G12" s="12" t="str">
        <f t="shared" si="0"/>
        <v>Pass</v>
      </c>
      <c r="H12" s="13" t="str">
        <f t="shared" si="1"/>
        <v>Pass</v>
      </c>
      <c r="I12" s="3" t="str">
        <f t="shared" si="2"/>
        <v>mbrgender</v>
      </c>
      <c r="J12" s="3" t="str">
        <f t="shared" si="3"/>
        <v>mbrgender</v>
      </c>
    </row>
    <row r="13" spans="2:15">
      <c r="B13" s="46" t="s">
        <v>8</v>
      </c>
      <c r="C13" s="46" t="s">
        <v>399</v>
      </c>
      <c r="D13" s="12" t="s">
        <v>476</v>
      </c>
      <c r="E13" s="46" t="s">
        <v>8</v>
      </c>
      <c r="F13" s="12">
        <v>10</v>
      </c>
      <c r="G13" s="12" t="str">
        <f t="shared" si="0"/>
        <v>Pass</v>
      </c>
      <c r="H13" s="13" t="str">
        <f t="shared" si="1"/>
        <v>Pass</v>
      </c>
      <c r="I13" s="3" t="str">
        <f t="shared" si="2"/>
        <v>mbrdob</v>
      </c>
      <c r="J13" s="3" t="str">
        <f t="shared" si="3"/>
        <v>mbrdob</v>
      </c>
    </row>
    <row r="14" spans="2:15">
      <c r="B14" s="46" t="s">
        <v>9</v>
      </c>
      <c r="C14" s="46" t="s">
        <v>399</v>
      </c>
      <c r="D14" s="12">
        <v>100</v>
      </c>
      <c r="E14" s="46" t="s">
        <v>9</v>
      </c>
      <c r="F14" s="12">
        <v>30</v>
      </c>
      <c r="G14" s="12" t="str">
        <f t="shared" si="0"/>
        <v>Pass</v>
      </c>
      <c r="H14" s="13" t="str">
        <f t="shared" si="1"/>
        <v>Pass</v>
      </c>
      <c r="I14" s="3" t="str">
        <f t="shared" si="2"/>
        <v>mbrstreet1</v>
      </c>
      <c r="J14" s="3" t="str">
        <f t="shared" si="3"/>
        <v>mbrstreet1</v>
      </c>
    </row>
    <row r="15" spans="2:15">
      <c r="B15" s="46" t="s">
        <v>10</v>
      </c>
      <c r="C15" s="46" t="s">
        <v>399</v>
      </c>
      <c r="D15" s="12">
        <v>100</v>
      </c>
      <c r="E15" s="46" t="s">
        <v>10</v>
      </c>
      <c r="F15" s="12">
        <v>22</v>
      </c>
      <c r="G15" s="12" t="str">
        <f t="shared" si="0"/>
        <v>Pass</v>
      </c>
      <c r="H15" s="13" t="str">
        <f t="shared" si="1"/>
        <v>Pass</v>
      </c>
      <c r="I15" s="3" t="str">
        <f t="shared" si="2"/>
        <v>mbrstreet2</v>
      </c>
      <c r="J15" s="3" t="str">
        <f t="shared" si="3"/>
        <v>mbrstreet2</v>
      </c>
    </row>
    <row r="16" spans="2:15">
      <c r="B16" s="46" t="s">
        <v>11</v>
      </c>
      <c r="C16" s="46" t="s">
        <v>399</v>
      </c>
      <c r="D16" s="12">
        <v>100</v>
      </c>
      <c r="E16" s="46" t="s">
        <v>11</v>
      </c>
      <c r="F16" s="12">
        <v>19</v>
      </c>
      <c r="G16" s="12" t="str">
        <f t="shared" si="0"/>
        <v>Pass</v>
      </c>
      <c r="H16" s="13" t="str">
        <f t="shared" si="1"/>
        <v>Pass</v>
      </c>
      <c r="I16" s="3" t="str">
        <f t="shared" si="2"/>
        <v>mbrcity</v>
      </c>
      <c r="J16" s="3" t="str">
        <f t="shared" si="3"/>
        <v>mbrcity</v>
      </c>
    </row>
    <row r="17" spans="2:10">
      <c r="B17" s="46" t="s">
        <v>12</v>
      </c>
      <c r="C17" s="46" t="s">
        <v>399</v>
      </c>
      <c r="D17" s="12">
        <v>100</v>
      </c>
      <c r="E17" s="46" t="s">
        <v>12</v>
      </c>
      <c r="F17" s="12">
        <v>5</v>
      </c>
      <c r="G17" s="12" t="str">
        <f t="shared" si="0"/>
        <v>Pass</v>
      </c>
      <c r="H17" s="13" t="str">
        <f t="shared" si="1"/>
        <v>Pass</v>
      </c>
      <c r="I17" s="3" t="str">
        <f t="shared" si="2"/>
        <v>mbrcounty</v>
      </c>
      <c r="J17" s="3" t="str">
        <f t="shared" si="3"/>
        <v>mbrcounty</v>
      </c>
    </row>
    <row r="18" spans="2:10">
      <c r="B18" s="46" t="s">
        <v>13</v>
      </c>
      <c r="C18" s="46" t="s">
        <v>399</v>
      </c>
      <c r="D18" s="12">
        <v>100</v>
      </c>
      <c r="E18" s="46" t="s">
        <v>13</v>
      </c>
      <c r="F18" s="12">
        <v>2</v>
      </c>
      <c r="G18" s="12" t="str">
        <f t="shared" si="0"/>
        <v>Pass</v>
      </c>
      <c r="H18" s="13" t="str">
        <f t="shared" si="1"/>
        <v>Pass</v>
      </c>
      <c r="I18" s="3" t="str">
        <f t="shared" si="2"/>
        <v>mbrstate</v>
      </c>
      <c r="J18" s="3" t="str">
        <f t="shared" si="3"/>
        <v>mbrstate</v>
      </c>
    </row>
    <row r="19" spans="2:10">
      <c r="B19" s="46" t="s">
        <v>14</v>
      </c>
      <c r="C19" s="46" t="s">
        <v>399</v>
      </c>
      <c r="D19" s="12">
        <v>100</v>
      </c>
      <c r="E19" s="46" t="s">
        <v>14</v>
      </c>
      <c r="F19" s="12">
        <v>5</v>
      </c>
      <c r="G19" s="12" t="str">
        <f t="shared" si="0"/>
        <v>Pass</v>
      </c>
      <c r="H19" s="13" t="str">
        <f t="shared" si="1"/>
        <v>Pass</v>
      </c>
      <c r="I19" s="3" t="str">
        <f t="shared" si="2"/>
        <v>mbrzip</v>
      </c>
      <c r="J19" s="3" t="str">
        <f t="shared" si="3"/>
        <v>mbrzip</v>
      </c>
    </row>
    <row r="20" spans="2:10">
      <c r="B20" s="46" t="s">
        <v>15</v>
      </c>
      <c r="C20" s="46" t="s">
        <v>399</v>
      </c>
      <c r="D20" s="12">
        <v>100</v>
      </c>
      <c r="E20" s="46" t="s">
        <v>15</v>
      </c>
      <c r="F20" s="12">
        <v>10</v>
      </c>
      <c r="G20" s="12" t="str">
        <f t="shared" si="0"/>
        <v>Pass</v>
      </c>
      <c r="H20" s="13" t="str">
        <f t="shared" si="1"/>
        <v>Pass</v>
      </c>
      <c r="I20" s="3" t="str">
        <f t="shared" si="2"/>
        <v>mbrphone</v>
      </c>
      <c r="J20" s="3" t="str">
        <f t="shared" si="3"/>
        <v>mbrphone</v>
      </c>
    </row>
    <row r="21" spans="2:10">
      <c r="B21" s="46" t="s">
        <v>16</v>
      </c>
      <c r="C21" s="46" t="s">
        <v>399</v>
      </c>
      <c r="D21" s="47">
        <v>100</v>
      </c>
      <c r="E21" s="46" t="s">
        <v>16</v>
      </c>
      <c r="F21" s="12">
        <v>0</v>
      </c>
      <c r="G21" s="12" t="str">
        <f t="shared" si="0"/>
        <v>Pass</v>
      </c>
      <c r="H21" s="13" t="str">
        <f t="shared" si="1"/>
        <v>Pass</v>
      </c>
      <c r="I21" s="3" t="str">
        <f t="shared" si="2"/>
        <v>mbrregioncode</v>
      </c>
      <c r="J21" s="3" t="str">
        <f t="shared" si="3"/>
        <v>mbrregioncode</v>
      </c>
    </row>
    <row r="22" spans="2:10">
      <c r="B22" s="46" t="s">
        <v>17</v>
      </c>
      <c r="C22" s="46" t="s">
        <v>399</v>
      </c>
      <c r="D22" s="12">
        <v>100</v>
      </c>
      <c r="E22" s="46" t="s">
        <v>17</v>
      </c>
      <c r="F22" s="12">
        <v>0</v>
      </c>
      <c r="G22" s="12" t="str">
        <f t="shared" si="0"/>
        <v>Pass</v>
      </c>
      <c r="H22" s="13" t="str">
        <f t="shared" si="1"/>
        <v>Pass</v>
      </c>
      <c r="I22" s="3" t="str">
        <f t="shared" si="2"/>
        <v>mbrregionname</v>
      </c>
      <c r="J22" s="3" t="str">
        <f t="shared" si="3"/>
        <v>mbrregionname</v>
      </c>
    </row>
    <row r="23" spans="2:10">
      <c r="B23" s="46" t="s">
        <v>18</v>
      </c>
      <c r="C23" s="46" t="s">
        <v>399</v>
      </c>
      <c r="D23" s="12">
        <v>10</v>
      </c>
      <c r="E23" s="46" t="s">
        <v>18</v>
      </c>
      <c r="F23" s="12">
        <v>1</v>
      </c>
      <c r="G23" s="12" t="str">
        <f t="shared" si="0"/>
        <v>Pass</v>
      </c>
      <c r="H23" s="13" t="str">
        <f t="shared" si="1"/>
        <v>Pass</v>
      </c>
      <c r="I23" s="3" t="str">
        <f t="shared" si="2"/>
        <v>mbrrelationshipcode</v>
      </c>
      <c r="J23" s="3" t="str">
        <f t="shared" si="3"/>
        <v>mbrrelationshipcode</v>
      </c>
    </row>
    <row r="24" spans="2:10">
      <c r="B24" s="46" t="s">
        <v>19</v>
      </c>
      <c r="C24" s="46" t="s">
        <v>399</v>
      </c>
      <c r="D24" s="12">
        <v>50</v>
      </c>
      <c r="E24" s="46" t="s">
        <v>19</v>
      </c>
      <c r="F24" s="12">
        <v>16</v>
      </c>
      <c r="G24" s="12" t="str">
        <f t="shared" si="0"/>
        <v>Pass</v>
      </c>
      <c r="H24" s="13" t="str">
        <f t="shared" si="1"/>
        <v>Pass</v>
      </c>
      <c r="I24" s="3" t="str">
        <f t="shared" si="2"/>
        <v>mbrrelationshipdesc</v>
      </c>
      <c r="J24" s="3" t="str">
        <f t="shared" si="3"/>
        <v>mbrrelationshipdesc</v>
      </c>
    </row>
    <row r="25" spans="2:10">
      <c r="B25" s="46" t="s">
        <v>86</v>
      </c>
      <c r="C25" s="46" t="s">
        <v>399</v>
      </c>
      <c r="D25" s="12">
        <v>100</v>
      </c>
      <c r="E25" s="46" t="s">
        <v>86</v>
      </c>
      <c r="F25" s="12">
        <v>85</v>
      </c>
      <c r="G25" s="12" t="str">
        <f t="shared" si="0"/>
        <v>Pass</v>
      </c>
      <c r="H25" s="13" t="str">
        <f t="shared" si="1"/>
        <v>Pass</v>
      </c>
      <c r="I25" s="3" t="str">
        <f t="shared" si="2"/>
        <v>dwrawfilename</v>
      </c>
      <c r="J25" s="3" t="str">
        <f t="shared" si="3"/>
        <v>dwrawfilename</v>
      </c>
    </row>
    <row r="26" spans="2:10">
      <c r="B26" s="46" t="s">
        <v>87</v>
      </c>
      <c r="C26" s="46" t="s">
        <v>399</v>
      </c>
      <c r="D26" s="12">
        <v>100</v>
      </c>
      <c r="E26" s="46" t="s">
        <v>87</v>
      </c>
      <c r="F26" s="12">
        <v>10</v>
      </c>
      <c r="G26" s="12" t="str">
        <f t="shared" si="0"/>
        <v>Pass</v>
      </c>
      <c r="H26" s="13" t="str">
        <f t="shared" si="1"/>
        <v>Pass</v>
      </c>
      <c r="I26" s="3" t="str">
        <f t="shared" si="2"/>
        <v>dwrecievedmonth</v>
      </c>
      <c r="J26" s="3" t="str">
        <f t="shared" si="3"/>
        <v>dwrecievedmonth</v>
      </c>
    </row>
    <row r="27" spans="2:10">
      <c r="B27" s="46" t="s">
        <v>88</v>
      </c>
      <c r="C27" s="46" t="s">
        <v>399</v>
      </c>
      <c r="D27" s="12">
        <v>100</v>
      </c>
      <c r="E27" s="46" t="s">
        <v>88</v>
      </c>
      <c r="F27" s="12">
        <v>5</v>
      </c>
      <c r="G27" s="12" t="str">
        <f t="shared" si="0"/>
        <v>Pass</v>
      </c>
      <c r="H27" s="13" t="str">
        <f t="shared" si="1"/>
        <v>Pass</v>
      </c>
      <c r="I27" s="3" t="str">
        <f t="shared" si="2"/>
        <v>dwvendorname</v>
      </c>
      <c r="J27" s="3" t="str">
        <f t="shared" si="3"/>
        <v>dwvendorname</v>
      </c>
    </row>
  </sheetData>
  <conditionalFormatting sqref="G2:H27">
    <cfRule type="cellIs" dxfId="147" priority="7" operator="equal">
      <formula>"Fail"</formula>
    </cfRule>
    <cfRule type="cellIs" dxfId="146" priority="8" operator="equal">
      <formula>"Pass"</formula>
    </cfRule>
  </conditionalFormatting>
  <conditionalFormatting sqref="M5:M6">
    <cfRule type="cellIs" dxfId="145" priority="1" operator="equal">
      <formula>"Fail"</formula>
    </cfRule>
    <cfRule type="cellIs" dxfId="144" priority="2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1"/>
  <dimension ref="B1:O94"/>
  <sheetViews>
    <sheetView showGridLines="0" workbookViewId="0">
      <pane ySplit="1" topLeftCell="A83" activePane="bottomLeft" state="frozen"/>
      <selection pane="bottomLeft" activeCell="F2" sqref="F2:F94"/>
    </sheetView>
  </sheetViews>
  <sheetFormatPr defaultRowHeight="1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5.42578125" hidden="1" customWidth="1"/>
    <col min="10" max="10" width="7.42578125" hidden="1" customWidth="1"/>
    <col min="11" max="11" width="3.71093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>
      <c r="B1" s="17" t="s">
        <v>389</v>
      </c>
      <c r="C1" s="17" t="s">
        <v>397</v>
      </c>
      <c r="D1" s="17" t="s">
        <v>390</v>
      </c>
      <c r="E1" s="17" t="s">
        <v>72</v>
      </c>
      <c r="F1" s="17" t="s">
        <v>80</v>
      </c>
      <c r="G1" s="17" t="s">
        <v>81</v>
      </c>
      <c r="H1" s="17" t="s">
        <v>82</v>
      </c>
      <c r="L1" s="21" t="s">
        <v>394</v>
      </c>
      <c r="M1" s="21" t="s">
        <v>395</v>
      </c>
      <c r="N1" s="21" t="s">
        <v>396</v>
      </c>
      <c r="O1" s="26" t="s">
        <v>413</v>
      </c>
    </row>
    <row r="2" spans="2:15">
      <c r="B2" s="1" t="s">
        <v>0</v>
      </c>
      <c r="C2" s="18" t="s">
        <v>399</v>
      </c>
      <c r="D2" s="12">
        <v>20</v>
      </c>
      <c r="E2" s="1" t="s">
        <v>0</v>
      </c>
      <c r="F2" s="12">
        <v>20</v>
      </c>
      <c r="G2" s="12" t="str">
        <f>IF(I2=J2,"Pass","Fail")</f>
        <v>Pass</v>
      </c>
      <c r="H2" s="13" t="str">
        <f>IF(AND(ISBLANK(D2),F2&gt;=0),"Pass",IF(F2&lt;=D2,"Pass","Fail"))</f>
        <v>Pass</v>
      </c>
      <c r="I2" s="3" t="str">
        <f>SUBSTITUTE(B2,"_","")</f>
        <v>mbrid</v>
      </c>
      <c r="J2" s="3" t="str">
        <f>SUBSTITUTE(E2,"_","")</f>
        <v>mbrid</v>
      </c>
      <c r="L2" s="22">
        <v>104711</v>
      </c>
      <c r="M2" s="20">
        <v>104711</v>
      </c>
      <c r="N2" s="23">
        <f>L2-M2</f>
        <v>0</v>
      </c>
    </row>
    <row r="3" spans="2:15">
      <c r="B3" s="1" t="s">
        <v>1</v>
      </c>
      <c r="C3" s="18" t="s">
        <v>399</v>
      </c>
      <c r="D3" s="12">
        <v>20</v>
      </c>
      <c r="E3" s="1" t="s">
        <v>1</v>
      </c>
      <c r="F3" s="12">
        <v>0</v>
      </c>
      <c r="G3" s="12" t="str">
        <f t="shared" ref="G3:G66" si="0">IF(I3=J3,"Pass","Fail")</f>
        <v>Pass</v>
      </c>
      <c r="H3" s="13" t="str">
        <f t="shared" ref="H3:H66" si="1">IF(AND(ISBLANK(D3),F3&gt;=0),"Pass",IF(F3&lt;=D3,"Pass","Fail"))</f>
        <v>Pass</v>
      </c>
      <c r="I3" s="3" t="str">
        <f t="shared" ref="I3:I66" si="2">SUBSTITUTE(B3,"_","")</f>
        <v>inspolicyid</v>
      </c>
      <c r="J3" s="3" t="str">
        <f t="shared" ref="J3:J66" si="3">SUBSTITUTE(E3,"_","")</f>
        <v>inspolicyid</v>
      </c>
      <c r="L3" s="21" t="s">
        <v>468</v>
      </c>
      <c r="M3" s="22"/>
      <c r="N3" s="23">
        <f>L2-M3</f>
        <v>104711</v>
      </c>
    </row>
    <row r="4" spans="2:15">
      <c r="B4" s="1" t="s">
        <v>2</v>
      </c>
      <c r="C4" s="18" t="s">
        <v>399</v>
      </c>
      <c r="D4" s="12">
        <v>22</v>
      </c>
      <c r="E4" s="1" t="s">
        <v>2</v>
      </c>
      <c r="F4" s="12">
        <v>22</v>
      </c>
      <c r="G4" s="12" t="str">
        <f t="shared" si="0"/>
        <v>Pass</v>
      </c>
      <c r="H4" s="13" t="str">
        <f t="shared" si="1"/>
        <v>Pass</v>
      </c>
      <c r="I4" s="3" t="str">
        <f t="shared" si="2"/>
        <v>mbrssn</v>
      </c>
      <c r="J4" s="3" t="str">
        <f t="shared" si="3"/>
        <v>mbrssn</v>
      </c>
      <c r="K4" t="s">
        <v>535</v>
      </c>
    </row>
    <row r="5" spans="2:15">
      <c r="B5" s="1" t="s">
        <v>3</v>
      </c>
      <c r="C5" s="18" t="s">
        <v>399</v>
      </c>
      <c r="D5" s="12">
        <v>30</v>
      </c>
      <c r="E5" s="1" t="s">
        <v>3</v>
      </c>
      <c r="F5" s="12">
        <v>13</v>
      </c>
      <c r="G5" s="12" t="str">
        <f t="shared" si="0"/>
        <v>Pass</v>
      </c>
      <c r="H5" s="13" t="str">
        <f t="shared" si="1"/>
        <v>Pass</v>
      </c>
      <c r="I5" s="3" t="str">
        <f t="shared" si="2"/>
        <v>mbrfirstname</v>
      </c>
      <c r="J5" s="3" t="str">
        <f t="shared" si="3"/>
        <v>mbrfirstname</v>
      </c>
      <c r="L5" s="25" t="s">
        <v>403</v>
      </c>
      <c r="M5" s="19" t="s">
        <v>401</v>
      </c>
      <c r="N5" s="42"/>
    </row>
    <row r="6" spans="2:15">
      <c r="B6" s="1" t="s">
        <v>4</v>
      </c>
      <c r="C6" s="18" t="s">
        <v>399</v>
      </c>
      <c r="D6" s="12">
        <v>30</v>
      </c>
      <c r="E6" s="1" t="s">
        <v>4</v>
      </c>
      <c r="F6" s="12">
        <v>0</v>
      </c>
      <c r="G6" s="12" t="str">
        <f t="shared" si="0"/>
        <v>Pass</v>
      </c>
      <c r="H6" s="13" t="str">
        <f t="shared" si="1"/>
        <v>Pass</v>
      </c>
      <c r="I6" s="3" t="str">
        <f t="shared" si="2"/>
        <v>mbrmiddlename</v>
      </c>
      <c r="J6" s="3" t="str">
        <f t="shared" si="3"/>
        <v>mbrmiddlename</v>
      </c>
      <c r="L6" s="24" t="s">
        <v>81</v>
      </c>
      <c r="M6" s="12" t="str">
        <f>IF(ISERROR(VLOOKUP($O$1,$G$2:$G$94,1,)),"Pass","Fail")</f>
        <v>Pass</v>
      </c>
      <c r="N6" s="38"/>
    </row>
    <row r="7" spans="2:15">
      <c r="B7" s="1" t="s">
        <v>5</v>
      </c>
      <c r="C7" s="18" t="s">
        <v>399</v>
      </c>
      <c r="D7" s="12">
        <v>30</v>
      </c>
      <c r="E7" s="1" t="s">
        <v>5</v>
      </c>
      <c r="F7" s="12">
        <v>20</v>
      </c>
      <c r="G7" s="12" t="str">
        <f t="shared" si="0"/>
        <v>Pass</v>
      </c>
      <c r="H7" s="13" t="str">
        <f t="shared" si="1"/>
        <v>Pass</v>
      </c>
      <c r="I7" s="3" t="str">
        <f t="shared" si="2"/>
        <v>mbrlastname</v>
      </c>
      <c r="J7" s="3" t="str">
        <f t="shared" si="3"/>
        <v>mbrlastname</v>
      </c>
      <c r="L7" s="24" t="s">
        <v>402</v>
      </c>
      <c r="M7" s="12" t="str">
        <f>IF(ISERROR(VLOOKUP($O$1,$H$2:$H$94,1,)),"Pass","Fail")</f>
        <v>Pass</v>
      </c>
      <c r="N7" s="38"/>
    </row>
    <row r="8" spans="2:15">
      <c r="B8" s="1" t="s">
        <v>6</v>
      </c>
      <c r="C8" s="18" t="s">
        <v>399</v>
      </c>
      <c r="D8" s="12">
        <v>20</v>
      </c>
      <c r="E8" s="1" t="s">
        <v>6</v>
      </c>
      <c r="F8" s="12">
        <v>6</v>
      </c>
      <c r="G8" s="12" t="str">
        <f t="shared" si="0"/>
        <v>Pass</v>
      </c>
      <c r="H8" s="13" t="str">
        <f t="shared" si="1"/>
        <v>Pass</v>
      </c>
      <c r="I8" s="3" t="str">
        <f t="shared" si="2"/>
        <v>mbrcurrentstatus</v>
      </c>
      <c r="J8" s="3" t="str">
        <f t="shared" si="3"/>
        <v>mbrcurrentstatus</v>
      </c>
      <c r="L8" s="24" t="s">
        <v>465</v>
      </c>
      <c r="M8" s="40" t="str">
        <f>IF(N2=0,"Pass","Fail")</f>
        <v>Pass</v>
      </c>
    </row>
    <row r="9" spans="2:15">
      <c r="B9" s="1" t="s">
        <v>7</v>
      </c>
      <c r="C9" s="18" t="s">
        <v>399</v>
      </c>
      <c r="D9" s="12">
        <v>2</v>
      </c>
      <c r="E9" s="1" t="s">
        <v>7</v>
      </c>
      <c r="F9" s="12">
        <v>1</v>
      </c>
      <c r="G9" s="12" t="str">
        <f t="shared" si="0"/>
        <v>Pass</v>
      </c>
      <c r="H9" s="13" t="str">
        <f t="shared" si="1"/>
        <v>Pass</v>
      </c>
      <c r="I9" s="3" t="str">
        <f t="shared" si="2"/>
        <v>mbrgender</v>
      </c>
      <c r="J9" s="3" t="str">
        <f t="shared" si="3"/>
        <v>mbrgender</v>
      </c>
      <c r="L9" s="24" t="s">
        <v>467</v>
      </c>
      <c r="M9" s="41">
        <f>IF(M3=0,0%,N3/M3)</f>
        <v>0</v>
      </c>
    </row>
    <row r="10" spans="2:15">
      <c r="B10" s="1" t="s">
        <v>8</v>
      </c>
      <c r="C10" s="18" t="s">
        <v>400</v>
      </c>
      <c r="D10" s="12" t="s">
        <v>476</v>
      </c>
      <c r="E10" s="1" t="s">
        <v>8</v>
      </c>
      <c r="F10" s="12">
        <v>10</v>
      </c>
      <c r="G10" s="12" t="str">
        <f t="shared" si="0"/>
        <v>Pass</v>
      </c>
      <c r="H10" s="13" t="str">
        <f t="shared" si="1"/>
        <v>Pass</v>
      </c>
      <c r="I10" s="3" t="str">
        <f t="shared" si="2"/>
        <v>mbrdob</v>
      </c>
      <c r="J10" s="3" t="str">
        <f t="shared" si="3"/>
        <v>mbrdob</v>
      </c>
      <c r="L10" s="24" t="s">
        <v>466</v>
      </c>
      <c r="M10" s="41">
        <f>File_Size_Comparision!F5</f>
        <v>0</v>
      </c>
    </row>
    <row r="11" spans="2:15">
      <c r="B11" s="1" t="s">
        <v>9</v>
      </c>
      <c r="C11" s="18" t="s">
        <v>399</v>
      </c>
      <c r="D11" s="12">
        <v>50</v>
      </c>
      <c r="E11" s="1" t="s">
        <v>9</v>
      </c>
      <c r="F11" s="12">
        <v>30</v>
      </c>
      <c r="G11" s="12" t="str">
        <f t="shared" si="0"/>
        <v>Pass</v>
      </c>
      <c r="H11" s="13" t="str">
        <f t="shared" si="1"/>
        <v>Pass</v>
      </c>
      <c r="I11" s="3" t="str">
        <f t="shared" si="2"/>
        <v>mbrstreet1</v>
      </c>
      <c r="J11" s="3" t="str">
        <f t="shared" si="3"/>
        <v>mbrstreet1</v>
      </c>
      <c r="L11" s="43"/>
    </row>
    <row r="12" spans="2:15">
      <c r="B12" s="1" t="s">
        <v>10</v>
      </c>
      <c r="C12" s="18" t="s">
        <v>399</v>
      </c>
      <c r="D12" s="12">
        <v>50</v>
      </c>
      <c r="E12" s="1" t="s">
        <v>10</v>
      </c>
      <c r="F12" s="12">
        <v>22</v>
      </c>
      <c r="G12" s="12" t="str">
        <f t="shared" si="0"/>
        <v>Pass</v>
      </c>
      <c r="H12" s="13" t="str">
        <f t="shared" si="1"/>
        <v>Pass</v>
      </c>
      <c r="I12" s="3" t="str">
        <f t="shared" si="2"/>
        <v>mbrstreet2</v>
      </c>
      <c r="J12" s="3" t="str">
        <f t="shared" si="3"/>
        <v>mbrstreet2</v>
      </c>
    </row>
    <row r="13" spans="2:15">
      <c r="B13" s="1" t="s">
        <v>11</v>
      </c>
      <c r="C13" s="18" t="s">
        <v>399</v>
      </c>
      <c r="D13" s="12">
        <v>100</v>
      </c>
      <c r="E13" s="1" t="s">
        <v>11</v>
      </c>
      <c r="F13" s="12">
        <v>19</v>
      </c>
      <c r="G13" s="12" t="str">
        <f t="shared" si="0"/>
        <v>Pass</v>
      </c>
      <c r="H13" s="13" t="str">
        <f t="shared" si="1"/>
        <v>Pass</v>
      </c>
      <c r="I13" s="3" t="str">
        <f t="shared" si="2"/>
        <v>mbrcity</v>
      </c>
      <c r="J13" s="3" t="str">
        <f t="shared" si="3"/>
        <v>mbrcity</v>
      </c>
    </row>
    <row r="14" spans="2:15">
      <c r="B14" s="1" t="s">
        <v>12</v>
      </c>
      <c r="C14" s="18" t="s">
        <v>399</v>
      </c>
      <c r="D14" s="12">
        <v>20</v>
      </c>
      <c r="E14" s="1" t="s">
        <v>12</v>
      </c>
      <c r="F14" s="12">
        <v>5</v>
      </c>
      <c r="G14" s="12" t="str">
        <f t="shared" si="0"/>
        <v>Pass</v>
      </c>
      <c r="H14" s="13" t="str">
        <f t="shared" si="1"/>
        <v>Pass</v>
      </c>
      <c r="I14" s="3" t="str">
        <f t="shared" si="2"/>
        <v>mbrcounty</v>
      </c>
      <c r="J14" s="3" t="str">
        <f t="shared" si="3"/>
        <v>mbrcounty</v>
      </c>
    </row>
    <row r="15" spans="2:15">
      <c r="B15" s="1" t="s">
        <v>13</v>
      </c>
      <c r="C15" s="18" t="s">
        <v>399</v>
      </c>
      <c r="D15" s="12">
        <v>2</v>
      </c>
      <c r="E15" s="1" t="s">
        <v>13</v>
      </c>
      <c r="F15" s="12">
        <v>2</v>
      </c>
      <c r="G15" s="12" t="str">
        <f t="shared" si="0"/>
        <v>Pass</v>
      </c>
      <c r="H15" s="13" t="str">
        <f t="shared" si="1"/>
        <v>Pass</v>
      </c>
      <c r="I15" s="3" t="str">
        <f t="shared" si="2"/>
        <v>mbrstate</v>
      </c>
      <c r="J15" s="3" t="str">
        <f t="shared" si="3"/>
        <v>mbrstate</v>
      </c>
    </row>
    <row r="16" spans="2:15">
      <c r="B16" s="1" t="s">
        <v>14</v>
      </c>
      <c r="C16" s="18" t="s">
        <v>399</v>
      </c>
      <c r="D16" s="12">
        <v>12</v>
      </c>
      <c r="E16" s="1" t="s">
        <v>14</v>
      </c>
      <c r="F16" s="12">
        <v>5</v>
      </c>
      <c r="G16" s="12" t="str">
        <f t="shared" si="0"/>
        <v>Pass</v>
      </c>
      <c r="H16" s="13" t="str">
        <f t="shared" si="1"/>
        <v>Pass</v>
      </c>
      <c r="I16" s="3" t="str">
        <f t="shared" si="2"/>
        <v>mbrzip</v>
      </c>
      <c r="J16" s="3" t="str">
        <f t="shared" si="3"/>
        <v>mbrzip</v>
      </c>
    </row>
    <row r="17" spans="2:11">
      <c r="B17" s="1" t="s">
        <v>15</v>
      </c>
      <c r="C17" s="18" t="s">
        <v>399</v>
      </c>
      <c r="D17" s="12">
        <v>15</v>
      </c>
      <c r="E17" s="1" t="s">
        <v>15</v>
      </c>
      <c r="F17" s="12">
        <v>10</v>
      </c>
      <c r="G17" s="12" t="str">
        <f t="shared" si="0"/>
        <v>Pass</v>
      </c>
      <c r="H17" s="13" t="str">
        <f t="shared" si="1"/>
        <v>Pass</v>
      </c>
      <c r="I17" s="3" t="str">
        <f t="shared" si="2"/>
        <v>mbrphone</v>
      </c>
      <c r="J17" s="3" t="str">
        <f t="shared" si="3"/>
        <v>mbrphone</v>
      </c>
    </row>
    <row r="18" spans="2:11">
      <c r="B18" s="1" t="s">
        <v>16</v>
      </c>
      <c r="C18" s="18" t="s">
        <v>399</v>
      </c>
      <c r="D18" s="12">
        <v>32</v>
      </c>
      <c r="E18" s="1" t="s">
        <v>16</v>
      </c>
      <c r="F18" s="12">
        <v>0</v>
      </c>
      <c r="G18" s="12" t="str">
        <f t="shared" si="0"/>
        <v>Pass</v>
      </c>
      <c r="H18" s="13" t="str">
        <f t="shared" si="1"/>
        <v>Pass</v>
      </c>
      <c r="I18" s="3" t="str">
        <f t="shared" si="2"/>
        <v>mbrregioncode</v>
      </c>
      <c r="J18" s="3" t="str">
        <f t="shared" si="3"/>
        <v>mbrregioncode</v>
      </c>
    </row>
    <row r="19" spans="2:11">
      <c r="B19" s="1" t="s">
        <v>17</v>
      </c>
      <c r="C19" s="18" t="s">
        <v>399</v>
      </c>
      <c r="D19" s="12">
        <v>50</v>
      </c>
      <c r="E19" s="1" t="s">
        <v>17</v>
      </c>
      <c r="F19" s="12">
        <v>0</v>
      </c>
      <c r="G19" s="12" t="str">
        <f t="shared" si="0"/>
        <v>Pass</v>
      </c>
      <c r="H19" s="13" t="str">
        <f t="shared" si="1"/>
        <v>Pass</v>
      </c>
      <c r="I19" s="3" t="str">
        <f t="shared" si="2"/>
        <v>mbrregionname</v>
      </c>
      <c r="J19" s="3" t="str">
        <f t="shared" si="3"/>
        <v>mbrregionname</v>
      </c>
    </row>
    <row r="20" spans="2:11">
      <c r="B20" s="1" t="s">
        <v>18</v>
      </c>
      <c r="C20" s="18" t="s">
        <v>399</v>
      </c>
      <c r="D20" s="12">
        <v>5</v>
      </c>
      <c r="E20" s="1" t="s">
        <v>18</v>
      </c>
      <c r="F20" s="12">
        <v>1</v>
      </c>
      <c r="G20" s="12" t="str">
        <f t="shared" si="0"/>
        <v>Pass</v>
      </c>
      <c r="H20" s="13" t="str">
        <f t="shared" si="1"/>
        <v>Pass</v>
      </c>
      <c r="I20" s="3" t="str">
        <f t="shared" si="2"/>
        <v>mbrrelationshipcode</v>
      </c>
      <c r="J20" s="3" t="str">
        <f t="shared" si="3"/>
        <v>mbrrelationshipcode</v>
      </c>
    </row>
    <row r="21" spans="2:11">
      <c r="B21" s="1" t="s">
        <v>19</v>
      </c>
      <c r="C21" s="18" t="s">
        <v>399</v>
      </c>
      <c r="D21" s="47">
        <v>20</v>
      </c>
      <c r="E21" s="1" t="s">
        <v>19</v>
      </c>
      <c r="F21" s="12">
        <v>16</v>
      </c>
      <c r="G21" s="12" t="str">
        <f t="shared" si="0"/>
        <v>Pass</v>
      </c>
      <c r="H21" s="13" t="str">
        <f t="shared" si="1"/>
        <v>Pass</v>
      </c>
      <c r="I21" s="3" t="str">
        <f t="shared" si="2"/>
        <v>mbrrelationshipdesc</v>
      </c>
      <c r="J21" s="3" t="str">
        <f t="shared" si="3"/>
        <v>mbrrelationshipdesc</v>
      </c>
    </row>
    <row r="22" spans="2:11">
      <c r="B22" s="1" t="s">
        <v>20</v>
      </c>
      <c r="C22" s="18" t="s">
        <v>399</v>
      </c>
      <c r="D22" s="12">
        <v>20</v>
      </c>
      <c r="E22" s="1" t="s">
        <v>20</v>
      </c>
      <c r="F22" s="12">
        <v>2</v>
      </c>
      <c r="G22" s="12" t="str">
        <f t="shared" si="0"/>
        <v>Pass</v>
      </c>
      <c r="H22" s="13" t="str">
        <f t="shared" si="1"/>
        <v>Pass</v>
      </c>
      <c r="I22" s="3" t="str">
        <f t="shared" si="2"/>
        <v>insplantypecode</v>
      </c>
      <c r="J22" s="3" t="str">
        <f t="shared" si="3"/>
        <v>insplantypecode</v>
      </c>
    </row>
    <row r="23" spans="2:11">
      <c r="B23" s="1" t="s">
        <v>21</v>
      </c>
      <c r="C23" s="18" t="s">
        <v>399</v>
      </c>
      <c r="D23" s="12">
        <v>255</v>
      </c>
      <c r="E23" s="1" t="s">
        <v>21</v>
      </c>
      <c r="F23" s="12">
        <v>2</v>
      </c>
      <c r="G23" s="12" t="str">
        <f t="shared" si="0"/>
        <v>Pass</v>
      </c>
      <c r="H23" s="13" t="str">
        <f t="shared" si="1"/>
        <v>Pass</v>
      </c>
      <c r="I23" s="3" t="str">
        <f t="shared" si="2"/>
        <v>insplantypedesc</v>
      </c>
      <c r="J23" s="3" t="str">
        <f t="shared" si="3"/>
        <v>insplantypedesc</v>
      </c>
    </row>
    <row r="24" spans="2:11">
      <c r="B24" s="1" t="s">
        <v>22</v>
      </c>
      <c r="C24" s="18" t="s">
        <v>399</v>
      </c>
      <c r="D24" s="12">
        <v>20</v>
      </c>
      <c r="E24" s="1" t="s">
        <v>22</v>
      </c>
      <c r="F24" s="12">
        <v>5</v>
      </c>
      <c r="G24" s="12" t="str">
        <f t="shared" si="0"/>
        <v>Pass</v>
      </c>
      <c r="H24" s="13" t="str">
        <f t="shared" si="1"/>
        <v>Pass</v>
      </c>
      <c r="I24" s="3" t="str">
        <f t="shared" si="2"/>
        <v>inscarrierid</v>
      </c>
      <c r="J24" s="3" t="str">
        <f t="shared" si="3"/>
        <v>inscarrierid</v>
      </c>
    </row>
    <row r="25" spans="2:11">
      <c r="B25" s="1" t="s">
        <v>23</v>
      </c>
      <c r="C25" s="18" t="s">
        <v>399</v>
      </c>
      <c r="D25" s="12">
        <v>50</v>
      </c>
      <c r="E25" s="1" t="s">
        <v>23</v>
      </c>
      <c r="F25" s="12">
        <v>5</v>
      </c>
      <c r="G25" s="12" t="str">
        <f t="shared" si="0"/>
        <v>Pass</v>
      </c>
      <c r="H25" s="13" t="str">
        <f t="shared" si="1"/>
        <v>Pass</v>
      </c>
      <c r="I25" s="3" t="str">
        <f t="shared" si="2"/>
        <v>inscarriername</v>
      </c>
      <c r="J25" s="3" t="str">
        <f t="shared" si="3"/>
        <v>inscarriername</v>
      </c>
    </row>
    <row r="26" spans="2:11">
      <c r="B26" s="1" t="s">
        <v>24</v>
      </c>
      <c r="C26" s="18" t="s">
        <v>399</v>
      </c>
      <c r="D26" s="12">
        <v>20</v>
      </c>
      <c r="E26" s="1" t="s">
        <v>24</v>
      </c>
      <c r="F26" s="12">
        <v>1</v>
      </c>
      <c r="G26" s="12" t="str">
        <f t="shared" si="0"/>
        <v>Pass</v>
      </c>
      <c r="H26" s="13" t="str">
        <f t="shared" si="1"/>
        <v>Pass</v>
      </c>
      <c r="I26" s="3" t="str">
        <f t="shared" si="2"/>
        <v>inscoveragetypecode</v>
      </c>
      <c r="J26" s="3" t="str">
        <f t="shared" si="3"/>
        <v>inscoveragetypecode</v>
      </c>
    </row>
    <row r="27" spans="2:11">
      <c r="B27" s="1" t="s">
        <v>25</v>
      </c>
      <c r="C27" s="18" t="s">
        <v>399</v>
      </c>
      <c r="D27" s="12">
        <v>50</v>
      </c>
      <c r="E27" s="1" t="s">
        <v>25</v>
      </c>
      <c r="F27" s="12">
        <v>1</v>
      </c>
      <c r="G27" s="12" t="str">
        <f t="shared" si="0"/>
        <v>Pass</v>
      </c>
      <c r="H27" s="13" t="str">
        <f t="shared" si="1"/>
        <v>Pass</v>
      </c>
      <c r="I27" s="3" t="str">
        <f t="shared" si="2"/>
        <v>inscoveragetypedesc</v>
      </c>
      <c r="J27" s="3" t="str">
        <f t="shared" si="3"/>
        <v>inscoveragetypedesc</v>
      </c>
    </row>
    <row r="28" spans="2:11">
      <c r="B28" s="1" t="s">
        <v>26</v>
      </c>
      <c r="C28" s="18" t="s">
        <v>399</v>
      </c>
      <c r="D28" s="12">
        <v>56</v>
      </c>
      <c r="E28" s="1" t="s">
        <v>26</v>
      </c>
      <c r="F28" s="12">
        <v>56</v>
      </c>
      <c r="G28" s="12" t="str">
        <f t="shared" si="0"/>
        <v>Pass</v>
      </c>
      <c r="H28" s="13" t="str">
        <f t="shared" si="1"/>
        <v>Pass</v>
      </c>
      <c r="I28" s="3" t="str">
        <f t="shared" si="2"/>
        <v>insplanid</v>
      </c>
      <c r="J28" s="3" t="str">
        <f t="shared" si="3"/>
        <v>insplanid</v>
      </c>
      <c r="K28" t="s">
        <v>536</v>
      </c>
    </row>
    <row r="29" spans="2:11">
      <c r="B29" s="1" t="s">
        <v>27</v>
      </c>
      <c r="C29" s="18" t="s">
        <v>399</v>
      </c>
      <c r="D29" s="12">
        <v>100</v>
      </c>
      <c r="E29" s="1" t="s">
        <v>27</v>
      </c>
      <c r="F29" s="12">
        <v>69</v>
      </c>
      <c r="G29" s="12" t="str">
        <f t="shared" si="0"/>
        <v>Pass</v>
      </c>
      <c r="H29" s="13" t="str">
        <f t="shared" si="1"/>
        <v>Pass</v>
      </c>
      <c r="I29" s="3" t="str">
        <f t="shared" si="2"/>
        <v>insplandesc</v>
      </c>
      <c r="J29" s="3" t="str">
        <f t="shared" si="3"/>
        <v>insplandesc</v>
      </c>
    </row>
    <row r="30" spans="2:11">
      <c r="B30" s="1" t="s">
        <v>28</v>
      </c>
      <c r="C30" s="18" t="s">
        <v>399</v>
      </c>
      <c r="D30" s="12">
        <v>20</v>
      </c>
      <c r="E30" s="1" t="s">
        <v>28</v>
      </c>
      <c r="F30" s="12">
        <v>8</v>
      </c>
      <c r="G30" s="12" t="str">
        <f t="shared" si="0"/>
        <v>Pass</v>
      </c>
      <c r="H30" s="13" t="str">
        <f t="shared" si="1"/>
        <v>Pass</v>
      </c>
      <c r="I30" s="3" t="str">
        <f t="shared" si="2"/>
        <v>insempgroupid</v>
      </c>
      <c r="J30" s="3" t="str">
        <f t="shared" si="3"/>
        <v>insempgroupid</v>
      </c>
    </row>
    <row r="31" spans="2:11">
      <c r="B31" s="1" t="s">
        <v>29</v>
      </c>
      <c r="C31" s="18" t="s">
        <v>399</v>
      </c>
      <c r="D31" s="12">
        <v>50</v>
      </c>
      <c r="E31" s="1" t="s">
        <v>29</v>
      </c>
      <c r="F31" s="12">
        <v>5</v>
      </c>
      <c r="G31" s="12" t="str">
        <f t="shared" si="0"/>
        <v>Pass</v>
      </c>
      <c r="H31" s="13" t="str">
        <f t="shared" si="1"/>
        <v>Pass</v>
      </c>
      <c r="I31" s="3" t="str">
        <f t="shared" si="2"/>
        <v>insempgroupname</v>
      </c>
      <c r="J31" s="3" t="str">
        <f t="shared" si="3"/>
        <v>insempgroupname</v>
      </c>
    </row>
    <row r="32" spans="2:11">
      <c r="B32" s="1" t="s">
        <v>30</v>
      </c>
      <c r="C32" s="18" t="s">
        <v>399</v>
      </c>
      <c r="D32" s="12">
        <v>53</v>
      </c>
      <c r="E32" s="1" t="s">
        <v>30</v>
      </c>
      <c r="F32" s="12">
        <v>53</v>
      </c>
      <c r="G32" s="12" t="str">
        <f t="shared" si="0"/>
        <v>Pass</v>
      </c>
      <c r="H32" s="13" t="str">
        <f t="shared" si="1"/>
        <v>Pass</v>
      </c>
      <c r="I32" s="3" t="str">
        <f t="shared" si="2"/>
        <v>insdivisionid</v>
      </c>
      <c r="J32" s="3" t="str">
        <f t="shared" si="3"/>
        <v>insdivisionid</v>
      </c>
      <c r="K32" t="s">
        <v>537</v>
      </c>
    </row>
    <row r="33" spans="2:10">
      <c r="B33" s="1" t="s">
        <v>31</v>
      </c>
      <c r="C33" s="18" t="s">
        <v>399</v>
      </c>
      <c r="D33" s="12">
        <v>100</v>
      </c>
      <c r="E33" s="1" t="s">
        <v>31</v>
      </c>
      <c r="F33" s="12">
        <v>68</v>
      </c>
      <c r="G33" s="12" t="str">
        <f t="shared" si="0"/>
        <v>Pass</v>
      </c>
      <c r="H33" s="13" t="str">
        <f t="shared" si="1"/>
        <v>Pass</v>
      </c>
      <c r="I33" s="3" t="str">
        <f t="shared" si="2"/>
        <v>insdivisionname</v>
      </c>
      <c r="J33" s="3" t="str">
        <f t="shared" si="3"/>
        <v>insdivisionname</v>
      </c>
    </row>
    <row r="34" spans="2:10">
      <c r="B34" s="1" t="s">
        <v>32</v>
      </c>
      <c r="C34" s="18" t="s">
        <v>399</v>
      </c>
      <c r="D34" s="12">
        <v>2</v>
      </c>
      <c r="E34" s="1" t="s">
        <v>32</v>
      </c>
      <c r="F34" s="12">
        <v>0</v>
      </c>
      <c r="G34" s="12" t="str">
        <f t="shared" si="0"/>
        <v>Pass</v>
      </c>
      <c r="H34" s="13" t="str">
        <f t="shared" si="1"/>
        <v>Pass</v>
      </c>
      <c r="I34" s="3" t="str">
        <f t="shared" si="2"/>
        <v>inscobracode</v>
      </c>
      <c r="J34" s="3" t="str">
        <f t="shared" si="3"/>
        <v>inscobracode</v>
      </c>
    </row>
    <row r="35" spans="2:10">
      <c r="B35" s="1" t="s">
        <v>33</v>
      </c>
      <c r="C35" s="18" t="s">
        <v>399</v>
      </c>
      <c r="D35" s="12">
        <v>30</v>
      </c>
      <c r="E35" s="1" t="s">
        <v>33</v>
      </c>
      <c r="F35" s="12">
        <v>0</v>
      </c>
      <c r="G35" s="12" t="str">
        <f t="shared" si="0"/>
        <v>Pass</v>
      </c>
      <c r="H35" s="13" t="str">
        <f t="shared" si="1"/>
        <v>Pass</v>
      </c>
      <c r="I35" s="3" t="str">
        <f t="shared" si="2"/>
        <v>inscobradesc</v>
      </c>
      <c r="J35" s="3" t="str">
        <f t="shared" si="3"/>
        <v>inscobradesc</v>
      </c>
    </row>
    <row r="36" spans="2:10">
      <c r="B36" s="1" t="s">
        <v>34</v>
      </c>
      <c r="C36" s="18" t="s">
        <v>400</v>
      </c>
      <c r="D36" s="12" t="s">
        <v>476</v>
      </c>
      <c r="E36" s="1" t="s">
        <v>34</v>
      </c>
      <c r="F36" s="12">
        <v>10</v>
      </c>
      <c r="G36" s="12" t="str">
        <f t="shared" si="0"/>
        <v>Pass</v>
      </c>
      <c r="H36" s="13" t="str">
        <f t="shared" si="1"/>
        <v>Pass</v>
      </c>
      <c r="I36" s="3" t="str">
        <f t="shared" si="2"/>
        <v>insmedeffdate</v>
      </c>
      <c r="J36" s="3" t="str">
        <f t="shared" si="3"/>
        <v>insmedeffdate</v>
      </c>
    </row>
    <row r="37" spans="2:10">
      <c r="B37" s="1" t="s">
        <v>35</v>
      </c>
      <c r="C37" s="18" t="s">
        <v>400</v>
      </c>
      <c r="D37" s="12" t="s">
        <v>476</v>
      </c>
      <c r="E37" s="1" t="s">
        <v>35</v>
      </c>
      <c r="F37" s="12">
        <v>10</v>
      </c>
      <c r="G37" s="12" t="str">
        <f t="shared" si="0"/>
        <v>Pass</v>
      </c>
      <c r="H37" s="13" t="str">
        <f t="shared" si="1"/>
        <v>Pass</v>
      </c>
      <c r="I37" s="3" t="str">
        <f t="shared" si="2"/>
        <v>insmedtermdate</v>
      </c>
      <c r="J37" s="3" t="str">
        <f t="shared" si="3"/>
        <v>insmedtermdate</v>
      </c>
    </row>
    <row r="38" spans="2:10">
      <c r="B38" s="1" t="s">
        <v>36</v>
      </c>
      <c r="C38" s="18" t="s">
        <v>400</v>
      </c>
      <c r="D38" s="12" t="s">
        <v>476</v>
      </c>
      <c r="E38" s="1" t="s">
        <v>36</v>
      </c>
      <c r="F38" s="12">
        <v>0</v>
      </c>
      <c r="G38" s="12" t="str">
        <f t="shared" si="0"/>
        <v>Pass</v>
      </c>
      <c r="H38" s="13" t="str">
        <f t="shared" si="1"/>
        <v>Pass</v>
      </c>
      <c r="I38" s="3" t="str">
        <f t="shared" si="2"/>
        <v>insrxeffdate</v>
      </c>
      <c r="J38" s="3" t="str">
        <f t="shared" si="3"/>
        <v>insrxeffdate</v>
      </c>
    </row>
    <row r="39" spans="2:10">
      <c r="B39" s="1" t="s">
        <v>37</v>
      </c>
      <c r="C39" s="18" t="s">
        <v>400</v>
      </c>
      <c r="D39" s="12" t="s">
        <v>476</v>
      </c>
      <c r="E39" s="1" t="s">
        <v>37</v>
      </c>
      <c r="F39" s="12">
        <v>0</v>
      </c>
      <c r="G39" s="12" t="str">
        <f t="shared" si="0"/>
        <v>Pass</v>
      </c>
      <c r="H39" s="13" t="str">
        <f t="shared" si="1"/>
        <v>Pass</v>
      </c>
      <c r="I39" s="3" t="str">
        <f t="shared" si="2"/>
        <v>insrxtermdate</v>
      </c>
      <c r="J39" s="3" t="str">
        <f t="shared" si="3"/>
        <v>insrxtermdate</v>
      </c>
    </row>
    <row r="40" spans="2:10">
      <c r="B40" s="1" t="s">
        <v>38</v>
      </c>
      <c r="C40" s="18" t="s">
        <v>400</v>
      </c>
      <c r="D40" s="12" t="s">
        <v>476</v>
      </c>
      <c r="E40" s="1" t="s">
        <v>38</v>
      </c>
      <c r="F40" s="12">
        <v>0</v>
      </c>
      <c r="G40" s="12" t="str">
        <f t="shared" si="0"/>
        <v>Pass</v>
      </c>
      <c r="H40" s="13" t="str">
        <f t="shared" si="1"/>
        <v>Pass</v>
      </c>
      <c r="I40" s="3" t="str">
        <f t="shared" si="2"/>
        <v>insdeneffdate</v>
      </c>
      <c r="J40" s="3" t="str">
        <f t="shared" si="3"/>
        <v>insdeneffdate</v>
      </c>
    </row>
    <row r="41" spans="2:10">
      <c r="B41" s="1" t="s">
        <v>39</v>
      </c>
      <c r="C41" s="18" t="s">
        <v>400</v>
      </c>
      <c r="D41" s="12" t="s">
        <v>476</v>
      </c>
      <c r="E41" s="1" t="s">
        <v>39</v>
      </c>
      <c r="F41" s="12">
        <v>0</v>
      </c>
      <c r="G41" s="12" t="str">
        <f t="shared" si="0"/>
        <v>Pass</v>
      </c>
      <c r="H41" s="13" t="str">
        <f t="shared" si="1"/>
        <v>Pass</v>
      </c>
      <c r="I41" s="3" t="str">
        <f t="shared" si="2"/>
        <v>insdentermdate</v>
      </c>
      <c r="J41" s="3" t="str">
        <f t="shared" si="3"/>
        <v>insdentermdate</v>
      </c>
    </row>
    <row r="42" spans="2:10">
      <c r="B42" s="1" t="s">
        <v>40</v>
      </c>
      <c r="C42" s="18" t="s">
        <v>400</v>
      </c>
      <c r="D42" s="12" t="s">
        <v>476</v>
      </c>
      <c r="E42" s="1" t="s">
        <v>40</v>
      </c>
      <c r="F42" s="12">
        <v>0</v>
      </c>
      <c r="G42" s="12" t="str">
        <f t="shared" si="0"/>
        <v>Pass</v>
      </c>
      <c r="H42" s="13" t="str">
        <f t="shared" si="1"/>
        <v>Pass</v>
      </c>
      <c r="I42" s="3" t="str">
        <f t="shared" si="2"/>
        <v>insviseffdate</v>
      </c>
      <c r="J42" s="3" t="str">
        <f t="shared" si="3"/>
        <v>insviseffdate</v>
      </c>
    </row>
    <row r="43" spans="2:10">
      <c r="B43" s="1" t="s">
        <v>41</v>
      </c>
      <c r="C43" s="18" t="s">
        <v>400</v>
      </c>
      <c r="D43" s="12" t="s">
        <v>476</v>
      </c>
      <c r="E43" s="1" t="s">
        <v>41</v>
      </c>
      <c r="F43" s="12">
        <v>0</v>
      </c>
      <c r="G43" s="12" t="str">
        <f t="shared" si="0"/>
        <v>Pass</v>
      </c>
      <c r="H43" s="13" t="str">
        <f t="shared" si="1"/>
        <v>Pass</v>
      </c>
      <c r="I43" s="3" t="str">
        <f t="shared" si="2"/>
        <v>insvistermdate</v>
      </c>
      <c r="J43" s="3" t="str">
        <f t="shared" si="3"/>
        <v>insvistermdate</v>
      </c>
    </row>
    <row r="44" spans="2:10">
      <c r="B44" s="1" t="s">
        <v>42</v>
      </c>
      <c r="C44" s="18" t="s">
        <v>400</v>
      </c>
      <c r="D44" s="12" t="s">
        <v>476</v>
      </c>
      <c r="E44" s="1" t="s">
        <v>42</v>
      </c>
      <c r="F44" s="12">
        <v>0</v>
      </c>
      <c r="G44" s="12" t="str">
        <f t="shared" si="0"/>
        <v>Pass</v>
      </c>
      <c r="H44" s="13" t="str">
        <f t="shared" si="1"/>
        <v>Pass</v>
      </c>
      <c r="I44" s="3" t="str">
        <f t="shared" si="2"/>
        <v>insltdeffdate</v>
      </c>
      <c r="J44" s="3" t="str">
        <f t="shared" si="3"/>
        <v>insltdeffdate</v>
      </c>
    </row>
    <row r="45" spans="2:10">
      <c r="B45" s="1" t="s">
        <v>43</v>
      </c>
      <c r="C45" s="18" t="s">
        <v>400</v>
      </c>
      <c r="D45" s="12" t="s">
        <v>476</v>
      </c>
      <c r="E45" s="1" t="s">
        <v>43</v>
      </c>
      <c r="F45" s="12">
        <v>0</v>
      </c>
      <c r="G45" s="12" t="str">
        <f t="shared" si="0"/>
        <v>Pass</v>
      </c>
      <c r="H45" s="13" t="str">
        <f t="shared" si="1"/>
        <v>Pass</v>
      </c>
      <c r="I45" s="3" t="str">
        <f t="shared" si="2"/>
        <v>insltdtermdate</v>
      </c>
      <c r="J45" s="3" t="str">
        <f t="shared" si="3"/>
        <v>insltdtermdate</v>
      </c>
    </row>
    <row r="46" spans="2:10">
      <c r="B46" s="1" t="s">
        <v>44</v>
      </c>
      <c r="C46" s="18" t="s">
        <v>400</v>
      </c>
      <c r="D46" s="12" t="s">
        <v>476</v>
      </c>
      <c r="E46" s="1" t="s">
        <v>44</v>
      </c>
      <c r="F46" s="12">
        <v>0</v>
      </c>
      <c r="G46" s="12" t="str">
        <f t="shared" si="0"/>
        <v>Pass</v>
      </c>
      <c r="H46" s="13" t="str">
        <f t="shared" si="1"/>
        <v>Pass</v>
      </c>
      <c r="I46" s="3" t="str">
        <f t="shared" si="2"/>
        <v>insstdeffdate</v>
      </c>
      <c r="J46" s="3" t="str">
        <f t="shared" si="3"/>
        <v>insstdeffdate</v>
      </c>
    </row>
    <row r="47" spans="2:10">
      <c r="B47" s="1" t="s">
        <v>45</v>
      </c>
      <c r="C47" s="18" t="s">
        <v>400</v>
      </c>
      <c r="D47" s="12" t="s">
        <v>476</v>
      </c>
      <c r="E47" s="1" t="s">
        <v>45</v>
      </c>
      <c r="F47" s="12">
        <v>0</v>
      </c>
      <c r="G47" s="12" t="str">
        <f t="shared" si="0"/>
        <v>Pass</v>
      </c>
      <c r="H47" s="13" t="str">
        <f t="shared" si="1"/>
        <v>Pass</v>
      </c>
      <c r="I47" s="3" t="str">
        <f t="shared" si="2"/>
        <v>insstdtermdate</v>
      </c>
      <c r="J47" s="3" t="str">
        <f t="shared" si="3"/>
        <v>insstdtermdate</v>
      </c>
    </row>
    <row r="48" spans="2:10">
      <c r="B48" s="1" t="s">
        <v>46</v>
      </c>
      <c r="C48" s="18" t="s">
        <v>399</v>
      </c>
      <c r="D48" s="12">
        <v>50</v>
      </c>
      <c r="E48" s="1" t="s">
        <v>46</v>
      </c>
      <c r="F48" s="12">
        <v>10</v>
      </c>
      <c r="G48" s="12" t="str">
        <f t="shared" si="0"/>
        <v>Pass</v>
      </c>
      <c r="H48" s="13" t="str">
        <f t="shared" si="1"/>
        <v>Pass</v>
      </c>
      <c r="I48" s="3" t="str">
        <f t="shared" si="2"/>
        <v>prvpcpid</v>
      </c>
      <c r="J48" s="3" t="str">
        <f t="shared" si="3"/>
        <v>prvpcpid</v>
      </c>
    </row>
    <row r="49" spans="2:10">
      <c r="B49" s="1" t="s">
        <v>47</v>
      </c>
      <c r="C49" s="18" t="s">
        <v>399</v>
      </c>
      <c r="D49" s="12">
        <v>100</v>
      </c>
      <c r="E49" s="1" t="s">
        <v>47</v>
      </c>
      <c r="F49" s="12">
        <v>54</v>
      </c>
      <c r="G49" s="12" t="str">
        <f t="shared" si="0"/>
        <v>Pass</v>
      </c>
      <c r="H49" s="13" t="str">
        <f t="shared" si="1"/>
        <v>Pass</v>
      </c>
      <c r="I49" s="3" t="str">
        <f t="shared" si="2"/>
        <v>prvpcpfirstname</v>
      </c>
      <c r="J49" s="3" t="str">
        <f t="shared" si="3"/>
        <v>prvpcpfirstname</v>
      </c>
    </row>
    <row r="50" spans="2:10">
      <c r="B50" s="1" t="s">
        <v>48</v>
      </c>
      <c r="C50" s="18" t="s">
        <v>399</v>
      </c>
      <c r="D50" s="12">
        <v>30</v>
      </c>
      <c r="E50" s="1" t="s">
        <v>48</v>
      </c>
      <c r="F50" s="12">
        <v>14</v>
      </c>
      <c r="G50" s="12" t="str">
        <f t="shared" si="0"/>
        <v>Pass</v>
      </c>
      <c r="H50" s="13" t="str">
        <f t="shared" si="1"/>
        <v>Pass</v>
      </c>
      <c r="I50" s="3" t="str">
        <f t="shared" si="2"/>
        <v>prvpcpmiddlename</v>
      </c>
      <c r="J50" s="3" t="str">
        <f t="shared" si="3"/>
        <v>prvpcpmiddlename</v>
      </c>
    </row>
    <row r="51" spans="2:10">
      <c r="B51" s="1" t="s">
        <v>49</v>
      </c>
      <c r="C51" s="18" t="s">
        <v>399</v>
      </c>
      <c r="D51" s="12">
        <v>30</v>
      </c>
      <c r="E51" s="1" t="s">
        <v>49</v>
      </c>
      <c r="F51" s="12">
        <v>23</v>
      </c>
      <c r="G51" s="12" t="str">
        <f t="shared" si="0"/>
        <v>Pass</v>
      </c>
      <c r="H51" s="13" t="str">
        <f t="shared" si="1"/>
        <v>Pass</v>
      </c>
      <c r="I51" s="3" t="str">
        <f t="shared" si="2"/>
        <v>prvpcplastname</v>
      </c>
      <c r="J51" s="3" t="str">
        <f t="shared" si="3"/>
        <v>prvpcplastname</v>
      </c>
    </row>
    <row r="52" spans="2:10">
      <c r="B52" s="1" t="s">
        <v>50</v>
      </c>
      <c r="C52" s="18" t="s">
        <v>399</v>
      </c>
      <c r="D52" s="12">
        <v>15</v>
      </c>
      <c r="E52" s="1" t="s">
        <v>50</v>
      </c>
      <c r="F52" s="12">
        <v>0</v>
      </c>
      <c r="G52" s="12" t="str">
        <f t="shared" si="0"/>
        <v>Pass</v>
      </c>
      <c r="H52" s="13" t="str">
        <f t="shared" si="1"/>
        <v>Pass</v>
      </c>
      <c r="I52" s="3" t="str">
        <f t="shared" si="2"/>
        <v>prvpcpsiteid</v>
      </c>
      <c r="J52" s="3" t="str">
        <f t="shared" si="3"/>
        <v>prvpcpsiteid</v>
      </c>
    </row>
    <row r="53" spans="2:10">
      <c r="B53" s="1" t="s">
        <v>51</v>
      </c>
      <c r="C53" s="18" t="s">
        <v>399</v>
      </c>
      <c r="D53" s="12">
        <v>100</v>
      </c>
      <c r="E53" s="1" t="s">
        <v>51</v>
      </c>
      <c r="F53" s="12">
        <v>34</v>
      </c>
      <c r="G53" s="12" t="str">
        <f t="shared" si="0"/>
        <v>Pass</v>
      </c>
      <c r="H53" s="13" t="str">
        <f t="shared" si="1"/>
        <v>Pass</v>
      </c>
      <c r="I53" s="3" t="str">
        <f t="shared" si="2"/>
        <v>udf1</v>
      </c>
      <c r="J53" s="3" t="str">
        <f t="shared" si="3"/>
        <v>udf1</v>
      </c>
    </row>
    <row r="54" spans="2:10">
      <c r="B54" s="1" t="s">
        <v>52</v>
      </c>
      <c r="C54" s="18" t="s">
        <v>399</v>
      </c>
      <c r="D54" s="12">
        <v>100</v>
      </c>
      <c r="E54" s="1" t="s">
        <v>52</v>
      </c>
      <c r="F54" s="12">
        <v>35</v>
      </c>
      <c r="G54" s="12" t="str">
        <f t="shared" si="0"/>
        <v>Pass</v>
      </c>
      <c r="H54" s="13" t="str">
        <f t="shared" si="1"/>
        <v>Pass</v>
      </c>
      <c r="I54" s="3" t="str">
        <f t="shared" si="2"/>
        <v>udf2</v>
      </c>
      <c r="J54" s="3" t="str">
        <f t="shared" si="3"/>
        <v>udf2</v>
      </c>
    </row>
    <row r="55" spans="2:10">
      <c r="B55" s="1" t="s">
        <v>53</v>
      </c>
      <c r="C55" s="18" t="s">
        <v>399</v>
      </c>
      <c r="D55" s="12">
        <v>100</v>
      </c>
      <c r="E55" s="1" t="s">
        <v>53</v>
      </c>
      <c r="F55" s="12">
        <v>0</v>
      </c>
      <c r="G55" s="12" t="str">
        <f t="shared" si="0"/>
        <v>Pass</v>
      </c>
      <c r="H55" s="13" t="str">
        <f t="shared" si="1"/>
        <v>Pass</v>
      </c>
      <c r="I55" s="3" t="str">
        <f t="shared" si="2"/>
        <v>udf3</v>
      </c>
      <c r="J55" s="3" t="str">
        <f t="shared" si="3"/>
        <v>udf3</v>
      </c>
    </row>
    <row r="56" spans="2:10">
      <c r="B56" s="1" t="s">
        <v>54</v>
      </c>
      <c r="C56" s="18" t="s">
        <v>399</v>
      </c>
      <c r="D56" s="12">
        <v>100</v>
      </c>
      <c r="E56" s="1" t="s">
        <v>54</v>
      </c>
      <c r="F56" s="12">
        <v>0</v>
      </c>
      <c r="G56" s="12" t="str">
        <f t="shared" si="0"/>
        <v>Pass</v>
      </c>
      <c r="H56" s="13" t="str">
        <f t="shared" si="1"/>
        <v>Pass</v>
      </c>
      <c r="I56" s="3" t="str">
        <f t="shared" si="2"/>
        <v>udf4</v>
      </c>
      <c r="J56" s="3" t="str">
        <f t="shared" si="3"/>
        <v>udf4</v>
      </c>
    </row>
    <row r="57" spans="2:10">
      <c r="B57" s="1" t="s">
        <v>55</v>
      </c>
      <c r="C57" s="18" t="s">
        <v>399</v>
      </c>
      <c r="D57" s="12">
        <v>100</v>
      </c>
      <c r="E57" s="1" t="s">
        <v>55</v>
      </c>
      <c r="F57" s="12">
        <v>0</v>
      </c>
      <c r="G57" s="12" t="str">
        <f t="shared" si="0"/>
        <v>Pass</v>
      </c>
      <c r="H57" s="13" t="str">
        <f t="shared" si="1"/>
        <v>Pass</v>
      </c>
      <c r="I57" s="3" t="str">
        <f t="shared" si="2"/>
        <v>udf5</v>
      </c>
      <c r="J57" s="3" t="str">
        <f t="shared" si="3"/>
        <v>udf5</v>
      </c>
    </row>
    <row r="58" spans="2:10">
      <c r="B58" s="1" t="s">
        <v>56</v>
      </c>
      <c r="C58" s="18" t="s">
        <v>399</v>
      </c>
      <c r="D58" s="12">
        <v>100</v>
      </c>
      <c r="E58" s="1" t="s">
        <v>56</v>
      </c>
      <c r="F58" s="12">
        <v>0</v>
      </c>
      <c r="G58" s="12" t="str">
        <f t="shared" si="0"/>
        <v>Pass</v>
      </c>
      <c r="H58" s="13" t="str">
        <f t="shared" si="1"/>
        <v>Pass</v>
      </c>
      <c r="I58" s="3" t="str">
        <f t="shared" si="2"/>
        <v>udf6</v>
      </c>
      <c r="J58" s="3" t="str">
        <f t="shared" si="3"/>
        <v>udf6</v>
      </c>
    </row>
    <row r="59" spans="2:10">
      <c r="B59" s="1" t="s">
        <v>57</v>
      </c>
      <c r="C59" s="18" t="s">
        <v>399</v>
      </c>
      <c r="D59" s="12">
        <v>100</v>
      </c>
      <c r="E59" s="1" t="s">
        <v>57</v>
      </c>
      <c r="F59" s="12">
        <v>0</v>
      </c>
      <c r="G59" s="12" t="str">
        <f t="shared" si="0"/>
        <v>Pass</v>
      </c>
      <c r="H59" s="13" t="str">
        <f t="shared" si="1"/>
        <v>Pass</v>
      </c>
      <c r="I59" s="3" t="str">
        <f t="shared" si="2"/>
        <v>udf7</v>
      </c>
      <c r="J59" s="3" t="str">
        <f t="shared" si="3"/>
        <v>udf7</v>
      </c>
    </row>
    <row r="60" spans="2:10">
      <c r="B60" s="1" t="s">
        <v>58</v>
      </c>
      <c r="C60" s="18" t="s">
        <v>399</v>
      </c>
      <c r="D60" s="12">
        <v>100</v>
      </c>
      <c r="E60" s="1" t="s">
        <v>58</v>
      </c>
      <c r="F60" s="12">
        <v>0</v>
      </c>
      <c r="G60" s="12" t="str">
        <f t="shared" si="0"/>
        <v>Pass</v>
      </c>
      <c r="H60" s="13" t="str">
        <f t="shared" si="1"/>
        <v>Pass</v>
      </c>
      <c r="I60" s="3" t="str">
        <f t="shared" si="2"/>
        <v>udf8</v>
      </c>
      <c r="J60" s="3" t="str">
        <f t="shared" si="3"/>
        <v>udf8</v>
      </c>
    </row>
    <row r="61" spans="2:10">
      <c r="B61" s="1" t="s">
        <v>59</v>
      </c>
      <c r="C61" s="18" t="s">
        <v>399</v>
      </c>
      <c r="D61" s="12">
        <v>100</v>
      </c>
      <c r="E61" s="1" t="s">
        <v>59</v>
      </c>
      <c r="F61" s="12">
        <v>0</v>
      </c>
      <c r="G61" s="12" t="str">
        <f t="shared" si="0"/>
        <v>Pass</v>
      </c>
      <c r="H61" s="13" t="str">
        <f t="shared" si="1"/>
        <v>Pass</v>
      </c>
      <c r="I61" s="3" t="str">
        <f t="shared" si="2"/>
        <v>udf9</v>
      </c>
      <c r="J61" s="3" t="str">
        <f t="shared" si="3"/>
        <v>udf9</v>
      </c>
    </row>
    <row r="62" spans="2:10">
      <c r="B62" s="1" t="s">
        <v>60</v>
      </c>
      <c r="C62" s="18" t="s">
        <v>399</v>
      </c>
      <c r="D62" s="12">
        <v>100</v>
      </c>
      <c r="E62" s="1" t="s">
        <v>60</v>
      </c>
      <c r="F62" s="12">
        <v>0</v>
      </c>
      <c r="G62" s="12" t="str">
        <f t="shared" si="0"/>
        <v>Pass</v>
      </c>
      <c r="H62" s="13" t="str">
        <f t="shared" si="1"/>
        <v>Pass</v>
      </c>
      <c r="I62" s="3" t="str">
        <f t="shared" si="2"/>
        <v>udf10</v>
      </c>
      <c r="J62" s="3" t="str">
        <f t="shared" si="3"/>
        <v>udf10</v>
      </c>
    </row>
    <row r="63" spans="2:10">
      <c r="B63" s="1" t="s">
        <v>61</v>
      </c>
      <c r="C63" s="18" t="s">
        <v>399</v>
      </c>
      <c r="D63" s="12">
        <v>100</v>
      </c>
      <c r="E63" s="1" t="s">
        <v>61</v>
      </c>
      <c r="F63" s="12">
        <v>0</v>
      </c>
      <c r="G63" s="12" t="str">
        <f t="shared" si="0"/>
        <v>Pass</v>
      </c>
      <c r="H63" s="13" t="str">
        <f t="shared" si="1"/>
        <v>Pass</v>
      </c>
      <c r="I63" s="3" t="str">
        <f t="shared" si="2"/>
        <v>udf11</v>
      </c>
      <c r="J63" s="3" t="str">
        <f t="shared" si="3"/>
        <v>udf11</v>
      </c>
    </row>
    <row r="64" spans="2:10">
      <c r="B64" s="1" t="s">
        <v>62</v>
      </c>
      <c r="C64" s="18" t="s">
        <v>399</v>
      </c>
      <c r="D64" s="12">
        <v>100</v>
      </c>
      <c r="E64" s="1" t="s">
        <v>62</v>
      </c>
      <c r="F64" s="12">
        <v>0</v>
      </c>
      <c r="G64" s="12" t="str">
        <f t="shared" si="0"/>
        <v>Pass</v>
      </c>
      <c r="H64" s="13" t="str">
        <f t="shared" si="1"/>
        <v>Pass</v>
      </c>
      <c r="I64" s="3" t="str">
        <f t="shared" si="2"/>
        <v>udf12</v>
      </c>
      <c r="J64" s="3" t="str">
        <f t="shared" si="3"/>
        <v>udf12</v>
      </c>
    </row>
    <row r="65" spans="2:10">
      <c r="B65" s="1" t="s">
        <v>63</v>
      </c>
      <c r="C65" s="18" t="s">
        <v>399</v>
      </c>
      <c r="D65" s="12">
        <v>100</v>
      </c>
      <c r="E65" s="1" t="s">
        <v>63</v>
      </c>
      <c r="F65" s="12">
        <v>0</v>
      </c>
      <c r="G65" s="12" t="str">
        <f t="shared" si="0"/>
        <v>Pass</v>
      </c>
      <c r="H65" s="13" t="str">
        <f t="shared" si="1"/>
        <v>Pass</v>
      </c>
      <c r="I65" s="3" t="str">
        <f t="shared" si="2"/>
        <v>udf13</v>
      </c>
      <c r="J65" s="3" t="str">
        <f t="shared" si="3"/>
        <v>udf13</v>
      </c>
    </row>
    <row r="66" spans="2:10">
      <c r="B66" s="1" t="s">
        <v>64</v>
      </c>
      <c r="C66" s="18" t="s">
        <v>399</v>
      </c>
      <c r="D66" s="12">
        <v>100</v>
      </c>
      <c r="E66" s="1" t="s">
        <v>64</v>
      </c>
      <c r="F66" s="12">
        <v>0</v>
      </c>
      <c r="G66" s="12" t="str">
        <f t="shared" si="0"/>
        <v>Pass</v>
      </c>
      <c r="H66" s="13" t="str">
        <f t="shared" si="1"/>
        <v>Pass</v>
      </c>
      <c r="I66" s="3" t="str">
        <f t="shared" si="2"/>
        <v>udf14</v>
      </c>
      <c r="J66" s="3" t="str">
        <f t="shared" si="3"/>
        <v>udf14</v>
      </c>
    </row>
    <row r="67" spans="2:10">
      <c r="B67" s="1" t="s">
        <v>65</v>
      </c>
      <c r="C67" s="18" t="s">
        <v>399</v>
      </c>
      <c r="D67" s="12">
        <v>100</v>
      </c>
      <c r="E67" s="1" t="s">
        <v>65</v>
      </c>
      <c r="F67" s="12">
        <v>0</v>
      </c>
      <c r="G67" s="12" t="str">
        <f t="shared" ref="G67:G94" si="4">IF(I67=J67,"Pass","Fail")</f>
        <v>Pass</v>
      </c>
      <c r="H67" s="13" t="str">
        <f t="shared" ref="H67:H94" si="5">IF(AND(ISBLANK(D67),F67&gt;=0),"Pass",IF(F67&lt;=D67,"Pass","Fail"))</f>
        <v>Pass</v>
      </c>
      <c r="I67" s="3" t="str">
        <f t="shared" ref="I67:I94" si="6">SUBSTITUTE(B67,"_","")</f>
        <v>udf15</v>
      </c>
      <c r="J67" s="3" t="str">
        <f t="shared" ref="J67:J94" si="7">SUBSTITUTE(E67,"_","")</f>
        <v>udf15</v>
      </c>
    </row>
    <row r="68" spans="2:10">
      <c r="B68" s="1" t="s">
        <v>66</v>
      </c>
      <c r="C68" s="18" t="s">
        <v>399</v>
      </c>
      <c r="D68" s="12">
        <v>100</v>
      </c>
      <c r="E68" s="1" t="s">
        <v>66</v>
      </c>
      <c r="F68" s="12">
        <v>8</v>
      </c>
      <c r="G68" s="12" t="str">
        <f t="shared" si="4"/>
        <v>Pass</v>
      </c>
      <c r="H68" s="13" t="str">
        <f t="shared" si="5"/>
        <v>Pass</v>
      </c>
      <c r="I68" s="3" t="str">
        <f t="shared" si="6"/>
        <v>udf16</v>
      </c>
      <c r="J68" s="3" t="str">
        <f t="shared" si="7"/>
        <v>udf16</v>
      </c>
    </row>
    <row r="69" spans="2:10">
      <c r="B69" s="1" t="s">
        <v>67</v>
      </c>
      <c r="C69" s="18" t="s">
        <v>399</v>
      </c>
      <c r="D69" s="12">
        <v>100</v>
      </c>
      <c r="E69" s="1" t="s">
        <v>67</v>
      </c>
      <c r="F69" s="12">
        <v>8</v>
      </c>
      <c r="G69" s="12" t="str">
        <f t="shared" si="4"/>
        <v>Pass</v>
      </c>
      <c r="H69" s="13" t="str">
        <f t="shared" si="5"/>
        <v>Pass</v>
      </c>
      <c r="I69" s="3" t="str">
        <f t="shared" si="6"/>
        <v>udf17</v>
      </c>
      <c r="J69" s="3" t="str">
        <f t="shared" si="7"/>
        <v>udf17</v>
      </c>
    </row>
    <row r="70" spans="2:10">
      <c r="B70" s="1" t="s">
        <v>68</v>
      </c>
      <c r="C70" s="18" t="s">
        <v>399</v>
      </c>
      <c r="D70" s="12">
        <v>100</v>
      </c>
      <c r="E70" s="1" t="s">
        <v>68</v>
      </c>
      <c r="F70" s="12">
        <v>2</v>
      </c>
      <c r="G70" s="12" t="str">
        <f t="shared" si="4"/>
        <v>Pass</v>
      </c>
      <c r="H70" s="13" t="str">
        <f t="shared" si="5"/>
        <v>Pass</v>
      </c>
      <c r="I70" s="3" t="str">
        <f t="shared" si="6"/>
        <v>udf18</v>
      </c>
      <c r="J70" s="3" t="str">
        <f t="shared" si="7"/>
        <v>udf18</v>
      </c>
    </row>
    <row r="71" spans="2:10">
      <c r="B71" s="1" t="s">
        <v>69</v>
      </c>
      <c r="C71" s="18" t="s">
        <v>399</v>
      </c>
      <c r="D71" s="12">
        <v>100</v>
      </c>
      <c r="E71" s="1" t="s">
        <v>69</v>
      </c>
      <c r="F71" s="12">
        <v>2</v>
      </c>
      <c r="G71" s="12" t="str">
        <f t="shared" si="4"/>
        <v>Pass</v>
      </c>
      <c r="H71" s="13" t="str">
        <f t="shared" si="5"/>
        <v>Pass</v>
      </c>
      <c r="I71" s="3" t="str">
        <f t="shared" si="6"/>
        <v>udf19</v>
      </c>
      <c r="J71" s="3" t="str">
        <f t="shared" si="7"/>
        <v>udf19</v>
      </c>
    </row>
    <row r="72" spans="2:10">
      <c r="B72" s="1" t="s">
        <v>70</v>
      </c>
      <c r="C72" s="18" t="s">
        <v>399</v>
      </c>
      <c r="D72" s="12">
        <v>100</v>
      </c>
      <c r="E72" s="1" t="s">
        <v>70</v>
      </c>
      <c r="F72" s="12">
        <v>2</v>
      </c>
      <c r="G72" s="12" t="str">
        <f t="shared" si="4"/>
        <v>Pass</v>
      </c>
      <c r="H72" s="13" t="str">
        <f t="shared" si="5"/>
        <v>Pass</v>
      </c>
      <c r="I72" s="3" t="str">
        <f t="shared" si="6"/>
        <v>udf20</v>
      </c>
      <c r="J72" s="3" t="str">
        <f t="shared" si="7"/>
        <v>udf20</v>
      </c>
    </row>
    <row r="73" spans="2:10">
      <c r="B73" s="1" t="s">
        <v>71</v>
      </c>
      <c r="C73" s="18" t="s">
        <v>399</v>
      </c>
      <c r="D73" s="12">
        <v>50</v>
      </c>
      <c r="E73" s="1" t="s">
        <v>71</v>
      </c>
      <c r="F73" s="12">
        <v>32</v>
      </c>
      <c r="G73" s="12" t="str">
        <f t="shared" si="4"/>
        <v>Pass</v>
      </c>
      <c r="H73" s="13" t="str">
        <f t="shared" si="5"/>
        <v>Pass</v>
      </c>
      <c r="I73" s="3" t="str">
        <f t="shared" si="6"/>
        <v>dwmemberid</v>
      </c>
      <c r="J73" s="3" t="str">
        <f t="shared" si="7"/>
        <v>dwmemberid</v>
      </c>
    </row>
    <row r="74" spans="2:10">
      <c r="B74" s="32" t="s">
        <v>86</v>
      </c>
      <c r="C74" s="32" t="s">
        <v>399</v>
      </c>
      <c r="D74" s="12">
        <v>500</v>
      </c>
      <c r="E74" s="32" t="s">
        <v>86</v>
      </c>
      <c r="F74" s="12">
        <v>85</v>
      </c>
      <c r="G74" s="12" t="str">
        <f t="shared" si="4"/>
        <v>Pass</v>
      </c>
      <c r="H74" s="13" t="str">
        <f t="shared" si="5"/>
        <v>Pass</v>
      </c>
      <c r="I74" s="3" t="str">
        <f t="shared" si="6"/>
        <v>dwrawfilename</v>
      </c>
      <c r="J74" s="3" t="str">
        <f t="shared" si="7"/>
        <v>dwrawfilename</v>
      </c>
    </row>
    <row r="75" spans="2:10">
      <c r="B75" s="32" t="s">
        <v>436</v>
      </c>
      <c r="C75" s="32" t="s">
        <v>399</v>
      </c>
      <c r="D75" s="12">
        <v>100</v>
      </c>
      <c r="E75" s="32" t="s">
        <v>436</v>
      </c>
      <c r="F75" s="12">
        <v>5</v>
      </c>
      <c r="G75" s="12" t="str">
        <f t="shared" si="4"/>
        <v>Pass</v>
      </c>
      <c r="H75" s="13" t="str">
        <f t="shared" si="5"/>
        <v>Pass</v>
      </c>
      <c r="I75" s="3" t="str">
        <f t="shared" si="6"/>
        <v>udf21</v>
      </c>
      <c r="J75" s="3" t="str">
        <f t="shared" si="7"/>
        <v>udf21</v>
      </c>
    </row>
    <row r="76" spans="2:10">
      <c r="B76" s="32" t="s">
        <v>437</v>
      </c>
      <c r="C76" s="32" t="s">
        <v>399</v>
      </c>
      <c r="D76" s="12">
        <v>100</v>
      </c>
      <c r="E76" s="32" t="s">
        <v>437</v>
      </c>
      <c r="F76" s="12">
        <v>0</v>
      </c>
      <c r="G76" s="12" t="str">
        <f t="shared" si="4"/>
        <v>Pass</v>
      </c>
      <c r="H76" s="13" t="str">
        <f t="shared" si="5"/>
        <v>Pass</v>
      </c>
      <c r="I76" s="3" t="str">
        <f t="shared" si="6"/>
        <v>udf22</v>
      </c>
      <c r="J76" s="3" t="str">
        <f t="shared" si="7"/>
        <v>udf22</v>
      </c>
    </row>
    <row r="77" spans="2:10">
      <c r="B77" s="32" t="s">
        <v>438</v>
      </c>
      <c r="C77" s="32" t="s">
        <v>399</v>
      </c>
      <c r="D77" s="12">
        <v>100</v>
      </c>
      <c r="E77" s="32" t="s">
        <v>438</v>
      </c>
      <c r="F77" s="12">
        <v>0</v>
      </c>
      <c r="G77" s="12" t="str">
        <f t="shared" si="4"/>
        <v>Pass</v>
      </c>
      <c r="H77" s="13" t="str">
        <f t="shared" si="5"/>
        <v>Pass</v>
      </c>
      <c r="I77" s="3" t="str">
        <f t="shared" si="6"/>
        <v>udf23</v>
      </c>
      <c r="J77" s="3" t="str">
        <f t="shared" si="7"/>
        <v>udf23</v>
      </c>
    </row>
    <row r="78" spans="2:10">
      <c r="B78" s="32" t="s">
        <v>439</v>
      </c>
      <c r="C78" s="32" t="s">
        <v>399</v>
      </c>
      <c r="D78" s="12">
        <v>100</v>
      </c>
      <c r="E78" s="32" t="s">
        <v>439</v>
      </c>
      <c r="F78" s="12">
        <v>0</v>
      </c>
      <c r="G78" s="12" t="str">
        <f t="shared" si="4"/>
        <v>Pass</v>
      </c>
      <c r="H78" s="13" t="str">
        <f t="shared" si="5"/>
        <v>Pass</v>
      </c>
      <c r="I78" s="3" t="str">
        <f t="shared" si="6"/>
        <v>udf24</v>
      </c>
      <c r="J78" s="3" t="str">
        <f t="shared" si="7"/>
        <v>udf24</v>
      </c>
    </row>
    <row r="79" spans="2:10">
      <c r="B79" s="32" t="s">
        <v>440</v>
      </c>
      <c r="C79" s="32" t="s">
        <v>399</v>
      </c>
      <c r="D79" s="12">
        <v>100</v>
      </c>
      <c r="E79" s="32" t="s">
        <v>440</v>
      </c>
      <c r="F79" s="12">
        <v>0</v>
      </c>
      <c r="G79" s="12" t="str">
        <f t="shared" si="4"/>
        <v>Pass</v>
      </c>
      <c r="H79" s="13" t="str">
        <f t="shared" si="5"/>
        <v>Pass</v>
      </c>
      <c r="I79" s="3" t="str">
        <f t="shared" si="6"/>
        <v>udf25</v>
      </c>
      <c r="J79" s="3" t="str">
        <f t="shared" si="7"/>
        <v>udf25</v>
      </c>
    </row>
    <row r="80" spans="2:10">
      <c r="B80" s="32" t="s">
        <v>441</v>
      </c>
      <c r="C80" s="32" t="s">
        <v>399</v>
      </c>
      <c r="D80" s="12">
        <v>100</v>
      </c>
      <c r="E80" s="32" t="s">
        <v>441</v>
      </c>
      <c r="F80" s="12">
        <v>0</v>
      </c>
      <c r="G80" s="12" t="str">
        <f t="shared" si="4"/>
        <v>Pass</v>
      </c>
      <c r="H80" s="13" t="str">
        <f t="shared" si="5"/>
        <v>Pass</v>
      </c>
      <c r="I80" s="3" t="str">
        <f t="shared" si="6"/>
        <v>udf26</v>
      </c>
      <c r="J80" s="3" t="str">
        <f t="shared" si="7"/>
        <v>udf26</v>
      </c>
    </row>
    <row r="81" spans="2:10">
      <c r="B81" s="32" t="s">
        <v>442</v>
      </c>
      <c r="C81" s="32" t="s">
        <v>399</v>
      </c>
      <c r="D81" s="12">
        <v>100</v>
      </c>
      <c r="E81" s="32" t="s">
        <v>442</v>
      </c>
      <c r="F81" s="12">
        <v>0</v>
      </c>
      <c r="G81" s="12" t="str">
        <f t="shared" si="4"/>
        <v>Pass</v>
      </c>
      <c r="H81" s="13" t="str">
        <f t="shared" si="5"/>
        <v>Pass</v>
      </c>
      <c r="I81" s="3" t="str">
        <f t="shared" si="6"/>
        <v>udf27</v>
      </c>
      <c r="J81" s="3" t="str">
        <f t="shared" si="7"/>
        <v>udf27</v>
      </c>
    </row>
    <row r="82" spans="2:10">
      <c r="B82" s="32" t="s">
        <v>443</v>
      </c>
      <c r="C82" s="32" t="s">
        <v>399</v>
      </c>
      <c r="D82" s="12">
        <v>100</v>
      </c>
      <c r="E82" s="32" t="s">
        <v>443</v>
      </c>
      <c r="F82" s="12">
        <v>0</v>
      </c>
      <c r="G82" s="12" t="str">
        <f t="shared" si="4"/>
        <v>Pass</v>
      </c>
      <c r="H82" s="13" t="str">
        <f t="shared" si="5"/>
        <v>Pass</v>
      </c>
      <c r="I82" s="3" t="str">
        <f t="shared" si="6"/>
        <v>udf28</v>
      </c>
      <c r="J82" s="3" t="str">
        <f t="shared" si="7"/>
        <v>udf28</v>
      </c>
    </row>
    <row r="83" spans="2:10">
      <c r="B83" s="32" t="s">
        <v>444</v>
      </c>
      <c r="C83" s="32" t="s">
        <v>399</v>
      </c>
      <c r="D83" s="12">
        <v>100</v>
      </c>
      <c r="E83" s="32" t="s">
        <v>444</v>
      </c>
      <c r="F83" s="12">
        <v>0</v>
      </c>
      <c r="G83" s="12" t="str">
        <f t="shared" si="4"/>
        <v>Pass</v>
      </c>
      <c r="H83" s="13" t="str">
        <f t="shared" si="5"/>
        <v>Pass</v>
      </c>
      <c r="I83" s="3" t="str">
        <f t="shared" si="6"/>
        <v>udf29</v>
      </c>
      <c r="J83" s="3" t="str">
        <f t="shared" si="7"/>
        <v>udf29</v>
      </c>
    </row>
    <row r="84" spans="2:10">
      <c r="B84" s="32" t="s">
        <v>445</v>
      </c>
      <c r="C84" s="32" t="s">
        <v>399</v>
      </c>
      <c r="D84" s="12">
        <v>100</v>
      </c>
      <c r="E84" s="32" t="s">
        <v>445</v>
      </c>
      <c r="F84" s="12">
        <v>0</v>
      </c>
      <c r="G84" s="12" t="str">
        <f t="shared" si="4"/>
        <v>Pass</v>
      </c>
      <c r="H84" s="13" t="str">
        <f t="shared" si="5"/>
        <v>Pass</v>
      </c>
      <c r="I84" s="3" t="str">
        <f t="shared" si="6"/>
        <v>udf30</v>
      </c>
      <c r="J84" s="3" t="str">
        <f t="shared" si="7"/>
        <v>udf30</v>
      </c>
    </row>
    <row r="85" spans="2:10">
      <c r="B85" s="32" t="s">
        <v>446</v>
      </c>
      <c r="C85" s="32" t="s">
        <v>399</v>
      </c>
      <c r="D85" s="12">
        <v>100</v>
      </c>
      <c r="E85" s="32" t="s">
        <v>446</v>
      </c>
      <c r="F85" s="12">
        <v>0</v>
      </c>
      <c r="G85" s="12" t="str">
        <f t="shared" si="4"/>
        <v>Pass</v>
      </c>
      <c r="H85" s="13" t="str">
        <f t="shared" si="5"/>
        <v>Pass</v>
      </c>
      <c r="I85" s="3" t="str">
        <f t="shared" si="6"/>
        <v>udf31</v>
      </c>
      <c r="J85" s="3" t="str">
        <f t="shared" si="7"/>
        <v>udf31</v>
      </c>
    </row>
    <row r="86" spans="2:10">
      <c r="B86" s="32" t="s">
        <v>447</v>
      </c>
      <c r="C86" s="32" t="s">
        <v>399</v>
      </c>
      <c r="D86" s="12">
        <v>100</v>
      </c>
      <c r="E86" s="32" t="s">
        <v>447</v>
      </c>
      <c r="F86" s="12">
        <v>0</v>
      </c>
      <c r="G86" s="12" t="str">
        <f t="shared" si="4"/>
        <v>Pass</v>
      </c>
      <c r="H86" s="13" t="str">
        <f t="shared" si="5"/>
        <v>Pass</v>
      </c>
      <c r="I86" s="3" t="str">
        <f t="shared" si="6"/>
        <v>udf32</v>
      </c>
      <c r="J86" s="3" t="str">
        <f t="shared" si="7"/>
        <v>udf32</v>
      </c>
    </row>
    <row r="87" spans="2:10">
      <c r="B87" s="32" t="s">
        <v>448</v>
      </c>
      <c r="C87" s="32" t="s">
        <v>399</v>
      </c>
      <c r="D87" s="12">
        <v>100</v>
      </c>
      <c r="E87" s="32" t="s">
        <v>448</v>
      </c>
      <c r="F87" s="12">
        <v>0</v>
      </c>
      <c r="G87" s="12" t="str">
        <f t="shared" si="4"/>
        <v>Pass</v>
      </c>
      <c r="H87" s="13" t="str">
        <f t="shared" si="5"/>
        <v>Pass</v>
      </c>
      <c r="I87" s="3" t="str">
        <f t="shared" si="6"/>
        <v>udf33</v>
      </c>
      <c r="J87" s="3" t="str">
        <f t="shared" si="7"/>
        <v>udf33</v>
      </c>
    </row>
    <row r="88" spans="2:10">
      <c r="B88" s="32" t="s">
        <v>449</v>
      </c>
      <c r="C88" s="32" t="s">
        <v>399</v>
      </c>
      <c r="D88" s="12">
        <v>100</v>
      </c>
      <c r="E88" s="32" t="s">
        <v>449</v>
      </c>
      <c r="F88" s="12">
        <v>0</v>
      </c>
      <c r="G88" s="12" t="str">
        <f t="shared" si="4"/>
        <v>Pass</v>
      </c>
      <c r="H88" s="13" t="str">
        <f t="shared" si="5"/>
        <v>Pass</v>
      </c>
      <c r="I88" s="3" t="str">
        <f t="shared" si="6"/>
        <v>udf34</v>
      </c>
      <c r="J88" s="3" t="str">
        <f t="shared" si="7"/>
        <v>udf34</v>
      </c>
    </row>
    <row r="89" spans="2:10">
      <c r="B89" s="32" t="s">
        <v>450</v>
      </c>
      <c r="C89" s="32" t="s">
        <v>399</v>
      </c>
      <c r="D89" s="12">
        <v>100</v>
      </c>
      <c r="E89" s="32" t="s">
        <v>450</v>
      </c>
      <c r="F89" s="12">
        <v>0</v>
      </c>
      <c r="G89" s="12" t="str">
        <f t="shared" si="4"/>
        <v>Pass</v>
      </c>
      <c r="H89" s="13" t="str">
        <f t="shared" si="5"/>
        <v>Pass</v>
      </c>
      <c r="I89" s="3" t="str">
        <f t="shared" si="6"/>
        <v>udf35</v>
      </c>
      <c r="J89" s="3" t="str">
        <f t="shared" si="7"/>
        <v>udf35</v>
      </c>
    </row>
    <row r="90" spans="2:10">
      <c r="B90" s="32" t="s">
        <v>451</v>
      </c>
      <c r="C90" s="32" t="s">
        <v>399</v>
      </c>
      <c r="D90" s="12">
        <v>100</v>
      </c>
      <c r="E90" s="32" t="s">
        <v>451</v>
      </c>
      <c r="F90" s="12">
        <v>0</v>
      </c>
      <c r="G90" s="12" t="str">
        <f t="shared" si="4"/>
        <v>Pass</v>
      </c>
      <c r="H90" s="13" t="str">
        <f t="shared" si="5"/>
        <v>Pass</v>
      </c>
      <c r="I90" s="3" t="str">
        <f t="shared" si="6"/>
        <v>udf36</v>
      </c>
      <c r="J90" s="3" t="str">
        <f t="shared" si="7"/>
        <v>udf36</v>
      </c>
    </row>
    <row r="91" spans="2:10">
      <c r="B91" s="32" t="s">
        <v>452</v>
      </c>
      <c r="C91" s="32" t="s">
        <v>399</v>
      </c>
      <c r="D91" s="12">
        <v>100</v>
      </c>
      <c r="E91" s="32" t="s">
        <v>452</v>
      </c>
      <c r="F91" s="12">
        <v>0</v>
      </c>
      <c r="G91" s="12" t="str">
        <f t="shared" si="4"/>
        <v>Pass</v>
      </c>
      <c r="H91" s="13" t="str">
        <f t="shared" si="5"/>
        <v>Pass</v>
      </c>
      <c r="I91" s="3" t="str">
        <f t="shared" si="6"/>
        <v>udf37</v>
      </c>
      <c r="J91" s="3" t="str">
        <f t="shared" si="7"/>
        <v>udf37</v>
      </c>
    </row>
    <row r="92" spans="2:10">
      <c r="B92" s="32" t="s">
        <v>453</v>
      </c>
      <c r="C92" s="32" t="s">
        <v>399</v>
      </c>
      <c r="D92" s="12">
        <v>100</v>
      </c>
      <c r="E92" s="32" t="s">
        <v>453</v>
      </c>
      <c r="F92" s="12">
        <v>0</v>
      </c>
      <c r="G92" s="12" t="str">
        <f t="shared" si="4"/>
        <v>Pass</v>
      </c>
      <c r="H92" s="13" t="str">
        <f t="shared" si="5"/>
        <v>Pass</v>
      </c>
      <c r="I92" s="3" t="str">
        <f t="shared" si="6"/>
        <v>udf38</v>
      </c>
      <c r="J92" s="3" t="str">
        <f t="shared" si="7"/>
        <v>udf38</v>
      </c>
    </row>
    <row r="93" spans="2:10">
      <c r="B93" s="32" t="s">
        <v>454</v>
      </c>
      <c r="C93" s="32" t="s">
        <v>399</v>
      </c>
      <c r="D93" s="12">
        <v>100</v>
      </c>
      <c r="E93" s="32" t="s">
        <v>454</v>
      </c>
      <c r="F93" s="12">
        <v>0</v>
      </c>
      <c r="G93" s="12" t="str">
        <f t="shared" si="4"/>
        <v>Pass</v>
      </c>
      <c r="H93" s="13" t="str">
        <f t="shared" si="5"/>
        <v>Pass</v>
      </c>
      <c r="I93" s="3" t="str">
        <f t="shared" si="6"/>
        <v>udf39</v>
      </c>
      <c r="J93" s="3" t="str">
        <f t="shared" si="7"/>
        <v>udf39</v>
      </c>
    </row>
    <row r="94" spans="2:10">
      <c r="B94" s="32" t="s">
        <v>455</v>
      </c>
      <c r="C94" s="32" t="s">
        <v>399</v>
      </c>
      <c r="D94" s="12">
        <v>100</v>
      </c>
      <c r="E94" s="32" t="s">
        <v>455</v>
      </c>
      <c r="F94" s="12">
        <v>0</v>
      </c>
      <c r="G94" s="12" t="str">
        <f t="shared" si="4"/>
        <v>Pass</v>
      </c>
      <c r="H94" s="13" t="str">
        <f t="shared" si="5"/>
        <v>Pass</v>
      </c>
      <c r="I94" s="3" t="str">
        <f t="shared" si="6"/>
        <v>udf40</v>
      </c>
      <c r="J94" s="3" t="str">
        <f t="shared" si="7"/>
        <v>udf40</v>
      </c>
    </row>
  </sheetData>
  <conditionalFormatting sqref="G2:H94">
    <cfRule type="cellIs" dxfId="143" priority="23" operator="equal">
      <formula>"Fail"</formula>
    </cfRule>
    <cfRule type="cellIs" dxfId="142" priority="24" operator="equal">
      <formula>"Pass"</formula>
    </cfRule>
  </conditionalFormatting>
  <conditionalFormatting sqref="M6:N7">
    <cfRule type="cellIs" dxfId="141" priority="5" operator="equal">
      <formula>"Fail"</formula>
    </cfRule>
    <cfRule type="cellIs" dxfId="140" priority="6" operator="equal">
      <formula>"Pass"</formula>
    </cfRule>
  </conditionalFormatting>
  <conditionalFormatting sqref="M8">
    <cfRule type="containsText" dxfId="139" priority="1" operator="containsText" text="Pass">
      <formula>NOT(ISERROR(SEARCH("Pass",M8)))</formula>
    </cfRule>
    <cfRule type="containsText" dxfId="138" priority="2" operator="containsText" text="Fail">
      <formula>NOT(ISERROR(SEARCH("Fail",M8)))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B1:O10"/>
  <sheetViews>
    <sheetView showGridLines="0" workbookViewId="0">
      <pane ySplit="1" topLeftCell="A2" activePane="bottomLeft" state="frozen"/>
      <selection pane="bottomLeft" activeCell="F2" sqref="F2:F10"/>
    </sheetView>
  </sheetViews>
  <sheetFormatPr defaultRowHeight="1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5.42578125" hidden="1" customWidth="1"/>
    <col min="10" max="10" width="7.42578125" hidden="1" customWidth="1"/>
    <col min="11" max="11" width="3.71093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>
      <c r="B1" s="17" t="s">
        <v>389</v>
      </c>
      <c r="C1" s="17" t="s">
        <v>397</v>
      </c>
      <c r="D1" s="17" t="s">
        <v>390</v>
      </c>
      <c r="E1" s="17" t="s">
        <v>72</v>
      </c>
      <c r="F1" s="17" t="s">
        <v>80</v>
      </c>
      <c r="G1" s="17" t="s">
        <v>81</v>
      </c>
      <c r="H1" s="17" t="s">
        <v>82</v>
      </c>
      <c r="L1" s="21" t="s">
        <v>460</v>
      </c>
      <c r="M1" s="21" t="s">
        <v>461</v>
      </c>
      <c r="N1" s="21" t="s">
        <v>396</v>
      </c>
      <c r="O1" s="26" t="s">
        <v>413</v>
      </c>
    </row>
    <row r="2" spans="2:15">
      <c r="B2" s="49" t="s">
        <v>83</v>
      </c>
      <c r="C2" s="49" t="s">
        <v>399</v>
      </c>
      <c r="D2" s="12"/>
      <c r="E2" s="49" t="s">
        <v>83</v>
      </c>
      <c r="F2" s="12">
        <v>4</v>
      </c>
      <c r="G2" s="12" t="str">
        <f>IF(I2=J2,"Pass","Fail")</f>
        <v>Pass</v>
      </c>
      <c r="H2" s="13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>
        <v>5662</v>
      </c>
      <c r="M2" s="20"/>
      <c r="N2" s="23">
        <f>L2-M2</f>
        <v>5662</v>
      </c>
    </row>
    <row r="3" spans="2:15">
      <c r="B3" s="49" t="s">
        <v>84</v>
      </c>
      <c r="C3" s="49" t="s">
        <v>399</v>
      </c>
      <c r="D3" s="12">
        <v>50</v>
      </c>
      <c r="E3" s="49" t="s">
        <v>84</v>
      </c>
      <c r="F3" s="12">
        <v>8</v>
      </c>
      <c r="G3" s="12" t="str">
        <f t="shared" ref="G3:G10" si="0">IF(I3=J3,"Pass","Fail")</f>
        <v>Pass</v>
      </c>
      <c r="H3" s="13" t="str">
        <f t="shared" ref="H3:H10" si="1">IF(AND(ISBLANK(D3),F3&gt;=0),"Pass",IF(F3&lt;=D3,"Pass","Fail"))</f>
        <v>Pass</v>
      </c>
      <c r="I3" s="3" t="str">
        <f t="shared" ref="I3:I10" si="2">SUBSTITUTE(B3,"_","")</f>
        <v>dwaccountid</v>
      </c>
      <c r="J3" s="3" t="str">
        <f t="shared" ref="J3:J10" si="3">SUBSTITUTE(E3,"_","")</f>
        <v>dwaccountid</v>
      </c>
    </row>
    <row r="4" spans="2:15">
      <c r="B4" s="49" t="s">
        <v>85</v>
      </c>
      <c r="C4" s="49" t="s">
        <v>399</v>
      </c>
      <c r="D4" s="12">
        <v>50</v>
      </c>
      <c r="E4" s="49" t="s">
        <v>85</v>
      </c>
      <c r="F4" s="12">
        <v>8</v>
      </c>
      <c r="G4" s="12" t="str">
        <f t="shared" si="0"/>
        <v>Pass</v>
      </c>
      <c r="H4" s="13" t="str">
        <f t="shared" si="1"/>
        <v>Pass</v>
      </c>
      <c r="I4" s="3" t="str">
        <f t="shared" si="2"/>
        <v>dwclientid</v>
      </c>
      <c r="J4" s="3" t="str">
        <f t="shared" si="3"/>
        <v>dwclientid</v>
      </c>
      <c r="L4" s="25" t="s">
        <v>403</v>
      </c>
      <c r="M4" s="51" t="s">
        <v>401</v>
      </c>
    </row>
    <row r="5" spans="2:15">
      <c r="B5" s="49" t="s">
        <v>71</v>
      </c>
      <c r="C5" s="49" t="s">
        <v>399</v>
      </c>
      <c r="D5" s="12">
        <v>50</v>
      </c>
      <c r="E5" s="49" t="s">
        <v>71</v>
      </c>
      <c r="F5" s="12">
        <v>32</v>
      </c>
      <c r="G5" s="12" t="str">
        <f t="shared" si="0"/>
        <v>Pass</v>
      </c>
      <c r="H5" s="13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81</v>
      </c>
      <c r="M5" s="12" t="str">
        <f>IF(ISERROR(VLOOKUP($O$1,$G$2:$G$10,1,)),"Pass","Fail")</f>
        <v>Pass</v>
      </c>
    </row>
    <row r="6" spans="2:15">
      <c r="B6" s="49" t="s">
        <v>0</v>
      </c>
      <c r="C6" s="49" t="s">
        <v>399</v>
      </c>
      <c r="D6" s="12">
        <v>20</v>
      </c>
      <c r="E6" s="49" t="s">
        <v>0</v>
      </c>
      <c r="F6" s="12">
        <v>20</v>
      </c>
      <c r="G6" s="12" t="str">
        <f t="shared" si="0"/>
        <v>Pass</v>
      </c>
      <c r="H6" s="13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4" t="s">
        <v>402</v>
      </c>
      <c r="M6" s="12" t="str">
        <f>IF(ISERROR(VLOOKUP($O$1,$H$2:$H$10,1,)),"Pass","Fail")</f>
        <v>Pass</v>
      </c>
    </row>
    <row r="7" spans="2:15">
      <c r="B7" s="49" t="s">
        <v>480</v>
      </c>
      <c r="C7" s="49" t="s">
        <v>399</v>
      </c>
      <c r="D7" s="12">
        <v>10</v>
      </c>
      <c r="E7" s="49" t="s">
        <v>538</v>
      </c>
      <c r="F7" s="12">
        <v>8</v>
      </c>
      <c r="G7" s="12" t="str">
        <f t="shared" si="0"/>
        <v>Pass</v>
      </c>
      <c r="H7" s="13" t="str">
        <f t="shared" si="1"/>
        <v>Pass</v>
      </c>
      <c r="I7" s="3" t="str">
        <f t="shared" si="2"/>
        <v>Diagnosiscode</v>
      </c>
      <c r="J7" s="3" t="str">
        <f t="shared" si="3"/>
        <v>diagnosiscode</v>
      </c>
      <c r="L7" s="24" t="s">
        <v>467</v>
      </c>
      <c r="M7" s="39">
        <f>IF(M2=0,0%,N2/M2)</f>
        <v>0</v>
      </c>
    </row>
    <row r="8" spans="2:15">
      <c r="B8" s="49" t="s">
        <v>481</v>
      </c>
      <c r="C8" s="49" t="s">
        <v>399</v>
      </c>
      <c r="D8" s="12">
        <v>50</v>
      </c>
      <c r="E8" s="49" t="s">
        <v>539</v>
      </c>
      <c r="F8" s="12">
        <v>19</v>
      </c>
      <c r="G8" s="12" t="str">
        <f t="shared" si="0"/>
        <v>Pass</v>
      </c>
      <c r="H8" s="13" t="str">
        <f t="shared" si="1"/>
        <v>Pass</v>
      </c>
      <c r="I8" s="3" t="str">
        <f t="shared" si="2"/>
        <v>PaidAmount</v>
      </c>
      <c r="J8" s="3" t="str">
        <f t="shared" si="3"/>
        <v>paidamount</v>
      </c>
      <c r="L8" s="24" t="s">
        <v>466</v>
      </c>
      <c r="M8" s="41">
        <f>File_Size_Comparision!F9</f>
        <v>0</v>
      </c>
    </row>
    <row r="9" spans="2:15">
      <c r="B9" s="49" t="s">
        <v>482</v>
      </c>
      <c r="C9" s="49" t="s">
        <v>399</v>
      </c>
      <c r="D9" s="12">
        <v>50</v>
      </c>
      <c r="E9" s="49" t="s">
        <v>540</v>
      </c>
      <c r="F9" s="12">
        <v>29</v>
      </c>
      <c r="G9" s="12" t="str">
        <f t="shared" si="0"/>
        <v>Pass</v>
      </c>
      <c r="H9" s="13" t="str">
        <f t="shared" si="1"/>
        <v>Pass</v>
      </c>
      <c r="I9" s="3" t="str">
        <f t="shared" si="2"/>
        <v>SuperGrouperDescription</v>
      </c>
      <c r="J9" s="3" t="str">
        <f t="shared" si="3"/>
        <v>superGrouperDescription</v>
      </c>
    </row>
    <row r="10" spans="2:15">
      <c r="B10" s="49" t="s">
        <v>483</v>
      </c>
      <c r="C10" s="49" t="s">
        <v>400</v>
      </c>
      <c r="D10" s="12">
        <v>50</v>
      </c>
      <c r="E10" s="49" t="s">
        <v>541</v>
      </c>
      <c r="F10" s="12">
        <v>40</v>
      </c>
      <c r="G10" s="12" t="str">
        <f t="shared" si="0"/>
        <v>Pass</v>
      </c>
      <c r="H10" s="13" t="str">
        <f t="shared" si="1"/>
        <v>Pass</v>
      </c>
      <c r="I10" s="3" t="str">
        <f t="shared" si="2"/>
        <v>GrouperDescription</v>
      </c>
      <c r="J10" s="3" t="str">
        <f t="shared" si="3"/>
        <v>grouperDescription</v>
      </c>
    </row>
  </sheetData>
  <conditionalFormatting sqref="G2:H10">
    <cfRule type="cellIs" dxfId="137" priority="7" operator="equal">
      <formula>"Fail"</formula>
    </cfRule>
    <cfRule type="cellIs" dxfId="136" priority="8" operator="equal">
      <formula>"Pass"</formula>
    </cfRule>
  </conditionalFormatting>
  <conditionalFormatting sqref="M5:M6">
    <cfRule type="cellIs" dxfId="135" priority="1" operator="equal">
      <formula>"Fail"</formula>
    </cfRule>
    <cfRule type="cellIs" dxfId="134" priority="2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1:O26"/>
  <sheetViews>
    <sheetView workbookViewId="0">
      <pane ySplit="1" topLeftCell="A2" activePane="bottomLeft" state="frozen"/>
      <selection pane="bottomLeft" activeCell="F2" sqref="F2:F26"/>
    </sheetView>
  </sheetViews>
  <sheetFormatPr defaultRowHeight="15"/>
  <cols>
    <col min="1" max="1" width="3.28515625" customWidth="1"/>
    <col min="2" max="2" width="32.42578125" bestFit="1" customWidth="1"/>
    <col min="3" max="3" width="9.7109375" hidden="1" customWidth="1"/>
    <col min="4" max="4" width="12.7109375" bestFit="1" customWidth="1"/>
    <col min="5" max="5" width="32.42578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0" hidden="1" customWidth="1"/>
    <col min="12" max="12" width="22.140625" bestFit="1" customWidth="1"/>
    <col min="13" max="13" width="21.140625" bestFit="1" customWidth="1"/>
    <col min="14" max="14" width="10.42578125" bestFit="1" customWidth="1"/>
    <col min="15" max="15" width="9.140625" hidden="1" customWidth="1"/>
  </cols>
  <sheetData>
    <row r="1" spans="2:15">
      <c r="B1" s="17" t="s">
        <v>389</v>
      </c>
      <c r="C1" s="17" t="s">
        <v>397</v>
      </c>
      <c r="D1" s="17" t="s">
        <v>390</v>
      </c>
      <c r="E1" s="17" t="s">
        <v>72</v>
      </c>
      <c r="F1" s="17" t="s">
        <v>80</v>
      </c>
      <c r="G1" s="17" t="s">
        <v>81</v>
      </c>
      <c r="H1" s="17" t="s">
        <v>82</v>
      </c>
      <c r="O1" s="27" t="s">
        <v>413</v>
      </c>
    </row>
    <row r="2" spans="2:15">
      <c r="B2" s="52" t="s">
        <v>83</v>
      </c>
      <c r="C2" s="52" t="s">
        <v>398</v>
      </c>
      <c r="D2" s="12"/>
      <c r="E2" s="52" t="s">
        <v>83</v>
      </c>
      <c r="F2" s="12">
        <v>5</v>
      </c>
      <c r="G2" s="12" t="str">
        <f>IF(I2=J2,"Pass","Fail")</f>
        <v>Pass</v>
      </c>
      <c r="H2" s="13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1" t="s">
        <v>460</v>
      </c>
      <c r="M2" s="21" t="s">
        <v>461</v>
      </c>
      <c r="N2" s="21" t="s">
        <v>396</v>
      </c>
    </row>
    <row r="3" spans="2:15">
      <c r="B3" s="52" t="s">
        <v>84</v>
      </c>
      <c r="C3" s="52" t="s">
        <v>399</v>
      </c>
      <c r="D3" s="12"/>
      <c r="E3" s="52" t="s">
        <v>84</v>
      </c>
      <c r="F3" s="12">
        <v>0</v>
      </c>
      <c r="G3" s="12" t="str">
        <f t="shared" ref="G3:G26" si="0">IF(I3=J3,"Pass","Fail")</f>
        <v>Pass</v>
      </c>
      <c r="H3" s="13" t="str">
        <f t="shared" ref="H3:H26" si="1">IF(AND(ISBLANK(D3),F3&gt;=0),"Pass",IF(F3&lt;=D3,"Pass","Fail"))</f>
        <v>Pass</v>
      </c>
      <c r="I3" s="3" t="str">
        <f t="shared" ref="I3:I26" si="2">SUBSTITUTE(B3,"_","")</f>
        <v>dwaccountid</v>
      </c>
      <c r="J3" s="3" t="str">
        <f t="shared" ref="J3:J26" si="3">SUBSTITUTE(E3,"_","")</f>
        <v>dwaccountid</v>
      </c>
      <c r="L3" s="20">
        <v>44820</v>
      </c>
      <c r="M3" s="20"/>
      <c r="N3" s="23">
        <f>L3-M3</f>
        <v>44820</v>
      </c>
    </row>
    <row r="4" spans="2:15">
      <c r="B4" s="52" t="s">
        <v>85</v>
      </c>
      <c r="C4" s="52" t="s">
        <v>399</v>
      </c>
      <c r="D4" s="12"/>
      <c r="E4" s="52" t="s">
        <v>85</v>
      </c>
      <c r="F4" s="12">
        <v>8</v>
      </c>
      <c r="G4" s="12" t="str">
        <f t="shared" si="0"/>
        <v>Pass</v>
      </c>
      <c r="H4" s="13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>
      <c r="B5" s="52" t="s">
        <v>71</v>
      </c>
      <c r="C5" s="52" t="s">
        <v>399</v>
      </c>
      <c r="D5" s="12"/>
      <c r="E5" s="52" t="s">
        <v>71</v>
      </c>
      <c r="F5" s="12">
        <v>32</v>
      </c>
      <c r="G5" s="12" t="str">
        <f t="shared" si="0"/>
        <v>Pass</v>
      </c>
      <c r="H5" s="13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5" t="s">
        <v>403</v>
      </c>
      <c r="M5" s="53" t="s">
        <v>401</v>
      </c>
    </row>
    <row r="6" spans="2:15">
      <c r="B6" s="52" t="s">
        <v>0</v>
      </c>
      <c r="C6" s="52" t="s">
        <v>399</v>
      </c>
      <c r="D6" s="12"/>
      <c r="E6" s="52" t="s">
        <v>0</v>
      </c>
      <c r="F6" s="12">
        <v>20</v>
      </c>
      <c r="G6" s="12" t="str">
        <f t="shared" si="0"/>
        <v>Pass</v>
      </c>
      <c r="H6" s="13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4" t="s">
        <v>81</v>
      </c>
      <c r="M6" s="12" t="str">
        <f>IF(ISERROR(VLOOKUP($O$1,$G$2:$G$26,1,)),"Pass","Fail")</f>
        <v>Pass</v>
      </c>
    </row>
    <row r="7" spans="2:15">
      <c r="B7" s="52" t="s">
        <v>89</v>
      </c>
      <c r="C7" s="52" t="s">
        <v>399</v>
      </c>
      <c r="D7" s="12"/>
      <c r="E7" s="52" t="s">
        <v>89</v>
      </c>
      <c r="F7" s="12">
        <v>0</v>
      </c>
      <c r="G7" s="12" t="str">
        <f t="shared" si="0"/>
        <v>Pass</v>
      </c>
      <c r="H7" s="13" t="str">
        <f t="shared" si="1"/>
        <v>Pass</v>
      </c>
      <c r="I7" s="3" t="str">
        <f t="shared" si="2"/>
        <v>scoretype</v>
      </c>
      <c r="J7" s="3" t="str">
        <f t="shared" si="3"/>
        <v>scoretype</v>
      </c>
      <c r="L7" s="24" t="s">
        <v>402</v>
      </c>
      <c r="M7" s="12" t="str">
        <f>IF(ISERROR(VLOOKUP($O$1,$H$2:$H$26,1,)),"Pass","Fail")</f>
        <v>Pass</v>
      </c>
    </row>
    <row r="8" spans="2:15">
      <c r="B8" s="52" t="s">
        <v>90</v>
      </c>
      <c r="C8" s="52" t="s">
        <v>400</v>
      </c>
      <c r="D8" s="12"/>
      <c r="E8" s="52" t="s">
        <v>90</v>
      </c>
      <c r="F8" s="12">
        <v>10</v>
      </c>
      <c r="G8" s="12" t="str">
        <f t="shared" si="0"/>
        <v>Pass</v>
      </c>
      <c r="H8" s="13" t="str">
        <f t="shared" si="1"/>
        <v>Pass</v>
      </c>
      <c r="I8" s="3" t="str">
        <f t="shared" si="2"/>
        <v>scorestartdate</v>
      </c>
      <c r="J8" s="3" t="str">
        <f t="shared" si="3"/>
        <v>scorestartdate</v>
      </c>
      <c r="L8" s="24" t="s">
        <v>467</v>
      </c>
      <c r="M8" s="39">
        <f>IF(M3=0,0%,N3/M3)</f>
        <v>0</v>
      </c>
    </row>
    <row r="9" spans="2:15">
      <c r="B9" s="52" t="s">
        <v>91</v>
      </c>
      <c r="C9" s="52" t="s">
        <v>400</v>
      </c>
      <c r="D9" s="12"/>
      <c r="E9" s="52" t="s">
        <v>91</v>
      </c>
      <c r="F9" s="12">
        <v>10</v>
      </c>
      <c r="G9" s="12" t="str">
        <f t="shared" si="0"/>
        <v>Pass</v>
      </c>
      <c r="H9" s="13" t="str">
        <f t="shared" si="1"/>
        <v>Pass</v>
      </c>
      <c r="I9" s="3" t="str">
        <f t="shared" si="2"/>
        <v>scoreenddate</v>
      </c>
      <c r="J9" s="3" t="str">
        <f t="shared" si="3"/>
        <v>scoreenddate</v>
      </c>
      <c r="L9" s="24" t="s">
        <v>466</v>
      </c>
      <c r="M9" s="41">
        <f>File_Size_Comparision!F10</f>
        <v>0</v>
      </c>
    </row>
    <row r="10" spans="2:15">
      <c r="B10" s="52" t="s">
        <v>92</v>
      </c>
      <c r="C10" s="52" t="s">
        <v>399</v>
      </c>
      <c r="D10" s="12"/>
      <c r="E10" s="52" t="s">
        <v>92</v>
      </c>
      <c r="F10" s="12">
        <v>5</v>
      </c>
      <c r="G10" s="12" t="str">
        <f t="shared" si="0"/>
        <v>Pass</v>
      </c>
      <c r="H10" s="13" t="str">
        <f t="shared" si="1"/>
        <v>Pass</v>
      </c>
      <c r="I10" s="3" t="str">
        <f t="shared" si="2"/>
        <v>ipscore</v>
      </c>
      <c r="J10" s="3" t="str">
        <f t="shared" si="3"/>
        <v>ipscore</v>
      </c>
    </row>
    <row r="11" spans="2:15">
      <c r="B11" s="52" t="s">
        <v>93</v>
      </c>
      <c r="C11" s="52" t="s">
        <v>399</v>
      </c>
      <c r="D11" s="12"/>
      <c r="E11" s="52" t="s">
        <v>93</v>
      </c>
      <c r="F11" s="12">
        <v>5</v>
      </c>
      <c r="G11" s="12" t="str">
        <f t="shared" si="0"/>
        <v>Pass</v>
      </c>
      <c r="H11" s="13" t="str">
        <f t="shared" si="1"/>
        <v>Pass</v>
      </c>
      <c r="I11" s="3" t="str">
        <f t="shared" si="2"/>
        <v>opscore</v>
      </c>
      <c r="J11" s="3" t="str">
        <f t="shared" si="3"/>
        <v>opscore</v>
      </c>
    </row>
    <row r="12" spans="2:15">
      <c r="B12" s="52" t="s">
        <v>94</v>
      </c>
      <c r="C12" s="52" t="s">
        <v>399</v>
      </c>
      <c r="D12" s="12"/>
      <c r="E12" s="52" t="s">
        <v>94</v>
      </c>
      <c r="F12" s="12">
        <v>4</v>
      </c>
      <c r="G12" s="12" t="str">
        <f t="shared" si="0"/>
        <v>Pass</v>
      </c>
      <c r="H12" s="13" t="str">
        <f t="shared" si="1"/>
        <v>Pass</v>
      </c>
      <c r="I12" s="3" t="str">
        <f t="shared" si="2"/>
        <v>physcore</v>
      </c>
      <c r="J12" s="3" t="str">
        <f t="shared" si="3"/>
        <v>physcore</v>
      </c>
    </row>
    <row r="13" spans="2:15">
      <c r="B13" s="52" t="s">
        <v>95</v>
      </c>
      <c r="C13" s="52" t="s">
        <v>399</v>
      </c>
      <c r="D13" s="12"/>
      <c r="E13" s="52" t="s">
        <v>95</v>
      </c>
      <c r="F13" s="12">
        <v>4</v>
      </c>
      <c r="G13" s="12" t="str">
        <f t="shared" si="0"/>
        <v>Pass</v>
      </c>
      <c r="H13" s="13" t="str">
        <f t="shared" si="1"/>
        <v>Pass</v>
      </c>
      <c r="I13" s="3" t="str">
        <f t="shared" si="2"/>
        <v>rxscore</v>
      </c>
      <c r="J13" s="3" t="str">
        <f t="shared" si="3"/>
        <v>rxscore</v>
      </c>
    </row>
    <row r="14" spans="2:15">
      <c r="B14" s="52" t="s">
        <v>96</v>
      </c>
      <c r="C14" s="52" t="s">
        <v>399</v>
      </c>
      <c r="D14" s="12"/>
      <c r="E14" s="52" t="s">
        <v>96</v>
      </c>
      <c r="F14" s="12">
        <v>5</v>
      </c>
      <c r="G14" s="12" t="str">
        <f t="shared" si="0"/>
        <v>Pass</v>
      </c>
      <c r="H14" s="13" t="str">
        <f t="shared" si="1"/>
        <v>Pass</v>
      </c>
      <c r="I14" s="3" t="str">
        <f t="shared" si="2"/>
        <v>medscore</v>
      </c>
      <c r="J14" s="3" t="str">
        <f t="shared" si="3"/>
        <v>medscore</v>
      </c>
    </row>
    <row r="15" spans="2:15">
      <c r="B15" s="52" t="s">
        <v>97</v>
      </c>
      <c r="C15" s="52" t="s">
        <v>399</v>
      </c>
      <c r="D15" s="12"/>
      <c r="E15" s="52" t="s">
        <v>97</v>
      </c>
      <c r="F15" s="12">
        <v>5</v>
      </c>
      <c r="G15" s="12" t="str">
        <f t="shared" si="0"/>
        <v>Pass</v>
      </c>
      <c r="H15" s="13" t="str">
        <f t="shared" si="1"/>
        <v>Pass</v>
      </c>
      <c r="I15" s="3" t="str">
        <f t="shared" si="2"/>
        <v>totalscore</v>
      </c>
      <c r="J15" s="3" t="str">
        <f t="shared" si="3"/>
        <v>totalscore</v>
      </c>
    </row>
    <row r="16" spans="2:15">
      <c r="B16" s="52" t="s">
        <v>98</v>
      </c>
      <c r="C16" s="52" t="s">
        <v>399</v>
      </c>
      <c r="D16" s="12"/>
      <c r="E16" s="52" t="s">
        <v>98</v>
      </c>
      <c r="F16" s="12">
        <v>6</v>
      </c>
      <c r="G16" s="12" t="str">
        <f t="shared" si="0"/>
        <v>Pass</v>
      </c>
      <c r="H16" s="13" t="str">
        <f t="shared" si="1"/>
        <v>Pass</v>
      </c>
      <c r="I16" s="3" t="str">
        <f t="shared" si="2"/>
        <v>concurrenttotal</v>
      </c>
      <c r="J16" s="3" t="str">
        <f t="shared" si="3"/>
        <v>concurrenttotal</v>
      </c>
    </row>
    <row r="17" spans="2:10">
      <c r="B17" s="52" t="s">
        <v>99</v>
      </c>
      <c r="C17" s="52" t="s">
        <v>399</v>
      </c>
      <c r="D17" s="12"/>
      <c r="E17" s="52" t="s">
        <v>99</v>
      </c>
      <c r="F17" s="12">
        <v>4</v>
      </c>
      <c r="G17" s="12" t="str">
        <f t="shared" si="0"/>
        <v>Pass</v>
      </c>
      <c r="H17" s="13" t="str">
        <f t="shared" si="1"/>
        <v>Pass</v>
      </c>
      <c r="I17" s="3" t="str">
        <f t="shared" si="2"/>
        <v>erScore</v>
      </c>
      <c r="J17" s="3" t="str">
        <f t="shared" si="3"/>
        <v>erScore</v>
      </c>
    </row>
    <row r="18" spans="2:10">
      <c r="B18" s="52" t="s">
        <v>100</v>
      </c>
      <c r="C18" s="52" t="s">
        <v>399</v>
      </c>
      <c r="D18" s="12"/>
      <c r="E18" s="52" t="s">
        <v>100</v>
      </c>
      <c r="F18" s="12">
        <v>4</v>
      </c>
      <c r="G18" s="12" t="str">
        <f t="shared" si="0"/>
        <v>Pass</v>
      </c>
      <c r="H18" s="13" t="str">
        <f t="shared" si="1"/>
        <v>Pass</v>
      </c>
      <c r="I18" s="3" t="str">
        <f t="shared" si="2"/>
        <v>otherScore</v>
      </c>
      <c r="J18" s="3" t="str">
        <f t="shared" si="3"/>
        <v>otherScore</v>
      </c>
    </row>
    <row r="19" spans="2:10">
      <c r="B19" s="52" t="s">
        <v>101</v>
      </c>
      <c r="C19" s="52" t="s">
        <v>399</v>
      </c>
      <c r="D19" s="12"/>
      <c r="E19" s="52" t="s">
        <v>101</v>
      </c>
      <c r="F19" s="12">
        <v>5</v>
      </c>
      <c r="G19" s="12" t="str">
        <f t="shared" si="0"/>
        <v>Pass</v>
      </c>
      <c r="H19" s="13" t="str">
        <f t="shared" si="1"/>
        <v>Pass</v>
      </c>
      <c r="I19" s="3" t="str">
        <f t="shared" si="2"/>
        <v>concurrentInpatient</v>
      </c>
      <c r="J19" s="3" t="str">
        <f t="shared" si="3"/>
        <v>concurrentInpatient</v>
      </c>
    </row>
    <row r="20" spans="2:10">
      <c r="B20" s="52" t="s">
        <v>102</v>
      </c>
      <c r="C20" s="52" t="s">
        <v>399</v>
      </c>
      <c r="D20" s="12"/>
      <c r="E20" s="52" t="s">
        <v>102</v>
      </c>
      <c r="F20" s="12">
        <v>6</v>
      </c>
      <c r="G20" s="12" t="str">
        <f t="shared" si="0"/>
        <v>Pass</v>
      </c>
      <c r="H20" s="13" t="str">
        <f t="shared" si="1"/>
        <v>Pass</v>
      </c>
      <c r="I20" s="3" t="str">
        <f t="shared" si="2"/>
        <v>concurrentMedical</v>
      </c>
      <c r="J20" s="3" t="str">
        <f t="shared" si="3"/>
        <v>concurrentMedical</v>
      </c>
    </row>
    <row r="21" spans="2:10">
      <c r="B21" s="52" t="s">
        <v>103</v>
      </c>
      <c r="C21" s="52" t="s">
        <v>399</v>
      </c>
      <c r="D21" s="12"/>
      <c r="E21" s="52" t="s">
        <v>103</v>
      </c>
      <c r="F21" s="12">
        <v>5</v>
      </c>
      <c r="G21" s="12" t="str">
        <f t="shared" si="0"/>
        <v>Pass</v>
      </c>
      <c r="H21" s="13" t="str">
        <f t="shared" si="1"/>
        <v>Pass</v>
      </c>
      <c r="I21" s="3" t="str">
        <f t="shared" si="2"/>
        <v>concurrentOutpatient</v>
      </c>
      <c r="J21" s="3" t="str">
        <f t="shared" si="3"/>
        <v>concurrentOutpatient</v>
      </c>
    </row>
    <row r="22" spans="2:10">
      <c r="B22" s="52" t="s">
        <v>104</v>
      </c>
      <c r="C22" s="52" t="s">
        <v>399</v>
      </c>
      <c r="D22" s="12"/>
      <c r="E22" s="52" t="s">
        <v>104</v>
      </c>
      <c r="F22" s="12">
        <v>3</v>
      </c>
      <c r="G22" s="12" t="str">
        <f t="shared" si="0"/>
        <v>Pass</v>
      </c>
      <c r="H22" s="13" t="str">
        <f t="shared" si="1"/>
        <v>Pass</v>
      </c>
      <c r="I22" s="3" t="str">
        <f t="shared" si="2"/>
        <v>concurrentPharmacy</v>
      </c>
      <c r="J22" s="3" t="str">
        <f t="shared" si="3"/>
        <v>concurrentPharmacy</v>
      </c>
    </row>
    <row r="23" spans="2:10">
      <c r="B23" s="52" t="s">
        <v>105</v>
      </c>
      <c r="C23" s="52" t="s">
        <v>399</v>
      </c>
      <c r="D23" s="12"/>
      <c r="E23" s="52" t="s">
        <v>105</v>
      </c>
      <c r="F23" s="12">
        <v>5</v>
      </c>
      <c r="G23" s="12" t="str">
        <f t="shared" si="0"/>
        <v>Pass</v>
      </c>
      <c r="H23" s="13" t="str">
        <f t="shared" si="1"/>
        <v>Pass</v>
      </c>
      <c r="I23" s="3" t="str">
        <f t="shared" si="2"/>
        <v>concurrentPhysician</v>
      </c>
      <c r="J23" s="3" t="str">
        <f t="shared" si="3"/>
        <v>concurrentPhysician</v>
      </c>
    </row>
    <row r="24" spans="2:10">
      <c r="B24" s="52" t="s">
        <v>106</v>
      </c>
      <c r="C24" s="52" t="s">
        <v>399</v>
      </c>
      <c r="D24" s="12"/>
      <c r="E24" s="52" t="s">
        <v>106</v>
      </c>
      <c r="F24" s="12">
        <v>5</v>
      </c>
      <c r="G24" s="12" t="str">
        <f t="shared" si="0"/>
        <v>Pass</v>
      </c>
      <c r="H24" s="13" t="str">
        <f t="shared" si="1"/>
        <v>Pass</v>
      </c>
      <c r="I24" s="3" t="str">
        <f t="shared" si="2"/>
        <v>concurrentIpNormalizedToGroup</v>
      </c>
      <c r="J24" s="3" t="str">
        <f t="shared" si="3"/>
        <v>concurrentIpNormalizedToGroup</v>
      </c>
    </row>
    <row r="25" spans="2:10">
      <c r="B25" s="52" t="s">
        <v>107</v>
      </c>
      <c r="C25" s="52" t="s">
        <v>399</v>
      </c>
      <c r="D25" s="12"/>
      <c r="E25" s="52" t="s">
        <v>107</v>
      </c>
      <c r="F25" s="12">
        <v>5</v>
      </c>
      <c r="G25" s="12" t="str">
        <f t="shared" si="0"/>
        <v>Pass</v>
      </c>
      <c r="H25" s="13" t="str">
        <f t="shared" si="1"/>
        <v>Pass</v>
      </c>
      <c r="I25" s="3" t="str">
        <f t="shared" si="2"/>
        <v>concurrentOpNormalizedToGroup</v>
      </c>
      <c r="J25" s="3" t="str">
        <f t="shared" si="3"/>
        <v>concurrentOpNormalizedToGroup</v>
      </c>
    </row>
    <row r="26" spans="2:10">
      <c r="B26" s="52" t="s">
        <v>108</v>
      </c>
      <c r="C26" s="52" t="s">
        <v>399</v>
      </c>
      <c r="D26" s="12"/>
      <c r="E26" s="52" t="s">
        <v>108</v>
      </c>
      <c r="F26" s="12">
        <v>5</v>
      </c>
      <c r="G26" s="12" t="str">
        <f t="shared" si="0"/>
        <v>Pass</v>
      </c>
      <c r="H26" s="13" t="str">
        <f t="shared" si="1"/>
        <v>Pass</v>
      </c>
      <c r="I26" s="3" t="str">
        <f t="shared" si="2"/>
        <v>concurrentPhyNormalizedToGroup</v>
      </c>
      <c r="J26" s="3" t="str">
        <f t="shared" si="3"/>
        <v>concurrentPhyNormalizedToGroup</v>
      </c>
    </row>
  </sheetData>
  <conditionalFormatting sqref="G2:H26">
    <cfRule type="cellIs" dxfId="133" priority="21" operator="equal">
      <formula>"Fail"</formula>
    </cfRule>
    <cfRule type="cellIs" dxfId="132" priority="22" operator="equal">
      <formula>"Pass"</formula>
    </cfRule>
  </conditionalFormatting>
  <conditionalFormatting sqref="H2:H26">
    <cfRule type="cellIs" dxfId="131" priority="19" operator="equal">
      <formula>"Fail"</formula>
    </cfRule>
    <cfRule type="cellIs" dxfId="130" priority="20" operator="equal">
      <formula>"Pass"</formula>
    </cfRule>
  </conditionalFormatting>
  <conditionalFormatting sqref="H2:H26">
    <cfRule type="cellIs" dxfId="129" priority="17" operator="equal">
      <formula>"Fail"</formula>
    </cfRule>
    <cfRule type="cellIs" dxfId="128" priority="18" operator="equal">
      <formula>"Pass"</formula>
    </cfRule>
  </conditionalFormatting>
  <conditionalFormatting sqref="H2:H26">
    <cfRule type="cellIs" dxfId="127" priority="15" operator="equal">
      <formula>"Fail"</formula>
    </cfRule>
    <cfRule type="cellIs" dxfId="126" priority="16" operator="equal">
      <formula>"Pass"</formula>
    </cfRule>
  </conditionalFormatting>
  <conditionalFormatting sqref="H2:H26">
    <cfRule type="cellIs" dxfId="125" priority="13" operator="equal">
      <formula>"Fail"</formula>
    </cfRule>
    <cfRule type="cellIs" dxfId="124" priority="14" operator="equal">
      <formula>"Pass"</formula>
    </cfRule>
  </conditionalFormatting>
  <conditionalFormatting sqref="H2:H26">
    <cfRule type="cellIs" dxfId="123" priority="11" operator="equal">
      <formula>"Fail"</formula>
    </cfRule>
    <cfRule type="cellIs" dxfId="122" priority="12" operator="equal">
      <formula>"Pass"</formula>
    </cfRule>
  </conditionalFormatting>
  <conditionalFormatting sqref="H2:H26">
    <cfRule type="cellIs" dxfId="121" priority="9" operator="equal">
      <formula>"Fail"</formula>
    </cfRule>
    <cfRule type="cellIs" dxfId="120" priority="10" operator="equal">
      <formula>"Pass"</formula>
    </cfRule>
  </conditionalFormatting>
  <conditionalFormatting sqref="H2:H26">
    <cfRule type="cellIs" dxfId="119" priority="7" operator="equal">
      <formula>"Fail"</formula>
    </cfRule>
    <cfRule type="cellIs" dxfId="118" priority="8" operator="equal">
      <formula>"Pass"</formula>
    </cfRule>
  </conditionalFormatting>
  <conditionalFormatting sqref="H2:H26">
    <cfRule type="cellIs" dxfId="117" priority="5" operator="equal">
      <formula>"Fail"</formula>
    </cfRule>
    <cfRule type="cellIs" dxfId="116" priority="6" operator="equal">
      <formula>"Pass"</formula>
    </cfRule>
  </conditionalFormatting>
  <conditionalFormatting sqref="H2:H26">
    <cfRule type="cellIs" dxfId="115" priority="3" operator="equal">
      <formula>"Fail"</formula>
    </cfRule>
    <cfRule type="cellIs" dxfId="114" priority="4" operator="equal">
      <formula>"Pass"</formula>
    </cfRule>
  </conditionalFormatting>
  <conditionalFormatting sqref="M6:M7">
    <cfRule type="cellIs" dxfId="113" priority="1" operator="equal">
      <formula>"Fail"</formula>
    </cfRule>
    <cfRule type="cellIs" dxfId="112" priority="2" operator="equal">
      <formula>"Pass"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1:O276"/>
  <sheetViews>
    <sheetView showGridLines="0" workbookViewId="0">
      <pane ySplit="1" topLeftCell="A2" activePane="bottomLeft" state="frozen"/>
      <selection pane="bottomLeft" activeCell="B1" sqref="B1"/>
    </sheetView>
  </sheetViews>
  <sheetFormatPr defaultRowHeight="15"/>
  <cols>
    <col min="1" max="1" width="3.7109375" customWidth="1"/>
    <col min="2" max="2" width="24.5703125" bestFit="1" customWidth="1"/>
    <col min="3" max="3" width="24.5703125" hidden="1" customWidth="1"/>
    <col min="4" max="4" width="12.7109375" bestFit="1" customWidth="1"/>
    <col min="5" max="5" width="24.5703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1" max="11" width="10.140625" customWidth="1"/>
    <col min="12" max="12" width="18.140625" bestFit="1" customWidth="1"/>
    <col min="13" max="13" width="22.140625" bestFit="1" customWidth="1"/>
    <col min="14" max="14" width="11.5703125" bestFit="1" customWidth="1"/>
    <col min="15" max="15" width="9.140625" hidden="1" customWidth="1"/>
  </cols>
  <sheetData>
    <row r="1" spans="2:15">
      <c r="B1" s="17" t="s">
        <v>389</v>
      </c>
      <c r="C1" s="17" t="s">
        <v>397</v>
      </c>
      <c r="D1" s="17" t="s">
        <v>390</v>
      </c>
      <c r="E1" s="17" t="s">
        <v>72</v>
      </c>
      <c r="F1" s="17" t="s">
        <v>80</v>
      </c>
      <c r="G1" s="17" t="s">
        <v>81</v>
      </c>
      <c r="H1" s="17" t="s">
        <v>82</v>
      </c>
      <c r="L1" s="21" t="s">
        <v>394</v>
      </c>
      <c r="M1" s="21" t="s">
        <v>395</v>
      </c>
      <c r="N1" s="21" t="s">
        <v>396</v>
      </c>
      <c r="O1" s="26" t="s">
        <v>413</v>
      </c>
    </row>
    <row r="2" spans="2:15">
      <c r="B2" s="1" t="s">
        <v>109</v>
      </c>
      <c r="C2" s="18" t="s">
        <v>399</v>
      </c>
      <c r="D2" s="12">
        <v>37</v>
      </c>
      <c r="E2" s="1" t="s">
        <v>109</v>
      </c>
      <c r="F2" s="12">
        <v>37</v>
      </c>
      <c r="G2" s="12" t="str">
        <f>IF(I2=J2,"Pass","Fail")</f>
        <v>Pass</v>
      </c>
      <c r="H2" s="13" t="str">
        <f>IF(AND(ISBLANK(D2),F2&gt;=0),"Pass",IF(F2&lt;=D2,"Pass","Fail"))</f>
        <v>Pass</v>
      </c>
      <c r="I2" s="3" t="str">
        <f>SUBSTITUTE(B2,"_","")</f>
        <v>revclaimid</v>
      </c>
      <c r="J2" s="3" t="str">
        <f>SUBSTITUTE(E2,"_","")</f>
        <v>revclaimid</v>
      </c>
      <c r="K2" t="s">
        <v>542</v>
      </c>
      <c r="L2" s="22">
        <v>275996</v>
      </c>
      <c r="M2" s="20">
        <v>275996</v>
      </c>
      <c r="N2" s="23">
        <f>L2-M2</f>
        <v>0</v>
      </c>
    </row>
    <row r="3" spans="2:15">
      <c r="B3" s="1" t="s">
        <v>110</v>
      </c>
      <c r="C3" s="18" t="s">
        <v>399</v>
      </c>
      <c r="D3" s="12">
        <v>25</v>
      </c>
      <c r="E3" s="1" t="s">
        <v>110</v>
      </c>
      <c r="F3" s="12">
        <v>6</v>
      </c>
      <c r="G3" s="12" t="str">
        <f t="shared" ref="G3:G66" si="0">IF(I3=J3,"Pass","Fail")</f>
        <v>Pass</v>
      </c>
      <c r="H3" s="13" t="str">
        <f t="shared" ref="H3:H66" si="1">IF(AND(ISBLANK(D3),F3&gt;=0),"Pass",IF(F3&lt;=D3,"Pass","Fail"))</f>
        <v>Pass</v>
      </c>
      <c r="I3" s="3" t="str">
        <f t="shared" ref="I3:I66" si="2">SUBSTITUTE(B3,"_","")</f>
        <v>revclaimlineid</v>
      </c>
      <c r="J3" s="3" t="str">
        <f t="shared" ref="J3:J66" si="3">SUBSTITUTE(E3,"_","")</f>
        <v>revclaimlineid</v>
      </c>
      <c r="L3" s="21" t="s">
        <v>468</v>
      </c>
      <c r="M3" s="20"/>
      <c r="N3" s="23">
        <f>L2-M3</f>
        <v>275996</v>
      </c>
    </row>
    <row r="4" spans="2:15">
      <c r="B4" s="1" t="s">
        <v>111</v>
      </c>
      <c r="C4" s="18" t="s">
        <v>399</v>
      </c>
      <c r="D4" s="12">
        <v>15</v>
      </c>
      <c r="E4" s="1" t="s">
        <v>111</v>
      </c>
      <c r="F4" s="12">
        <v>4</v>
      </c>
      <c r="G4" s="12" t="str">
        <f t="shared" si="0"/>
        <v>Pass</v>
      </c>
      <c r="H4" s="13" t="str">
        <f t="shared" si="1"/>
        <v>Pass</v>
      </c>
      <c r="I4" s="3" t="str">
        <f t="shared" si="2"/>
        <v>revclaimtype</v>
      </c>
      <c r="J4" s="3" t="str">
        <f t="shared" si="3"/>
        <v>revclaimtype</v>
      </c>
    </row>
    <row r="5" spans="2:15">
      <c r="B5" s="1" t="s">
        <v>112</v>
      </c>
      <c r="C5" s="18" t="s">
        <v>404</v>
      </c>
      <c r="D5" s="12">
        <v>1</v>
      </c>
      <c r="E5" s="1" t="s">
        <v>112</v>
      </c>
      <c r="F5" s="12">
        <v>0</v>
      </c>
      <c r="G5" s="12" t="str">
        <f t="shared" si="0"/>
        <v>Pass</v>
      </c>
      <c r="H5" s="13" t="str">
        <f t="shared" si="1"/>
        <v>Pass</v>
      </c>
      <c r="I5" s="3" t="str">
        <f t="shared" si="2"/>
        <v>revclaimtypeflag</v>
      </c>
      <c r="J5" s="3" t="str">
        <f t="shared" si="3"/>
        <v>revclaimtypeflag</v>
      </c>
      <c r="L5" s="25" t="s">
        <v>403</v>
      </c>
      <c r="M5" s="36" t="s">
        <v>401</v>
      </c>
      <c r="N5" s="42"/>
    </row>
    <row r="6" spans="2:15">
      <c r="B6" s="1" t="s">
        <v>20</v>
      </c>
      <c r="C6" s="18" t="s">
        <v>399</v>
      </c>
      <c r="D6" s="12">
        <v>20</v>
      </c>
      <c r="E6" s="1" t="s">
        <v>20</v>
      </c>
      <c r="F6" s="12">
        <v>2</v>
      </c>
      <c r="G6" s="12" t="str">
        <f t="shared" si="0"/>
        <v>Pass</v>
      </c>
      <c r="H6" s="13" t="str">
        <f t="shared" si="1"/>
        <v>Pass</v>
      </c>
      <c r="I6" s="3" t="str">
        <f t="shared" si="2"/>
        <v>insplantypecode</v>
      </c>
      <c r="J6" s="3" t="str">
        <f t="shared" si="3"/>
        <v>insplantypecode</v>
      </c>
      <c r="L6" s="24" t="s">
        <v>81</v>
      </c>
      <c r="M6" s="12" t="str">
        <f>IF(ISERROR(VLOOKUP($O$1,$G$2:$G$276,1,)),"Pass","Fail")</f>
        <v>Pass</v>
      </c>
      <c r="N6" s="38"/>
    </row>
    <row r="7" spans="2:15">
      <c r="B7" s="1" t="s">
        <v>21</v>
      </c>
      <c r="C7" s="18" t="s">
        <v>399</v>
      </c>
      <c r="D7" s="12">
        <v>255</v>
      </c>
      <c r="E7" s="1" t="s">
        <v>21</v>
      </c>
      <c r="F7" s="12">
        <v>5</v>
      </c>
      <c r="G7" s="12" t="str">
        <f t="shared" si="0"/>
        <v>Pass</v>
      </c>
      <c r="H7" s="13" t="str">
        <f t="shared" si="1"/>
        <v>Pass</v>
      </c>
      <c r="I7" s="3" t="str">
        <f t="shared" si="2"/>
        <v>insplantypedesc</v>
      </c>
      <c r="J7" s="3" t="str">
        <f t="shared" si="3"/>
        <v>insplantypedesc</v>
      </c>
      <c r="L7" s="24" t="s">
        <v>402</v>
      </c>
      <c r="M7" s="12" t="str">
        <f>IF(ISERROR(VLOOKUP($O$1,$H$2:$H$276,1,)),"Pass","Fail")</f>
        <v>Pass</v>
      </c>
      <c r="N7" s="38"/>
    </row>
    <row r="8" spans="2:15">
      <c r="B8" s="1" t="s">
        <v>22</v>
      </c>
      <c r="C8" s="18" t="s">
        <v>399</v>
      </c>
      <c r="D8" s="12">
        <v>20</v>
      </c>
      <c r="E8" s="1" t="s">
        <v>22</v>
      </c>
      <c r="F8" s="12">
        <v>5</v>
      </c>
      <c r="G8" s="12" t="str">
        <f t="shared" si="0"/>
        <v>Pass</v>
      </c>
      <c r="H8" s="13" t="str">
        <f t="shared" si="1"/>
        <v>Pass</v>
      </c>
      <c r="I8" s="3" t="str">
        <f t="shared" si="2"/>
        <v>inscarrierid</v>
      </c>
      <c r="J8" s="3" t="str">
        <f t="shared" si="3"/>
        <v>inscarrierid</v>
      </c>
      <c r="L8" s="24" t="s">
        <v>465</v>
      </c>
      <c r="M8" s="40" t="str">
        <f>IF(N2=0,"Pass","Fail")</f>
        <v>Pass</v>
      </c>
    </row>
    <row r="9" spans="2:15">
      <c r="B9" s="1" t="s">
        <v>23</v>
      </c>
      <c r="C9" s="18" t="s">
        <v>399</v>
      </c>
      <c r="D9" s="12">
        <v>50</v>
      </c>
      <c r="E9" s="1" t="s">
        <v>23</v>
      </c>
      <c r="F9" s="12">
        <v>7</v>
      </c>
      <c r="G9" s="12" t="str">
        <f t="shared" si="0"/>
        <v>Pass</v>
      </c>
      <c r="H9" s="13" t="str">
        <f t="shared" si="1"/>
        <v>Pass</v>
      </c>
      <c r="I9" s="3" t="str">
        <f t="shared" si="2"/>
        <v>inscarriername</v>
      </c>
      <c r="J9" s="3" t="str">
        <f t="shared" si="3"/>
        <v>inscarriername</v>
      </c>
      <c r="L9" s="24" t="s">
        <v>467</v>
      </c>
      <c r="M9" s="41">
        <f>IF(M3=0,0%,N3/M3)</f>
        <v>0</v>
      </c>
    </row>
    <row r="10" spans="2:15">
      <c r="B10" s="1" t="s">
        <v>24</v>
      </c>
      <c r="C10" s="18" t="s">
        <v>399</v>
      </c>
      <c r="D10" s="12">
        <v>10</v>
      </c>
      <c r="E10" s="1" t="s">
        <v>24</v>
      </c>
      <c r="F10" s="12">
        <v>2</v>
      </c>
      <c r="G10" s="12" t="str">
        <f t="shared" si="0"/>
        <v>Pass</v>
      </c>
      <c r="H10" s="13" t="str">
        <f t="shared" si="1"/>
        <v>Pass</v>
      </c>
      <c r="I10" s="3" t="str">
        <f t="shared" si="2"/>
        <v>inscoveragetypecode</v>
      </c>
      <c r="J10" s="3" t="str">
        <f t="shared" si="3"/>
        <v>inscoveragetypecode</v>
      </c>
      <c r="L10" s="24" t="s">
        <v>466</v>
      </c>
      <c r="M10" s="41">
        <f>File_Size_Comparision!F8</f>
        <v>0</v>
      </c>
    </row>
    <row r="11" spans="2:15">
      <c r="B11" s="1" t="s">
        <v>25</v>
      </c>
      <c r="C11" s="18" t="s">
        <v>399</v>
      </c>
      <c r="D11" s="12">
        <v>50</v>
      </c>
      <c r="E11" s="1" t="s">
        <v>25</v>
      </c>
      <c r="F11" s="12">
        <v>5</v>
      </c>
      <c r="G11" s="12" t="str">
        <f t="shared" si="0"/>
        <v>Pass</v>
      </c>
      <c r="H11" s="13" t="str">
        <f t="shared" si="1"/>
        <v>Pass</v>
      </c>
      <c r="I11" s="3" t="str">
        <f t="shared" si="2"/>
        <v>inscoveragetypedesc</v>
      </c>
      <c r="J11" s="3" t="str">
        <f t="shared" si="3"/>
        <v>inscoveragetypedesc</v>
      </c>
    </row>
    <row r="12" spans="2:15">
      <c r="B12" s="1" t="s">
        <v>26</v>
      </c>
      <c r="C12" s="18" t="s">
        <v>399</v>
      </c>
      <c r="D12" s="12">
        <v>56</v>
      </c>
      <c r="E12" s="1" t="s">
        <v>26</v>
      </c>
      <c r="F12" s="12">
        <v>56</v>
      </c>
      <c r="G12" s="12" t="str">
        <f t="shared" si="0"/>
        <v>Pass</v>
      </c>
      <c r="H12" s="13" t="str">
        <f t="shared" si="1"/>
        <v>Pass</v>
      </c>
      <c r="I12" s="3" t="str">
        <f t="shared" si="2"/>
        <v>insplanid</v>
      </c>
      <c r="J12" s="3" t="str">
        <f t="shared" si="3"/>
        <v>insplanid</v>
      </c>
      <c r="K12" t="s">
        <v>536</v>
      </c>
    </row>
    <row r="13" spans="2:15">
      <c r="B13" s="1" t="s">
        <v>28</v>
      </c>
      <c r="C13" s="18" t="s">
        <v>399</v>
      </c>
      <c r="D13" s="12">
        <v>20</v>
      </c>
      <c r="E13" s="1" t="s">
        <v>28</v>
      </c>
      <c r="F13" s="12">
        <v>8</v>
      </c>
      <c r="G13" s="12" t="str">
        <f t="shared" si="0"/>
        <v>Pass</v>
      </c>
      <c r="H13" s="13" t="str">
        <f t="shared" si="1"/>
        <v>Pass</v>
      </c>
      <c r="I13" s="3" t="str">
        <f t="shared" si="2"/>
        <v>insempgroupid</v>
      </c>
      <c r="J13" s="3" t="str">
        <f t="shared" si="3"/>
        <v>insempgroupid</v>
      </c>
    </row>
    <row r="14" spans="2:15">
      <c r="B14" s="1" t="s">
        <v>29</v>
      </c>
      <c r="C14" s="18" t="s">
        <v>399</v>
      </c>
      <c r="D14" s="12">
        <v>50</v>
      </c>
      <c r="E14" s="1" t="s">
        <v>29</v>
      </c>
      <c r="F14" s="12">
        <v>7</v>
      </c>
      <c r="G14" s="12" t="str">
        <f t="shared" si="0"/>
        <v>Pass</v>
      </c>
      <c r="H14" s="13" t="str">
        <f t="shared" si="1"/>
        <v>Pass</v>
      </c>
      <c r="I14" s="3" t="str">
        <f t="shared" si="2"/>
        <v>insempgroupname</v>
      </c>
      <c r="J14" s="3" t="str">
        <f t="shared" si="3"/>
        <v>insempgroupname</v>
      </c>
    </row>
    <row r="15" spans="2:15">
      <c r="B15" s="1" t="s">
        <v>30</v>
      </c>
      <c r="C15" s="18" t="s">
        <v>399</v>
      </c>
      <c r="D15" s="12">
        <v>53</v>
      </c>
      <c r="E15" s="1" t="s">
        <v>30</v>
      </c>
      <c r="F15" s="12">
        <v>53</v>
      </c>
      <c r="G15" s="12" t="str">
        <f t="shared" si="0"/>
        <v>Pass</v>
      </c>
      <c r="H15" s="13" t="str">
        <f t="shared" si="1"/>
        <v>Pass</v>
      </c>
      <c r="I15" s="3" t="str">
        <f t="shared" si="2"/>
        <v>insdivisionid</v>
      </c>
      <c r="J15" s="3" t="str">
        <f t="shared" si="3"/>
        <v>insdivisionid</v>
      </c>
      <c r="K15" t="s">
        <v>537</v>
      </c>
    </row>
    <row r="16" spans="2:15">
      <c r="B16" s="1" t="s">
        <v>31</v>
      </c>
      <c r="C16" s="18" t="s">
        <v>399</v>
      </c>
      <c r="D16" s="12">
        <v>100</v>
      </c>
      <c r="E16" s="1" t="s">
        <v>31</v>
      </c>
      <c r="F16" s="12">
        <v>68</v>
      </c>
      <c r="G16" s="12" t="str">
        <f t="shared" si="0"/>
        <v>Pass</v>
      </c>
      <c r="H16" s="13" t="str">
        <f t="shared" si="1"/>
        <v>Pass</v>
      </c>
      <c r="I16" s="3" t="str">
        <f t="shared" si="2"/>
        <v>insdivisionname</v>
      </c>
      <c r="J16" s="3" t="str">
        <f t="shared" si="3"/>
        <v>insdivisionname</v>
      </c>
    </row>
    <row r="17" spans="2:11">
      <c r="B17" s="1" t="s">
        <v>32</v>
      </c>
      <c r="C17" s="18" t="s">
        <v>399</v>
      </c>
      <c r="D17" s="12">
        <v>2</v>
      </c>
      <c r="E17" s="1" t="s">
        <v>32</v>
      </c>
      <c r="F17" s="12">
        <v>0</v>
      </c>
      <c r="G17" s="12" t="str">
        <f t="shared" si="0"/>
        <v>Pass</v>
      </c>
      <c r="H17" s="13" t="str">
        <f t="shared" si="1"/>
        <v>Pass</v>
      </c>
      <c r="I17" s="3" t="str">
        <f t="shared" si="2"/>
        <v>inscobracode</v>
      </c>
      <c r="J17" s="3" t="str">
        <f t="shared" si="3"/>
        <v>inscobracode</v>
      </c>
    </row>
    <row r="18" spans="2:11">
      <c r="B18" s="1" t="s">
        <v>33</v>
      </c>
      <c r="C18" s="18" t="s">
        <v>399</v>
      </c>
      <c r="D18" s="12">
        <v>30</v>
      </c>
      <c r="E18" s="1" t="s">
        <v>33</v>
      </c>
      <c r="F18" s="12">
        <v>0</v>
      </c>
      <c r="G18" s="12" t="str">
        <f t="shared" si="0"/>
        <v>Pass</v>
      </c>
      <c r="H18" s="13" t="str">
        <f t="shared" si="1"/>
        <v>Pass</v>
      </c>
      <c r="I18" s="3" t="str">
        <f t="shared" si="2"/>
        <v>inscobradesc</v>
      </c>
      <c r="J18" s="3" t="str">
        <f t="shared" si="3"/>
        <v>inscobradesc</v>
      </c>
    </row>
    <row r="19" spans="2:11">
      <c r="B19" s="1" t="s">
        <v>0</v>
      </c>
      <c r="C19" s="18" t="s">
        <v>399</v>
      </c>
      <c r="D19" s="12">
        <v>22</v>
      </c>
      <c r="E19" s="1" t="s">
        <v>0</v>
      </c>
      <c r="F19" s="12">
        <v>20</v>
      </c>
      <c r="G19" s="12" t="str">
        <f t="shared" si="0"/>
        <v>Pass</v>
      </c>
      <c r="H19" s="13" t="str">
        <f t="shared" si="1"/>
        <v>Pass</v>
      </c>
      <c r="I19" s="3" t="str">
        <f t="shared" si="2"/>
        <v>mbrid</v>
      </c>
      <c r="J19" s="3" t="str">
        <f t="shared" si="3"/>
        <v>mbrid</v>
      </c>
    </row>
    <row r="20" spans="2:11">
      <c r="B20" s="1" t="s">
        <v>2</v>
      </c>
      <c r="C20" s="18" t="s">
        <v>399</v>
      </c>
      <c r="D20" s="12">
        <v>22</v>
      </c>
      <c r="E20" s="1" t="s">
        <v>2</v>
      </c>
      <c r="F20" s="12">
        <v>22</v>
      </c>
      <c r="G20" s="12" t="str">
        <f t="shared" si="0"/>
        <v>Pass</v>
      </c>
      <c r="H20" s="13" t="str">
        <f t="shared" si="1"/>
        <v>Pass</v>
      </c>
      <c r="I20" s="3" t="str">
        <f t="shared" si="2"/>
        <v>mbrssn</v>
      </c>
      <c r="J20" s="3" t="str">
        <f t="shared" si="3"/>
        <v>mbrssn</v>
      </c>
      <c r="K20" t="s">
        <v>535</v>
      </c>
    </row>
    <row r="21" spans="2:11">
      <c r="B21" s="1" t="s">
        <v>3</v>
      </c>
      <c r="C21" s="18" t="s">
        <v>399</v>
      </c>
      <c r="D21" s="12">
        <v>30</v>
      </c>
      <c r="E21" s="1" t="s">
        <v>3</v>
      </c>
      <c r="F21" s="12">
        <v>13</v>
      </c>
      <c r="G21" s="12" t="str">
        <f t="shared" si="0"/>
        <v>Pass</v>
      </c>
      <c r="H21" s="13" t="str">
        <f t="shared" si="1"/>
        <v>Pass</v>
      </c>
      <c r="I21" s="3" t="str">
        <f t="shared" si="2"/>
        <v>mbrfirstname</v>
      </c>
      <c r="J21" s="3" t="str">
        <f t="shared" si="3"/>
        <v>mbrfirstname</v>
      </c>
    </row>
    <row r="22" spans="2:11">
      <c r="B22" s="1" t="s">
        <v>4</v>
      </c>
      <c r="C22" s="18" t="s">
        <v>399</v>
      </c>
      <c r="D22" s="12">
        <v>30</v>
      </c>
      <c r="E22" s="1" t="s">
        <v>4</v>
      </c>
      <c r="F22" s="12">
        <v>0</v>
      </c>
      <c r="G22" s="12" t="str">
        <f t="shared" si="0"/>
        <v>Pass</v>
      </c>
      <c r="H22" s="13" t="str">
        <f t="shared" si="1"/>
        <v>Pass</v>
      </c>
      <c r="I22" s="3" t="str">
        <f t="shared" si="2"/>
        <v>mbrmiddlename</v>
      </c>
      <c r="J22" s="3" t="str">
        <f t="shared" si="3"/>
        <v>mbrmiddlename</v>
      </c>
    </row>
    <row r="23" spans="2:11">
      <c r="B23" s="1" t="s">
        <v>5</v>
      </c>
      <c r="C23" s="18" t="s">
        <v>399</v>
      </c>
      <c r="D23" s="12">
        <v>30</v>
      </c>
      <c r="E23" s="1" t="s">
        <v>5</v>
      </c>
      <c r="F23" s="12">
        <v>16</v>
      </c>
      <c r="G23" s="12" t="str">
        <f t="shared" si="0"/>
        <v>Pass</v>
      </c>
      <c r="H23" s="13" t="str">
        <f t="shared" si="1"/>
        <v>Pass</v>
      </c>
      <c r="I23" s="3" t="str">
        <f t="shared" si="2"/>
        <v>mbrlastname</v>
      </c>
      <c r="J23" s="3" t="str">
        <f t="shared" si="3"/>
        <v>mbrlastname</v>
      </c>
    </row>
    <row r="24" spans="2:11">
      <c r="B24" s="1" t="s">
        <v>7</v>
      </c>
      <c r="C24" s="18" t="s">
        <v>399</v>
      </c>
      <c r="D24" s="12">
        <v>2</v>
      </c>
      <c r="E24" s="1" t="s">
        <v>7</v>
      </c>
      <c r="F24" s="12">
        <v>1</v>
      </c>
      <c r="G24" s="12" t="str">
        <f t="shared" si="0"/>
        <v>Pass</v>
      </c>
      <c r="H24" s="13" t="str">
        <f t="shared" si="1"/>
        <v>Pass</v>
      </c>
      <c r="I24" s="3" t="str">
        <f t="shared" si="2"/>
        <v>mbrgender</v>
      </c>
      <c r="J24" s="3" t="str">
        <f t="shared" si="3"/>
        <v>mbrgender</v>
      </c>
    </row>
    <row r="25" spans="2:11">
      <c r="B25" s="1" t="s">
        <v>8</v>
      </c>
      <c r="C25" s="18" t="s">
        <v>400</v>
      </c>
      <c r="D25" s="12"/>
      <c r="E25" s="1" t="s">
        <v>8</v>
      </c>
      <c r="F25" s="12">
        <v>10</v>
      </c>
      <c r="G25" s="12" t="str">
        <f t="shared" si="0"/>
        <v>Pass</v>
      </c>
      <c r="H25" s="13" t="str">
        <f t="shared" si="1"/>
        <v>Pass</v>
      </c>
      <c r="I25" s="3" t="str">
        <f t="shared" si="2"/>
        <v>mbrdob</v>
      </c>
      <c r="J25" s="3" t="str">
        <f t="shared" si="3"/>
        <v>mbrdob</v>
      </c>
    </row>
    <row r="26" spans="2:11">
      <c r="B26" s="1" t="s">
        <v>9</v>
      </c>
      <c r="C26" s="18" t="s">
        <v>399</v>
      </c>
      <c r="D26" s="12">
        <v>50</v>
      </c>
      <c r="E26" s="1" t="s">
        <v>9</v>
      </c>
      <c r="F26" s="12">
        <v>30</v>
      </c>
      <c r="G26" s="12" t="str">
        <f t="shared" si="0"/>
        <v>Pass</v>
      </c>
      <c r="H26" s="13" t="str">
        <f t="shared" si="1"/>
        <v>Pass</v>
      </c>
      <c r="I26" s="3" t="str">
        <f t="shared" si="2"/>
        <v>mbrstreet1</v>
      </c>
      <c r="J26" s="3" t="str">
        <f t="shared" si="3"/>
        <v>mbrstreet1</v>
      </c>
    </row>
    <row r="27" spans="2:11">
      <c r="B27" s="1" t="s">
        <v>10</v>
      </c>
      <c r="C27" s="18" t="s">
        <v>399</v>
      </c>
      <c r="D27" s="12">
        <v>50</v>
      </c>
      <c r="E27" s="1" t="s">
        <v>10</v>
      </c>
      <c r="F27" s="12">
        <v>22</v>
      </c>
      <c r="G27" s="12" t="str">
        <f t="shared" si="0"/>
        <v>Pass</v>
      </c>
      <c r="H27" s="13" t="str">
        <f t="shared" si="1"/>
        <v>Pass</v>
      </c>
      <c r="I27" s="3" t="str">
        <f t="shared" si="2"/>
        <v>mbrstreet2</v>
      </c>
      <c r="J27" s="3" t="str">
        <f t="shared" si="3"/>
        <v>mbrstreet2</v>
      </c>
    </row>
    <row r="28" spans="2:11">
      <c r="B28" s="1" t="s">
        <v>11</v>
      </c>
      <c r="C28" s="18" t="s">
        <v>399</v>
      </c>
      <c r="D28" s="12">
        <v>50</v>
      </c>
      <c r="E28" s="1" t="s">
        <v>11</v>
      </c>
      <c r="F28" s="12">
        <v>19</v>
      </c>
      <c r="G28" s="12" t="str">
        <f t="shared" si="0"/>
        <v>Pass</v>
      </c>
      <c r="H28" s="13" t="str">
        <f t="shared" si="1"/>
        <v>Pass</v>
      </c>
      <c r="I28" s="3" t="str">
        <f t="shared" si="2"/>
        <v>mbrcity</v>
      </c>
      <c r="J28" s="3" t="str">
        <f t="shared" si="3"/>
        <v>mbrcity</v>
      </c>
    </row>
    <row r="29" spans="2:11">
      <c r="B29" s="1" t="s">
        <v>12</v>
      </c>
      <c r="C29" s="18" t="s">
        <v>399</v>
      </c>
      <c r="D29" s="12">
        <v>20</v>
      </c>
      <c r="E29" s="1" t="s">
        <v>12</v>
      </c>
      <c r="F29" s="12">
        <v>5</v>
      </c>
      <c r="G29" s="12" t="str">
        <f t="shared" si="0"/>
        <v>Pass</v>
      </c>
      <c r="H29" s="13" t="str">
        <f t="shared" si="1"/>
        <v>Pass</v>
      </c>
      <c r="I29" s="3" t="str">
        <f t="shared" si="2"/>
        <v>mbrcounty</v>
      </c>
      <c r="J29" s="3" t="str">
        <f t="shared" si="3"/>
        <v>mbrcounty</v>
      </c>
    </row>
    <row r="30" spans="2:11">
      <c r="B30" s="1" t="s">
        <v>13</v>
      </c>
      <c r="C30" s="18" t="s">
        <v>399</v>
      </c>
      <c r="D30" s="12">
        <v>2</v>
      </c>
      <c r="E30" s="1" t="s">
        <v>13</v>
      </c>
      <c r="F30" s="12">
        <v>2</v>
      </c>
      <c r="G30" s="12" t="str">
        <f t="shared" si="0"/>
        <v>Pass</v>
      </c>
      <c r="H30" s="13" t="str">
        <f t="shared" si="1"/>
        <v>Pass</v>
      </c>
      <c r="I30" s="3" t="str">
        <f t="shared" si="2"/>
        <v>mbrstate</v>
      </c>
      <c r="J30" s="3" t="str">
        <f t="shared" si="3"/>
        <v>mbrstate</v>
      </c>
    </row>
    <row r="31" spans="2:11">
      <c r="B31" s="1" t="s">
        <v>14</v>
      </c>
      <c r="C31" s="18" t="s">
        <v>399</v>
      </c>
      <c r="D31" s="12">
        <v>10</v>
      </c>
      <c r="E31" s="1" t="s">
        <v>14</v>
      </c>
      <c r="F31" s="12">
        <v>5</v>
      </c>
      <c r="G31" s="12" t="str">
        <f t="shared" si="0"/>
        <v>Pass</v>
      </c>
      <c r="H31" s="13" t="str">
        <f t="shared" si="1"/>
        <v>Pass</v>
      </c>
      <c r="I31" s="3" t="str">
        <f t="shared" si="2"/>
        <v>mbrzip</v>
      </c>
      <c r="J31" s="3" t="str">
        <f t="shared" si="3"/>
        <v>mbrzip</v>
      </c>
    </row>
    <row r="32" spans="2:11">
      <c r="B32" s="1" t="s">
        <v>15</v>
      </c>
      <c r="C32" s="18" t="s">
        <v>399</v>
      </c>
      <c r="D32" s="12">
        <v>15</v>
      </c>
      <c r="E32" s="1" t="s">
        <v>15</v>
      </c>
      <c r="F32" s="12">
        <v>10</v>
      </c>
      <c r="G32" s="12" t="str">
        <f t="shared" si="0"/>
        <v>Pass</v>
      </c>
      <c r="H32" s="13" t="str">
        <f t="shared" si="1"/>
        <v>Pass</v>
      </c>
      <c r="I32" s="3" t="str">
        <f t="shared" si="2"/>
        <v>mbrphone</v>
      </c>
      <c r="J32" s="3" t="str">
        <f t="shared" si="3"/>
        <v>mbrphone</v>
      </c>
    </row>
    <row r="33" spans="2:10">
      <c r="B33" s="1" t="s">
        <v>16</v>
      </c>
      <c r="C33" s="18" t="s">
        <v>399</v>
      </c>
      <c r="D33" s="12">
        <v>32</v>
      </c>
      <c r="E33" s="1" t="s">
        <v>16</v>
      </c>
      <c r="F33" s="12">
        <v>0</v>
      </c>
      <c r="G33" s="12" t="str">
        <f t="shared" si="0"/>
        <v>Pass</v>
      </c>
      <c r="H33" s="13" t="str">
        <f t="shared" si="1"/>
        <v>Pass</v>
      </c>
      <c r="I33" s="3" t="str">
        <f t="shared" si="2"/>
        <v>mbrregioncode</v>
      </c>
      <c r="J33" s="3" t="str">
        <f t="shared" si="3"/>
        <v>mbrregioncode</v>
      </c>
    </row>
    <row r="34" spans="2:10">
      <c r="B34" s="1" t="s">
        <v>17</v>
      </c>
      <c r="C34" s="18" t="s">
        <v>399</v>
      </c>
      <c r="D34" s="12">
        <v>50</v>
      </c>
      <c r="E34" s="1" t="s">
        <v>17</v>
      </c>
      <c r="F34" s="12">
        <v>0</v>
      </c>
      <c r="G34" s="12" t="str">
        <f t="shared" si="0"/>
        <v>Pass</v>
      </c>
      <c r="H34" s="13" t="str">
        <f t="shared" si="1"/>
        <v>Pass</v>
      </c>
      <c r="I34" s="3" t="str">
        <f t="shared" si="2"/>
        <v>mbrregionname</v>
      </c>
      <c r="J34" s="3" t="str">
        <f t="shared" si="3"/>
        <v>mbrregionname</v>
      </c>
    </row>
    <row r="35" spans="2:10">
      <c r="B35" s="1" t="s">
        <v>18</v>
      </c>
      <c r="C35" s="18" t="s">
        <v>399</v>
      </c>
      <c r="D35" s="12">
        <v>10</v>
      </c>
      <c r="E35" s="1" t="s">
        <v>18</v>
      </c>
      <c r="F35" s="12">
        <v>1</v>
      </c>
      <c r="G35" s="12" t="str">
        <f t="shared" si="0"/>
        <v>Pass</v>
      </c>
      <c r="H35" s="13" t="str">
        <f t="shared" si="1"/>
        <v>Pass</v>
      </c>
      <c r="I35" s="3" t="str">
        <f t="shared" si="2"/>
        <v>mbrrelationshipcode</v>
      </c>
      <c r="J35" s="3" t="str">
        <f t="shared" si="3"/>
        <v>mbrrelationshipcode</v>
      </c>
    </row>
    <row r="36" spans="2:10">
      <c r="B36" s="1" t="s">
        <v>19</v>
      </c>
      <c r="C36" s="18" t="s">
        <v>399</v>
      </c>
      <c r="D36" s="47">
        <v>20</v>
      </c>
      <c r="E36" s="1" t="s">
        <v>19</v>
      </c>
      <c r="F36" s="12">
        <v>16</v>
      </c>
      <c r="G36" s="12" t="str">
        <f t="shared" si="0"/>
        <v>Pass</v>
      </c>
      <c r="H36" s="13" t="str">
        <f t="shared" si="1"/>
        <v>Pass</v>
      </c>
      <c r="I36" s="3" t="str">
        <f t="shared" si="2"/>
        <v>mbrrelationshipdesc</v>
      </c>
      <c r="J36" s="3" t="str">
        <f t="shared" si="3"/>
        <v>mbrrelationshipdesc</v>
      </c>
    </row>
    <row r="37" spans="2:10">
      <c r="B37" s="1" t="s">
        <v>113</v>
      </c>
      <c r="C37" s="18" t="s">
        <v>399</v>
      </c>
      <c r="D37" s="12">
        <v>36</v>
      </c>
      <c r="E37" s="1" t="s">
        <v>113</v>
      </c>
      <c r="F37" s="12">
        <v>10</v>
      </c>
      <c r="G37" s="12" t="str">
        <f t="shared" si="0"/>
        <v>Pass</v>
      </c>
      <c r="H37" s="13" t="str">
        <f t="shared" si="1"/>
        <v>Pass</v>
      </c>
      <c r="I37" s="3" t="str">
        <f t="shared" si="2"/>
        <v>prvserviceproviderid</v>
      </c>
      <c r="J37" s="3" t="str">
        <f t="shared" si="3"/>
        <v>prvserviceproviderid</v>
      </c>
    </row>
    <row r="38" spans="2:10">
      <c r="B38" s="1" t="s">
        <v>114</v>
      </c>
      <c r="C38" s="18" t="s">
        <v>399</v>
      </c>
      <c r="D38" s="12">
        <v>30</v>
      </c>
      <c r="E38" s="1" t="s">
        <v>114</v>
      </c>
      <c r="F38" s="12">
        <v>10</v>
      </c>
      <c r="G38" s="12" t="str">
        <f t="shared" si="0"/>
        <v>Pass</v>
      </c>
      <c r="H38" s="13" t="str">
        <f t="shared" si="1"/>
        <v>Pass</v>
      </c>
      <c r="I38" s="3" t="str">
        <f t="shared" si="2"/>
        <v>prvnpi</v>
      </c>
      <c r="J38" s="3" t="str">
        <f t="shared" si="3"/>
        <v>prvnpi</v>
      </c>
    </row>
    <row r="39" spans="2:10">
      <c r="B39" s="1" t="s">
        <v>115</v>
      </c>
      <c r="C39" s="18" t="s">
        <v>399</v>
      </c>
      <c r="D39" s="12">
        <v>30</v>
      </c>
      <c r="E39" s="1" t="s">
        <v>115</v>
      </c>
      <c r="F39" s="12">
        <v>9</v>
      </c>
      <c r="G39" s="12" t="str">
        <f t="shared" si="0"/>
        <v>Pass</v>
      </c>
      <c r="H39" s="13" t="str">
        <f t="shared" si="1"/>
        <v>Pass</v>
      </c>
      <c r="I39" s="3" t="str">
        <f t="shared" si="2"/>
        <v>prvtin</v>
      </c>
      <c r="J39" s="3" t="str">
        <f t="shared" si="3"/>
        <v>prvtin</v>
      </c>
    </row>
    <row r="40" spans="2:10">
      <c r="B40" s="1" t="s">
        <v>116</v>
      </c>
      <c r="C40" s="18" t="s">
        <v>399</v>
      </c>
      <c r="D40" s="12">
        <v>70</v>
      </c>
      <c r="E40" s="1" t="s">
        <v>116</v>
      </c>
      <c r="F40" s="12">
        <v>0</v>
      </c>
      <c r="G40" s="12" t="str">
        <f t="shared" si="0"/>
        <v>Pass</v>
      </c>
      <c r="H40" s="13" t="str">
        <f t="shared" si="1"/>
        <v>Pass</v>
      </c>
      <c r="I40" s="3" t="str">
        <f t="shared" si="2"/>
        <v>prvtypedesc</v>
      </c>
      <c r="J40" s="3" t="str">
        <f t="shared" si="3"/>
        <v>prvtypedesc</v>
      </c>
    </row>
    <row r="41" spans="2:10">
      <c r="B41" s="1" t="s">
        <v>117</v>
      </c>
      <c r="C41" s="18" t="s">
        <v>399</v>
      </c>
      <c r="D41" s="12">
        <v>100</v>
      </c>
      <c r="E41" s="1" t="s">
        <v>117</v>
      </c>
      <c r="F41" s="12">
        <v>70</v>
      </c>
      <c r="G41" s="12" t="str">
        <f t="shared" si="0"/>
        <v>Pass</v>
      </c>
      <c r="H41" s="13" t="str">
        <f t="shared" si="1"/>
        <v>Pass</v>
      </c>
      <c r="I41" s="3" t="str">
        <f t="shared" si="2"/>
        <v>prvfirstname</v>
      </c>
      <c r="J41" s="3" t="str">
        <f t="shared" si="3"/>
        <v>prvfirstname</v>
      </c>
    </row>
    <row r="42" spans="2:10">
      <c r="B42" s="1" t="s">
        <v>118</v>
      </c>
      <c r="C42" s="18" t="s">
        <v>399</v>
      </c>
      <c r="D42" s="12">
        <v>30</v>
      </c>
      <c r="E42" s="1" t="s">
        <v>118</v>
      </c>
      <c r="F42" s="12">
        <v>16</v>
      </c>
      <c r="G42" s="12" t="str">
        <f t="shared" si="0"/>
        <v>Pass</v>
      </c>
      <c r="H42" s="13" t="str">
        <f t="shared" si="1"/>
        <v>Pass</v>
      </c>
      <c r="I42" s="3" t="str">
        <f t="shared" si="2"/>
        <v>prvmiddlename</v>
      </c>
      <c r="J42" s="3" t="str">
        <f t="shared" si="3"/>
        <v>prvmiddlename</v>
      </c>
    </row>
    <row r="43" spans="2:10">
      <c r="B43" s="1" t="s">
        <v>119</v>
      </c>
      <c r="C43" s="18" t="s">
        <v>399</v>
      </c>
      <c r="D43" s="12">
        <v>40</v>
      </c>
      <c r="E43" s="1" t="s">
        <v>119</v>
      </c>
      <c r="F43" s="12">
        <v>23</v>
      </c>
      <c r="G43" s="12" t="str">
        <f t="shared" si="0"/>
        <v>Pass</v>
      </c>
      <c r="H43" s="13" t="str">
        <f t="shared" si="1"/>
        <v>Pass</v>
      </c>
      <c r="I43" s="3" t="str">
        <f t="shared" si="2"/>
        <v>prvlastname</v>
      </c>
      <c r="J43" s="3" t="str">
        <f t="shared" si="3"/>
        <v>prvlastname</v>
      </c>
    </row>
    <row r="44" spans="2:10">
      <c r="B44" s="1" t="s">
        <v>120</v>
      </c>
      <c r="C44" s="18" t="s">
        <v>399</v>
      </c>
      <c r="D44" s="12">
        <v>2</v>
      </c>
      <c r="E44" s="1" t="s">
        <v>120</v>
      </c>
      <c r="F44" s="12">
        <v>1</v>
      </c>
      <c r="G44" s="12" t="str">
        <f t="shared" si="0"/>
        <v>Pass</v>
      </c>
      <c r="H44" s="13" t="str">
        <f t="shared" si="1"/>
        <v>Pass</v>
      </c>
      <c r="I44" s="3" t="str">
        <f t="shared" si="2"/>
        <v>prvgender</v>
      </c>
      <c r="J44" s="3" t="str">
        <f t="shared" si="3"/>
        <v>prvgender</v>
      </c>
    </row>
    <row r="45" spans="2:10">
      <c r="B45" s="1" t="s">
        <v>121</v>
      </c>
      <c r="C45" s="18" t="s">
        <v>399</v>
      </c>
      <c r="D45" s="12">
        <v>30</v>
      </c>
      <c r="E45" s="1" t="s">
        <v>121</v>
      </c>
      <c r="F45" s="12">
        <v>0</v>
      </c>
      <c r="G45" s="12" t="str">
        <f t="shared" si="0"/>
        <v>Pass</v>
      </c>
      <c r="H45" s="13" t="str">
        <f t="shared" si="1"/>
        <v>Pass</v>
      </c>
      <c r="I45" s="3" t="str">
        <f t="shared" si="2"/>
        <v>prvnativelanguage</v>
      </c>
      <c r="J45" s="3" t="str">
        <f t="shared" si="3"/>
        <v>prvnativelanguage</v>
      </c>
    </row>
    <row r="46" spans="2:10">
      <c r="B46" s="1" t="s">
        <v>122</v>
      </c>
      <c r="C46" s="18" t="s">
        <v>399</v>
      </c>
      <c r="D46" s="12">
        <v>10</v>
      </c>
      <c r="E46" s="1" t="s">
        <v>122</v>
      </c>
      <c r="F46" s="12">
        <v>5</v>
      </c>
      <c r="G46" s="12" t="str">
        <f t="shared" si="0"/>
        <v>Pass</v>
      </c>
      <c r="H46" s="13" t="str">
        <f t="shared" si="1"/>
        <v>Pass</v>
      </c>
      <c r="I46" s="3" t="str">
        <f t="shared" si="2"/>
        <v>prvnetworkcode</v>
      </c>
      <c r="J46" s="3" t="str">
        <f t="shared" si="3"/>
        <v>prvnetworkcode</v>
      </c>
    </row>
    <row r="47" spans="2:10">
      <c r="B47" s="1" t="s">
        <v>123</v>
      </c>
      <c r="C47" s="18" t="s">
        <v>399</v>
      </c>
      <c r="D47" s="12">
        <v>50</v>
      </c>
      <c r="E47" s="1" t="s">
        <v>123</v>
      </c>
      <c r="F47" s="12">
        <v>25</v>
      </c>
      <c r="G47" s="12" t="str">
        <f t="shared" si="0"/>
        <v>Pass</v>
      </c>
      <c r="H47" s="13" t="str">
        <f t="shared" si="1"/>
        <v>Pass</v>
      </c>
      <c r="I47" s="3" t="str">
        <f t="shared" si="2"/>
        <v>prvnetworkname</v>
      </c>
      <c r="J47" s="3" t="str">
        <f t="shared" si="3"/>
        <v>prvnetworkname</v>
      </c>
    </row>
    <row r="48" spans="2:10">
      <c r="B48" s="1" t="s">
        <v>124</v>
      </c>
      <c r="C48" s="18" t="s">
        <v>399</v>
      </c>
      <c r="D48" s="12">
        <v>20</v>
      </c>
      <c r="E48" s="1" t="s">
        <v>124</v>
      </c>
      <c r="F48" s="12">
        <v>15</v>
      </c>
      <c r="G48" s="12" t="str">
        <f t="shared" si="0"/>
        <v>Pass</v>
      </c>
      <c r="H48" s="13" t="str">
        <f t="shared" si="1"/>
        <v>Pass</v>
      </c>
      <c r="I48" s="3" t="str">
        <f t="shared" si="2"/>
        <v>prvphone</v>
      </c>
      <c r="J48" s="3" t="str">
        <f t="shared" si="3"/>
        <v>prvphone</v>
      </c>
    </row>
    <row r="49" spans="2:11">
      <c r="B49" s="1" t="s">
        <v>125</v>
      </c>
      <c r="C49" s="18" t="s">
        <v>399</v>
      </c>
      <c r="D49" s="12">
        <v>10</v>
      </c>
      <c r="E49" s="1" t="s">
        <v>125</v>
      </c>
      <c r="F49" s="12">
        <v>6</v>
      </c>
      <c r="G49" s="12" t="str">
        <f t="shared" si="0"/>
        <v>Pass</v>
      </c>
      <c r="H49" s="13" t="str">
        <f t="shared" si="1"/>
        <v>Pass</v>
      </c>
      <c r="I49" s="3" t="str">
        <f t="shared" si="2"/>
        <v>prvspeciality1code</v>
      </c>
      <c r="J49" s="3" t="str">
        <f t="shared" si="3"/>
        <v>prvspeciality1code</v>
      </c>
    </row>
    <row r="50" spans="2:11">
      <c r="B50" s="1" t="s">
        <v>126</v>
      </c>
      <c r="C50" s="18" t="s">
        <v>399</v>
      </c>
      <c r="D50" s="12">
        <v>100</v>
      </c>
      <c r="E50" s="1" t="s">
        <v>126</v>
      </c>
      <c r="F50" s="12">
        <v>74</v>
      </c>
      <c r="G50" s="12" t="str">
        <f t="shared" si="0"/>
        <v>Pass</v>
      </c>
      <c r="H50" s="13" t="str">
        <f t="shared" si="1"/>
        <v>Pass</v>
      </c>
      <c r="I50" s="3" t="str">
        <f t="shared" si="2"/>
        <v>prvSpecialty1desc</v>
      </c>
      <c r="J50" s="3" t="str">
        <f t="shared" si="3"/>
        <v>prvSpecialty1desc</v>
      </c>
    </row>
    <row r="51" spans="2:11">
      <c r="B51" s="1" t="s">
        <v>127</v>
      </c>
      <c r="C51" s="18" t="s">
        <v>399</v>
      </c>
      <c r="D51" s="12">
        <v>10</v>
      </c>
      <c r="E51" s="1" t="s">
        <v>127</v>
      </c>
      <c r="F51" s="12">
        <v>7</v>
      </c>
      <c r="G51" s="12" t="str">
        <f t="shared" si="0"/>
        <v>Pass</v>
      </c>
      <c r="H51" s="13" t="str">
        <f t="shared" si="1"/>
        <v>Pass</v>
      </c>
      <c r="I51" s="3" t="str">
        <f t="shared" si="2"/>
        <v>prvspeciality2code</v>
      </c>
      <c r="J51" s="3" t="str">
        <f t="shared" si="3"/>
        <v>prvspeciality2code</v>
      </c>
    </row>
    <row r="52" spans="2:11">
      <c r="B52" s="1" t="s">
        <v>128</v>
      </c>
      <c r="C52" s="18" t="s">
        <v>399</v>
      </c>
      <c r="D52" s="12">
        <v>100</v>
      </c>
      <c r="E52" s="1" t="s">
        <v>128</v>
      </c>
      <c r="F52" s="12">
        <v>64</v>
      </c>
      <c r="G52" s="12" t="str">
        <f t="shared" si="0"/>
        <v>Pass</v>
      </c>
      <c r="H52" s="13" t="str">
        <f t="shared" si="1"/>
        <v>Pass</v>
      </c>
      <c r="I52" s="3" t="str">
        <f t="shared" si="2"/>
        <v>prvSpecialty2desc</v>
      </c>
      <c r="J52" s="3" t="str">
        <f t="shared" si="3"/>
        <v>prvSpecialty2desc</v>
      </c>
    </row>
    <row r="53" spans="2:11">
      <c r="B53" s="1" t="s">
        <v>129</v>
      </c>
      <c r="C53" s="18" t="s">
        <v>399</v>
      </c>
      <c r="D53" s="12">
        <v>10</v>
      </c>
      <c r="E53" s="1" t="s">
        <v>129</v>
      </c>
      <c r="F53" s="12">
        <v>0</v>
      </c>
      <c r="G53" s="12" t="str">
        <f t="shared" si="0"/>
        <v>Pass</v>
      </c>
      <c r="H53" s="13" t="str">
        <f t="shared" si="1"/>
        <v>Pass</v>
      </c>
      <c r="I53" s="3" t="str">
        <f t="shared" si="2"/>
        <v>prvspeciality3code</v>
      </c>
      <c r="J53" s="3" t="str">
        <f t="shared" si="3"/>
        <v>prvspeciality3code</v>
      </c>
    </row>
    <row r="54" spans="2:11">
      <c r="B54" s="1" t="s">
        <v>130</v>
      </c>
      <c r="C54" s="18" t="s">
        <v>399</v>
      </c>
      <c r="D54" s="12">
        <v>100</v>
      </c>
      <c r="E54" s="1" t="s">
        <v>130</v>
      </c>
      <c r="F54" s="12">
        <v>0</v>
      </c>
      <c r="G54" s="12" t="str">
        <f t="shared" si="0"/>
        <v>Pass</v>
      </c>
      <c r="H54" s="13" t="str">
        <f t="shared" si="1"/>
        <v>Pass</v>
      </c>
      <c r="I54" s="3" t="str">
        <f t="shared" si="2"/>
        <v>prvSpecialty3desc</v>
      </c>
      <c r="J54" s="3" t="str">
        <f t="shared" si="3"/>
        <v>prvSpecialty3desc</v>
      </c>
    </row>
    <row r="55" spans="2:11">
      <c r="B55" s="1" t="s">
        <v>131</v>
      </c>
      <c r="C55" s="18" t="s">
        <v>399</v>
      </c>
      <c r="D55" s="12">
        <v>128</v>
      </c>
      <c r="E55" s="1" t="s">
        <v>131</v>
      </c>
      <c r="F55" s="12">
        <v>54</v>
      </c>
      <c r="G55" s="12" t="str">
        <f t="shared" si="0"/>
        <v>Pass</v>
      </c>
      <c r="H55" s="13" t="str">
        <f t="shared" si="1"/>
        <v>Pass</v>
      </c>
      <c r="I55" s="3" t="str">
        <f t="shared" si="2"/>
        <v>prvstreet1</v>
      </c>
      <c r="J55" s="3" t="str">
        <f t="shared" si="3"/>
        <v>prvstreet1</v>
      </c>
    </row>
    <row r="56" spans="2:11">
      <c r="B56" s="1" t="s">
        <v>132</v>
      </c>
      <c r="C56" s="18" t="s">
        <v>399</v>
      </c>
      <c r="D56" s="12">
        <v>128</v>
      </c>
      <c r="E56" s="1" t="s">
        <v>132</v>
      </c>
      <c r="F56" s="12">
        <v>55</v>
      </c>
      <c r="G56" s="12" t="str">
        <f t="shared" si="0"/>
        <v>Pass</v>
      </c>
      <c r="H56" s="13" t="str">
        <f t="shared" si="1"/>
        <v>Pass</v>
      </c>
      <c r="I56" s="3" t="str">
        <f t="shared" si="2"/>
        <v>prvstreet2</v>
      </c>
      <c r="J56" s="3" t="str">
        <f t="shared" si="3"/>
        <v>prvstreet2</v>
      </c>
    </row>
    <row r="57" spans="2:11">
      <c r="B57" s="1" t="s">
        <v>133</v>
      </c>
      <c r="C57" s="18" t="s">
        <v>399</v>
      </c>
      <c r="D57" s="12">
        <v>32</v>
      </c>
      <c r="E57" s="1" t="s">
        <v>133</v>
      </c>
      <c r="F57" s="12">
        <v>22</v>
      </c>
      <c r="G57" s="12" t="str">
        <f t="shared" si="0"/>
        <v>Pass</v>
      </c>
      <c r="H57" s="13" t="str">
        <f t="shared" si="1"/>
        <v>Pass</v>
      </c>
      <c r="I57" s="3" t="str">
        <f t="shared" si="2"/>
        <v>prvcity</v>
      </c>
      <c r="J57" s="3" t="str">
        <f t="shared" si="3"/>
        <v>prvcity</v>
      </c>
    </row>
    <row r="58" spans="2:11">
      <c r="B58" s="1" t="s">
        <v>134</v>
      </c>
      <c r="C58" s="18" t="s">
        <v>399</v>
      </c>
      <c r="D58" s="12">
        <v>32</v>
      </c>
      <c r="E58" s="1" t="s">
        <v>134</v>
      </c>
      <c r="F58" s="12">
        <v>0</v>
      </c>
      <c r="G58" s="12" t="str">
        <f t="shared" si="0"/>
        <v>Pass</v>
      </c>
      <c r="H58" s="13" t="str">
        <f t="shared" si="1"/>
        <v>Pass</v>
      </c>
      <c r="I58" s="3" t="str">
        <f t="shared" si="2"/>
        <v>prvcounty</v>
      </c>
      <c r="J58" s="3" t="str">
        <f t="shared" si="3"/>
        <v>prvcounty</v>
      </c>
    </row>
    <row r="59" spans="2:11">
      <c r="B59" s="1" t="s">
        <v>135</v>
      </c>
      <c r="C59" s="18" t="s">
        <v>399</v>
      </c>
      <c r="D59" s="12">
        <v>12</v>
      </c>
      <c r="E59" s="1" t="s">
        <v>135</v>
      </c>
      <c r="F59" s="12">
        <v>12</v>
      </c>
      <c r="G59" s="12" t="str">
        <f t="shared" si="0"/>
        <v>Pass</v>
      </c>
      <c r="H59" s="13" t="str">
        <f t="shared" si="1"/>
        <v>Pass</v>
      </c>
      <c r="I59" s="3" t="str">
        <f t="shared" si="2"/>
        <v>prvstate</v>
      </c>
      <c r="J59" s="3" t="str">
        <f t="shared" si="3"/>
        <v>prvstate</v>
      </c>
      <c r="K59" t="s">
        <v>543</v>
      </c>
    </row>
    <row r="60" spans="2:11">
      <c r="B60" s="1" t="s">
        <v>136</v>
      </c>
      <c r="C60" s="18" t="s">
        <v>399</v>
      </c>
      <c r="D60" s="12">
        <v>10</v>
      </c>
      <c r="E60" s="1" t="s">
        <v>136</v>
      </c>
      <c r="F60" s="12">
        <v>5</v>
      </c>
      <c r="G60" s="12" t="str">
        <f t="shared" si="0"/>
        <v>Pass</v>
      </c>
      <c r="H60" s="13" t="str">
        <f t="shared" si="1"/>
        <v>Pass</v>
      </c>
      <c r="I60" s="3" t="str">
        <f t="shared" si="2"/>
        <v>prvzip</v>
      </c>
      <c r="J60" s="3" t="str">
        <f t="shared" si="3"/>
        <v>prvzip</v>
      </c>
    </row>
    <row r="61" spans="2:11">
      <c r="B61" s="1" t="s">
        <v>137</v>
      </c>
      <c r="C61" s="18" t="s">
        <v>404</v>
      </c>
      <c r="D61" s="12">
        <v>1</v>
      </c>
      <c r="E61" s="1" t="s">
        <v>137</v>
      </c>
      <c r="F61" s="12">
        <v>1</v>
      </c>
      <c r="G61" s="12" t="str">
        <f t="shared" si="0"/>
        <v>Pass</v>
      </c>
      <c r="H61" s="13" t="str">
        <f t="shared" si="1"/>
        <v>Pass</v>
      </c>
      <c r="I61" s="3" t="str">
        <f t="shared" si="2"/>
        <v>prvinnetworkflag</v>
      </c>
      <c r="J61" s="3" t="str">
        <f t="shared" si="3"/>
        <v>prvinnetworkflag</v>
      </c>
    </row>
    <row r="62" spans="2:11">
      <c r="B62" s="1" t="s">
        <v>46</v>
      </c>
      <c r="C62" s="18" t="s">
        <v>399</v>
      </c>
      <c r="D62" s="12">
        <v>30</v>
      </c>
      <c r="E62" s="1" t="s">
        <v>46</v>
      </c>
      <c r="F62" s="12">
        <v>9</v>
      </c>
      <c r="G62" s="12" t="str">
        <f t="shared" si="0"/>
        <v>Pass</v>
      </c>
      <c r="H62" s="13" t="str">
        <f t="shared" si="1"/>
        <v>Pass</v>
      </c>
      <c r="I62" s="3" t="str">
        <f t="shared" si="2"/>
        <v>prvpcpid</v>
      </c>
      <c r="J62" s="3" t="str">
        <f t="shared" si="3"/>
        <v>prvpcpid</v>
      </c>
    </row>
    <row r="63" spans="2:11">
      <c r="B63" s="1" t="s">
        <v>47</v>
      </c>
      <c r="C63" s="18" t="s">
        <v>399</v>
      </c>
      <c r="D63" s="12">
        <v>100</v>
      </c>
      <c r="E63" s="1" t="s">
        <v>47</v>
      </c>
      <c r="F63" s="12">
        <v>33</v>
      </c>
      <c r="G63" s="12" t="str">
        <f t="shared" si="0"/>
        <v>Pass</v>
      </c>
      <c r="H63" s="13" t="str">
        <f t="shared" si="1"/>
        <v>Pass</v>
      </c>
      <c r="I63" s="3" t="str">
        <f t="shared" si="2"/>
        <v>prvpcpfirstname</v>
      </c>
      <c r="J63" s="3" t="str">
        <f t="shared" si="3"/>
        <v>prvpcpfirstname</v>
      </c>
    </row>
    <row r="64" spans="2:11">
      <c r="B64" s="1" t="s">
        <v>48</v>
      </c>
      <c r="C64" s="18" t="s">
        <v>399</v>
      </c>
      <c r="D64" s="12">
        <v>30</v>
      </c>
      <c r="E64" s="1" t="s">
        <v>48</v>
      </c>
      <c r="F64" s="12">
        <v>0</v>
      </c>
      <c r="G64" s="12" t="str">
        <f t="shared" si="0"/>
        <v>Pass</v>
      </c>
      <c r="H64" s="13" t="str">
        <f t="shared" si="1"/>
        <v>Pass</v>
      </c>
      <c r="I64" s="3" t="str">
        <f t="shared" si="2"/>
        <v>prvpcpmiddlename</v>
      </c>
      <c r="J64" s="3" t="str">
        <f t="shared" si="3"/>
        <v>prvpcpmiddlename</v>
      </c>
    </row>
    <row r="65" spans="2:10">
      <c r="B65" s="1" t="s">
        <v>49</v>
      </c>
      <c r="C65" s="18" t="s">
        <v>399</v>
      </c>
      <c r="D65" s="12">
        <v>50</v>
      </c>
      <c r="E65" s="1" t="s">
        <v>49</v>
      </c>
      <c r="F65" s="12">
        <v>0</v>
      </c>
      <c r="G65" s="12" t="str">
        <f t="shared" si="0"/>
        <v>Pass</v>
      </c>
      <c r="H65" s="13" t="str">
        <f t="shared" si="1"/>
        <v>Pass</v>
      </c>
      <c r="I65" s="3" t="str">
        <f t="shared" si="2"/>
        <v>prvpcplastname</v>
      </c>
      <c r="J65" s="3" t="str">
        <f t="shared" si="3"/>
        <v>prvpcplastname</v>
      </c>
    </row>
    <row r="66" spans="2:10">
      <c r="B66" s="1" t="s">
        <v>138</v>
      </c>
      <c r="C66" s="18" t="s">
        <v>399</v>
      </c>
      <c r="D66" s="12">
        <v>2</v>
      </c>
      <c r="E66" s="1" t="s">
        <v>138</v>
      </c>
      <c r="F66" s="12">
        <v>2</v>
      </c>
      <c r="G66" s="12" t="str">
        <f t="shared" si="0"/>
        <v>Pass</v>
      </c>
      <c r="H66" s="13" t="str">
        <f t="shared" si="1"/>
        <v>Pass</v>
      </c>
      <c r="I66" s="3" t="str">
        <f t="shared" si="2"/>
        <v>svcposcode</v>
      </c>
      <c r="J66" s="3" t="str">
        <f t="shared" si="3"/>
        <v>svcposcode</v>
      </c>
    </row>
    <row r="67" spans="2:10">
      <c r="B67" s="1" t="s">
        <v>139</v>
      </c>
      <c r="C67" s="18" t="s">
        <v>399</v>
      </c>
      <c r="D67" s="12">
        <v>50</v>
      </c>
      <c r="E67" s="1" t="s">
        <v>139</v>
      </c>
      <c r="F67" s="12">
        <v>50</v>
      </c>
      <c r="G67" s="12" t="str">
        <f t="shared" ref="G67:G130" si="4">IF(I67=J67,"Pass","Fail")</f>
        <v>Pass</v>
      </c>
      <c r="H67" s="13" t="str">
        <f t="shared" ref="H67:H130" si="5">IF(AND(ISBLANK(D67),F67&gt;=0),"Pass",IF(F67&lt;=D67,"Pass","Fail"))</f>
        <v>Pass</v>
      </c>
      <c r="I67" s="3" t="str">
        <f t="shared" ref="I67:I130" si="6">SUBSTITUTE(B67,"_","")</f>
        <v>svcposdesc</v>
      </c>
      <c r="J67" s="3" t="str">
        <f t="shared" ref="J67:J130" si="7">SUBSTITUTE(E67,"_","")</f>
        <v>svcposdesc</v>
      </c>
    </row>
    <row r="68" spans="2:10">
      <c r="B68" s="1" t="s">
        <v>140</v>
      </c>
      <c r="C68" s="18" t="s">
        <v>399</v>
      </c>
      <c r="D68" s="12">
        <v>8</v>
      </c>
      <c r="E68" s="1" t="s">
        <v>140</v>
      </c>
      <c r="F68" s="12">
        <v>8</v>
      </c>
      <c r="G68" s="12" t="str">
        <f t="shared" si="4"/>
        <v>Pass</v>
      </c>
      <c r="H68" s="13" t="str">
        <f t="shared" si="5"/>
        <v>Pass</v>
      </c>
      <c r="I68" s="3" t="str">
        <f t="shared" si="6"/>
        <v>svcdiag1code</v>
      </c>
      <c r="J68" s="3" t="str">
        <f t="shared" si="7"/>
        <v>svcdiag1code</v>
      </c>
    </row>
    <row r="69" spans="2:10">
      <c r="B69" s="1" t="s">
        <v>141</v>
      </c>
      <c r="C69" s="18" t="s">
        <v>399</v>
      </c>
      <c r="D69" s="12">
        <v>100</v>
      </c>
      <c r="E69" s="1" t="s">
        <v>141</v>
      </c>
      <c r="F69" s="12">
        <v>60</v>
      </c>
      <c r="G69" s="12" t="str">
        <f t="shared" si="4"/>
        <v>Pass</v>
      </c>
      <c r="H69" s="13" t="str">
        <f t="shared" si="5"/>
        <v>Pass</v>
      </c>
      <c r="I69" s="3" t="str">
        <f t="shared" si="6"/>
        <v>svcdiag1desc</v>
      </c>
      <c r="J69" s="3" t="str">
        <f t="shared" si="7"/>
        <v>svcdiag1desc</v>
      </c>
    </row>
    <row r="70" spans="2:10">
      <c r="B70" s="1" t="s">
        <v>142</v>
      </c>
      <c r="C70" s="18" t="s">
        <v>399</v>
      </c>
      <c r="D70" s="12">
        <v>30</v>
      </c>
      <c r="E70" s="1" t="s">
        <v>142</v>
      </c>
      <c r="F70" s="12">
        <v>8</v>
      </c>
      <c r="G70" s="12" t="str">
        <f t="shared" si="4"/>
        <v>Pass</v>
      </c>
      <c r="H70" s="13" t="str">
        <f t="shared" si="5"/>
        <v>Pass</v>
      </c>
      <c r="I70" s="3" t="str">
        <f t="shared" si="6"/>
        <v>svcdiag2code</v>
      </c>
      <c r="J70" s="3" t="str">
        <f t="shared" si="7"/>
        <v>svcdiag2code</v>
      </c>
    </row>
    <row r="71" spans="2:10">
      <c r="B71" s="1" t="s">
        <v>143</v>
      </c>
      <c r="C71" s="18" t="s">
        <v>399</v>
      </c>
      <c r="D71" s="12">
        <v>100</v>
      </c>
      <c r="E71" s="1" t="s">
        <v>143</v>
      </c>
      <c r="F71" s="12">
        <v>60</v>
      </c>
      <c r="G71" s="12" t="str">
        <f t="shared" si="4"/>
        <v>Pass</v>
      </c>
      <c r="H71" s="13" t="str">
        <f t="shared" si="5"/>
        <v>Pass</v>
      </c>
      <c r="I71" s="3" t="str">
        <f t="shared" si="6"/>
        <v>svcdiag2desc</v>
      </c>
      <c r="J71" s="3" t="str">
        <f t="shared" si="7"/>
        <v>svcdiag2desc</v>
      </c>
    </row>
    <row r="72" spans="2:10">
      <c r="B72" s="1" t="s">
        <v>144</v>
      </c>
      <c r="C72" s="18" t="s">
        <v>399</v>
      </c>
      <c r="D72" s="12">
        <v>30</v>
      </c>
      <c r="E72" s="1" t="s">
        <v>144</v>
      </c>
      <c r="F72" s="12">
        <v>8</v>
      </c>
      <c r="G72" s="12" t="str">
        <f t="shared" si="4"/>
        <v>Pass</v>
      </c>
      <c r="H72" s="13" t="str">
        <f t="shared" si="5"/>
        <v>Pass</v>
      </c>
      <c r="I72" s="3" t="str">
        <f t="shared" si="6"/>
        <v>svcdiag3code</v>
      </c>
      <c r="J72" s="3" t="str">
        <f t="shared" si="7"/>
        <v>svcdiag3code</v>
      </c>
    </row>
    <row r="73" spans="2:10">
      <c r="B73" s="1" t="s">
        <v>145</v>
      </c>
      <c r="C73" s="18" t="s">
        <v>399</v>
      </c>
      <c r="D73" s="12">
        <v>100</v>
      </c>
      <c r="E73" s="1" t="s">
        <v>145</v>
      </c>
      <c r="F73" s="12">
        <v>60</v>
      </c>
      <c r="G73" s="12" t="str">
        <f t="shared" si="4"/>
        <v>Pass</v>
      </c>
      <c r="H73" s="13" t="str">
        <f t="shared" si="5"/>
        <v>Pass</v>
      </c>
      <c r="I73" s="3" t="str">
        <f t="shared" si="6"/>
        <v>svcdiag3desc</v>
      </c>
      <c r="J73" s="3" t="str">
        <f t="shared" si="7"/>
        <v>svcdiag3desc</v>
      </c>
    </row>
    <row r="74" spans="2:10">
      <c r="B74" s="1" t="s">
        <v>146</v>
      </c>
      <c r="C74" s="18" t="s">
        <v>399</v>
      </c>
      <c r="D74" s="12">
        <v>30</v>
      </c>
      <c r="E74" s="1" t="s">
        <v>146</v>
      </c>
      <c r="F74" s="12">
        <v>8</v>
      </c>
      <c r="G74" s="12" t="str">
        <f t="shared" si="4"/>
        <v>Pass</v>
      </c>
      <c r="H74" s="13" t="str">
        <f t="shared" si="5"/>
        <v>Pass</v>
      </c>
      <c r="I74" s="3" t="str">
        <f t="shared" si="6"/>
        <v>svcdiag4code</v>
      </c>
      <c r="J74" s="3" t="str">
        <f t="shared" si="7"/>
        <v>svcdiag4code</v>
      </c>
    </row>
    <row r="75" spans="2:10">
      <c r="B75" s="1" t="s">
        <v>147</v>
      </c>
      <c r="C75" s="18" t="s">
        <v>399</v>
      </c>
      <c r="D75" s="12">
        <v>100</v>
      </c>
      <c r="E75" s="1" t="s">
        <v>147</v>
      </c>
      <c r="F75" s="12">
        <v>60</v>
      </c>
      <c r="G75" s="12" t="str">
        <f t="shared" si="4"/>
        <v>Pass</v>
      </c>
      <c r="H75" s="13" t="str">
        <f t="shared" si="5"/>
        <v>Pass</v>
      </c>
      <c r="I75" s="3" t="str">
        <f t="shared" si="6"/>
        <v>svcdiag4desc</v>
      </c>
      <c r="J75" s="3" t="str">
        <f t="shared" si="7"/>
        <v>svcdiag4desc</v>
      </c>
    </row>
    <row r="76" spans="2:10">
      <c r="B76" s="1" t="s">
        <v>148</v>
      </c>
      <c r="C76" s="18" t="s">
        <v>399</v>
      </c>
      <c r="D76" s="12">
        <v>30</v>
      </c>
      <c r="E76" s="1" t="s">
        <v>148</v>
      </c>
      <c r="F76" s="12">
        <v>8</v>
      </c>
      <c r="G76" s="12" t="str">
        <f t="shared" si="4"/>
        <v>Pass</v>
      </c>
      <c r="H76" s="13" t="str">
        <f t="shared" si="5"/>
        <v>Pass</v>
      </c>
      <c r="I76" s="3" t="str">
        <f t="shared" si="6"/>
        <v>svcdiag5code</v>
      </c>
      <c r="J76" s="3" t="str">
        <f t="shared" si="7"/>
        <v>svcdiag5code</v>
      </c>
    </row>
    <row r="77" spans="2:10">
      <c r="B77" s="1" t="s">
        <v>149</v>
      </c>
      <c r="C77" s="18" t="s">
        <v>399</v>
      </c>
      <c r="D77" s="12">
        <v>100</v>
      </c>
      <c r="E77" s="1" t="s">
        <v>149</v>
      </c>
      <c r="F77" s="12">
        <v>60</v>
      </c>
      <c r="G77" s="12" t="str">
        <f t="shared" si="4"/>
        <v>Pass</v>
      </c>
      <c r="H77" s="13" t="str">
        <f t="shared" si="5"/>
        <v>Pass</v>
      </c>
      <c r="I77" s="3" t="str">
        <f t="shared" si="6"/>
        <v>svcdiag5desc</v>
      </c>
      <c r="J77" s="3" t="str">
        <f t="shared" si="7"/>
        <v>svcdiag5desc</v>
      </c>
    </row>
    <row r="78" spans="2:10">
      <c r="B78" s="1" t="s">
        <v>150</v>
      </c>
      <c r="C78" s="18" t="s">
        <v>399</v>
      </c>
      <c r="D78" s="12">
        <v>30</v>
      </c>
      <c r="E78" s="1" t="s">
        <v>150</v>
      </c>
      <c r="F78" s="12">
        <v>8</v>
      </c>
      <c r="G78" s="12" t="str">
        <f t="shared" si="4"/>
        <v>Pass</v>
      </c>
      <c r="H78" s="13" t="str">
        <f t="shared" si="5"/>
        <v>Pass</v>
      </c>
      <c r="I78" s="3" t="str">
        <f t="shared" si="6"/>
        <v>svcdiag6code</v>
      </c>
      <c r="J78" s="3" t="str">
        <f t="shared" si="7"/>
        <v>svcdiag6code</v>
      </c>
    </row>
    <row r="79" spans="2:10">
      <c r="B79" s="1" t="s">
        <v>151</v>
      </c>
      <c r="C79" s="18" t="s">
        <v>399</v>
      </c>
      <c r="D79" s="12">
        <v>100</v>
      </c>
      <c r="E79" s="1" t="s">
        <v>151</v>
      </c>
      <c r="F79" s="12">
        <v>60</v>
      </c>
      <c r="G79" s="12" t="str">
        <f t="shared" si="4"/>
        <v>Pass</v>
      </c>
      <c r="H79" s="13" t="str">
        <f t="shared" si="5"/>
        <v>Pass</v>
      </c>
      <c r="I79" s="3" t="str">
        <f t="shared" si="6"/>
        <v>svcdiag6desc</v>
      </c>
      <c r="J79" s="3" t="str">
        <f t="shared" si="7"/>
        <v>svcdiag6desc</v>
      </c>
    </row>
    <row r="80" spans="2:10">
      <c r="B80" s="1" t="s">
        <v>152</v>
      </c>
      <c r="C80" s="18" t="s">
        <v>399</v>
      </c>
      <c r="D80" s="12">
        <v>30</v>
      </c>
      <c r="E80" s="1" t="s">
        <v>152</v>
      </c>
      <c r="F80" s="12">
        <v>8</v>
      </c>
      <c r="G80" s="12" t="str">
        <f t="shared" si="4"/>
        <v>Pass</v>
      </c>
      <c r="H80" s="13" t="str">
        <f t="shared" si="5"/>
        <v>Pass</v>
      </c>
      <c r="I80" s="3" t="str">
        <f t="shared" si="6"/>
        <v>svcdiag7code</v>
      </c>
      <c r="J80" s="3" t="str">
        <f t="shared" si="7"/>
        <v>svcdiag7code</v>
      </c>
    </row>
    <row r="81" spans="2:10">
      <c r="B81" s="1" t="s">
        <v>153</v>
      </c>
      <c r="C81" s="18" t="s">
        <v>399</v>
      </c>
      <c r="D81" s="12">
        <v>100</v>
      </c>
      <c r="E81" s="1" t="s">
        <v>153</v>
      </c>
      <c r="F81" s="12">
        <v>60</v>
      </c>
      <c r="G81" s="12" t="str">
        <f t="shared" si="4"/>
        <v>Pass</v>
      </c>
      <c r="H81" s="13" t="str">
        <f t="shared" si="5"/>
        <v>Pass</v>
      </c>
      <c r="I81" s="3" t="str">
        <f t="shared" si="6"/>
        <v>svcdiag7desc</v>
      </c>
      <c r="J81" s="3" t="str">
        <f t="shared" si="7"/>
        <v>svcdiag7desc</v>
      </c>
    </row>
    <row r="82" spans="2:10">
      <c r="B82" s="1" t="s">
        <v>154</v>
      </c>
      <c r="C82" s="18" t="s">
        <v>399</v>
      </c>
      <c r="D82" s="12">
        <v>30</v>
      </c>
      <c r="E82" s="1" t="s">
        <v>154</v>
      </c>
      <c r="F82" s="12">
        <v>8</v>
      </c>
      <c r="G82" s="12" t="str">
        <f t="shared" si="4"/>
        <v>Pass</v>
      </c>
      <c r="H82" s="13" t="str">
        <f t="shared" si="5"/>
        <v>Pass</v>
      </c>
      <c r="I82" s="3" t="str">
        <f t="shared" si="6"/>
        <v>svcdiag8code</v>
      </c>
      <c r="J82" s="3" t="str">
        <f t="shared" si="7"/>
        <v>svcdiag8code</v>
      </c>
    </row>
    <row r="83" spans="2:10">
      <c r="B83" s="1" t="s">
        <v>155</v>
      </c>
      <c r="C83" s="18" t="s">
        <v>399</v>
      </c>
      <c r="D83" s="12">
        <v>100</v>
      </c>
      <c r="E83" s="1" t="s">
        <v>155</v>
      </c>
      <c r="F83" s="12">
        <v>60</v>
      </c>
      <c r="G83" s="12" t="str">
        <f t="shared" si="4"/>
        <v>Pass</v>
      </c>
      <c r="H83" s="13" t="str">
        <f t="shared" si="5"/>
        <v>Pass</v>
      </c>
      <c r="I83" s="3" t="str">
        <f t="shared" si="6"/>
        <v>svcdiag8desc</v>
      </c>
      <c r="J83" s="3" t="str">
        <f t="shared" si="7"/>
        <v>svcdiag8desc</v>
      </c>
    </row>
    <row r="84" spans="2:10">
      <c r="B84" s="1" t="s">
        <v>156</v>
      </c>
      <c r="C84" s="18" t="s">
        <v>399</v>
      </c>
      <c r="D84" s="12">
        <v>30</v>
      </c>
      <c r="E84" s="1" t="s">
        <v>156</v>
      </c>
      <c r="F84" s="12">
        <v>8</v>
      </c>
      <c r="G84" s="12" t="str">
        <f t="shared" si="4"/>
        <v>Pass</v>
      </c>
      <c r="H84" s="13" t="str">
        <f t="shared" si="5"/>
        <v>Pass</v>
      </c>
      <c r="I84" s="3" t="str">
        <f t="shared" si="6"/>
        <v>svcdiag9code</v>
      </c>
      <c r="J84" s="3" t="str">
        <f t="shared" si="7"/>
        <v>svcdiag9code</v>
      </c>
    </row>
    <row r="85" spans="2:10">
      <c r="B85" s="1" t="s">
        <v>157</v>
      </c>
      <c r="C85" s="18" t="s">
        <v>399</v>
      </c>
      <c r="D85" s="12">
        <v>100</v>
      </c>
      <c r="E85" s="1" t="s">
        <v>157</v>
      </c>
      <c r="F85" s="12">
        <v>60</v>
      </c>
      <c r="G85" s="12" t="str">
        <f t="shared" si="4"/>
        <v>Pass</v>
      </c>
      <c r="H85" s="13" t="str">
        <f t="shared" si="5"/>
        <v>Pass</v>
      </c>
      <c r="I85" s="3" t="str">
        <f t="shared" si="6"/>
        <v>svcdiag9desc</v>
      </c>
      <c r="J85" s="3" t="str">
        <f t="shared" si="7"/>
        <v>svcdiag9desc</v>
      </c>
    </row>
    <row r="86" spans="2:10">
      <c r="B86" s="1" t="s">
        <v>158</v>
      </c>
      <c r="C86" s="18" t="s">
        <v>399</v>
      </c>
      <c r="D86" s="12">
        <v>10</v>
      </c>
      <c r="E86" s="1" t="s">
        <v>158</v>
      </c>
      <c r="F86" s="12">
        <v>8</v>
      </c>
      <c r="G86" s="12" t="str">
        <f t="shared" si="4"/>
        <v>Pass</v>
      </c>
      <c r="H86" s="13" t="str">
        <f t="shared" si="5"/>
        <v>Pass</v>
      </c>
      <c r="I86" s="3" t="str">
        <f t="shared" si="6"/>
        <v>svcproceduretype</v>
      </c>
      <c r="J86" s="3" t="str">
        <f t="shared" si="7"/>
        <v>svcproceduretype</v>
      </c>
    </row>
    <row r="87" spans="2:10">
      <c r="B87" s="1" t="s">
        <v>159</v>
      </c>
      <c r="C87" s="18" t="s">
        <v>399</v>
      </c>
      <c r="D87" s="12">
        <v>10</v>
      </c>
      <c r="E87" s="1" t="s">
        <v>159</v>
      </c>
      <c r="F87" s="12">
        <v>5</v>
      </c>
      <c r="G87" s="12" t="str">
        <f t="shared" si="4"/>
        <v>Pass</v>
      </c>
      <c r="H87" s="13" t="str">
        <f t="shared" si="5"/>
        <v>Pass</v>
      </c>
      <c r="I87" s="3" t="str">
        <f t="shared" si="6"/>
        <v>svcprocedurecode</v>
      </c>
      <c r="J87" s="3" t="str">
        <f t="shared" si="7"/>
        <v>svcprocedurecode</v>
      </c>
    </row>
    <row r="88" spans="2:10">
      <c r="B88" s="1" t="s">
        <v>160</v>
      </c>
      <c r="C88" s="18" t="s">
        <v>399</v>
      </c>
      <c r="D88" s="12">
        <v>200</v>
      </c>
      <c r="E88" s="1" t="s">
        <v>160</v>
      </c>
      <c r="F88" s="12">
        <v>200</v>
      </c>
      <c r="G88" s="12" t="str">
        <f t="shared" si="4"/>
        <v>Pass</v>
      </c>
      <c r="H88" s="13" t="str">
        <f t="shared" si="5"/>
        <v>Pass</v>
      </c>
      <c r="I88" s="3" t="str">
        <f t="shared" si="6"/>
        <v>svcproceduredesc</v>
      </c>
      <c r="J88" s="3" t="str">
        <f t="shared" si="7"/>
        <v>svcproceduredesc</v>
      </c>
    </row>
    <row r="89" spans="2:10">
      <c r="B89" s="1" t="s">
        <v>161</v>
      </c>
      <c r="C89" s="18" t="s">
        <v>399</v>
      </c>
      <c r="D89" s="12">
        <v>5</v>
      </c>
      <c r="E89" s="1" t="s">
        <v>161</v>
      </c>
      <c r="F89" s="12">
        <v>4</v>
      </c>
      <c r="G89" s="12" t="str">
        <f t="shared" si="4"/>
        <v>Pass</v>
      </c>
      <c r="H89" s="13" t="str">
        <f t="shared" si="5"/>
        <v>Pass</v>
      </c>
      <c r="I89" s="3" t="str">
        <f t="shared" si="6"/>
        <v>svcrevcode</v>
      </c>
      <c r="J89" s="3" t="str">
        <f t="shared" si="7"/>
        <v>svcrevcode</v>
      </c>
    </row>
    <row r="90" spans="2:10">
      <c r="B90" s="1" t="s">
        <v>162</v>
      </c>
      <c r="C90" s="18" t="s">
        <v>399</v>
      </c>
      <c r="D90" s="12">
        <v>100</v>
      </c>
      <c r="E90" s="1" t="s">
        <v>162</v>
      </c>
      <c r="F90" s="12">
        <v>60</v>
      </c>
      <c r="G90" s="12" t="str">
        <f t="shared" si="4"/>
        <v>Pass</v>
      </c>
      <c r="H90" s="13" t="str">
        <f t="shared" si="5"/>
        <v>Pass</v>
      </c>
      <c r="I90" s="3" t="str">
        <f t="shared" si="6"/>
        <v>svcrevdesc</v>
      </c>
      <c r="J90" s="3" t="str">
        <f t="shared" si="7"/>
        <v>svcrevdesc</v>
      </c>
    </row>
    <row r="91" spans="2:10">
      <c r="B91" s="1" t="s">
        <v>163</v>
      </c>
      <c r="C91" s="18" t="s">
        <v>399</v>
      </c>
      <c r="D91" s="12">
        <v>5</v>
      </c>
      <c r="E91" s="1" t="s">
        <v>163</v>
      </c>
      <c r="F91" s="12">
        <v>5</v>
      </c>
      <c r="G91" s="12" t="str">
        <f t="shared" si="4"/>
        <v>Pass</v>
      </c>
      <c r="H91" s="13" t="str">
        <f t="shared" si="5"/>
        <v>Pass</v>
      </c>
      <c r="I91" s="3" t="str">
        <f t="shared" si="6"/>
        <v>svccptcode</v>
      </c>
      <c r="J91" s="3" t="str">
        <f t="shared" si="7"/>
        <v>svccptcode</v>
      </c>
    </row>
    <row r="92" spans="2:10">
      <c r="B92" s="1" t="s">
        <v>164</v>
      </c>
      <c r="C92" s="18" t="s">
        <v>399</v>
      </c>
      <c r="D92" s="12">
        <v>100</v>
      </c>
      <c r="E92" s="1" t="s">
        <v>164</v>
      </c>
      <c r="F92" s="12">
        <v>28</v>
      </c>
      <c r="G92" s="12" t="str">
        <f t="shared" si="4"/>
        <v>Pass</v>
      </c>
      <c r="H92" s="13" t="str">
        <f t="shared" si="5"/>
        <v>Pass</v>
      </c>
      <c r="I92" s="3" t="str">
        <f t="shared" si="6"/>
        <v>svccptdesc</v>
      </c>
      <c r="J92" s="3" t="str">
        <f t="shared" si="7"/>
        <v>svccptdesc</v>
      </c>
    </row>
    <row r="93" spans="2:10">
      <c r="B93" s="1" t="s">
        <v>165</v>
      </c>
      <c r="C93" s="18" t="s">
        <v>399</v>
      </c>
      <c r="D93" s="12">
        <v>10</v>
      </c>
      <c r="E93" s="1" t="s">
        <v>165</v>
      </c>
      <c r="F93" s="12">
        <v>7</v>
      </c>
      <c r="G93" s="12" t="str">
        <f t="shared" si="4"/>
        <v>Pass</v>
      </c>
      <c r="H93" s="13" t="str">
        <f t="shared" si="5"/>
        <v>Pass</v>
      </c>
      <c r="I93" s="3" t="str">
        <f t="shared" si="6"/>
        <v>svcicdproc1code</v>
      </c>
      <c r="J93" s="3" t="str">
        <f t="shared" si="7"/>
        <v>svcicdproc1code</v>
      </c>
    </row>
    <row r="94" spans="2:10">
      <c r="B94" s="1" t="s">
        <v>166</v>
      </c>
      <c r="C94" s="18" t="s">
        <v>399</v>
      </c>
      <c r="D94" s="12">
        <v>100</v>
      </c>
      <c r="E94" s="1" t="s">
        <v>166</v>
      </c>
      <c r="F94" s="12">
        <v>24</v>
      </c>
      <c r="G94" s="12" t="str">
        <f t="shared" si="4"/>
        <v>Pass</v>
      </c>
      <c r="H94" s="13" t="str">
        <f t="shared" si="5"/>
        <v>Pass</v>
      </c>
      <c r="I94" s="3" t="str">
        <f t="shared" si="6"/>
        <v>svcicdproc1desc</v>
      </c>
      <c r="J94" s="3" t="str">
        <f t="shared" si="7"/>
        <v>svcicdproc1desc</v>
      </c>
    </row>
    <row r="95" spans="2:10">
      <c r="B95" s="1" t="s">
        <v>167</v>
      </c>
      <c r="C95" s="18" t="s">
        <v>399</v>
      </c>
      <c r="D95" s="12">
        <v>7</v>
      </c>
      <c r="E95" s="1" t="s">
        <v>167</v>
      </c>
      <c r="F95" s="12">
        <v>7</v>
      </c>
      <c r="G95" s="12" t="str">
        <f t="shared" si="4"/>
        <v>Pass</v>
      </c>
      <c r="H95" s="13" t="str">
        <f t="shared" si="5"/>
        <v>Pass</v>
      </c>
      <c r="I95" s="3" t="str">
        <f t="shared" si="6"/>
        <v>svcicdproc2code</v>
      </c>
      <c r="J95" s="3" t="str">
        <f t="shared" si="7"/>
        <v>svcicdproc2code</v>
      </c>
    </row>
    <row r="96" spans="2:10">
      <c r="B96" s="1" t="s">
        <v>168</v>
      </c>
      <c r="C96" s="18" t="s">
        <v>399</v>
      </c>
      <c r="D96" s="12">
        <v>100</v>
      </c>
      <c r="E96" s="1" t="s">
        <v>168</v>
      </c>
      <c r="F96" s="12">
        <v>24</v>
      </c>
      <c r="G96" s="12" t="str">
        <f t="shared" si="4"/>
        <v>Pass</v>
      </c>
      <c r="H96" s="13" t="str">
        <f t="shared" si="5"/>
        <v>Pass</v>
      </c>
      <c r="I96" s="3" t="str">
        <f t="shared" si="6"/>
        <v>svcicdproc2desc</v>
      </c>
      <c r="J96" s="3" t="str">
        <f t="shared" si="7"/>
        <v>svcicdproc2desc</v>
      </c>
    </row>
    <row r="97" spans="2:10">
      <c r="B97" s="1" t="s">
        <v>169</v>
      </c>
      <c r="C97" s="18" t="s">
        <v>399</v>
      </c>
      <c r="D97" s="12">
        <v>10</v>
      </c>
      <c r="E97" s="1" t="s">
        <v>169</v>
      </c>
      <c r="F97" s="12">
        <v>0</v>
      </c>
      <c r="G97" s="12" t="str">
        <f t="shared" si="4"/>
        <v>Pass</v>
      </c>
      <c r="H97" s="13" t="str">
        <f t="shared" si="5"/>
        <v>Pass</v>
      </c>
      <c r="I97" s="3" t="str">
        <f t="shared" si="6"/>
        <v>svcdrgtypecode</v>
      </c>
      <c r="J97" s="3" t="str">
        <f t="shared" si="7"/>
        <v>svcdrgtypecode</v>
      </c>
    </row>
    <row r="98" spans="2:10">
      <c r="B98" s="1" t="s">
        <v>170</v>
      </c>
      <c r="C98" s="18" t="s">
        <v>399</v>
      </c>
      <c r="D98" s="12">
        <v>100</v>
      </c>
      <c r="E98" s="1" t="s">
        <v>170</v>
      </c>
      <c r="F98" s="12">
        <v>0</v>
      </c>
      <c r="G98" s="12" t="str">
        <f t="shared" si="4"/>
        <v>Pass</v>
      </c>
      <c r="H98" s="13" t="str">
        <f t="shared" si="5"/>
        <v>Pass</v>
      </c>
      <c r="I98" s="3" t="str">
        <f t="shared" si="6"/>
        <v>svcdrgtypeDesc</v>
      </c>
      <c r="J98" s="3" t="str">
        <f t="shared" si="7"/>
        <v>svcdrgtypeDesc</v>
      </c>
    </row>
    <row r="99" spans="2:10">
      <c r="B99" s="1" t="s">
        <v>171</v>
      </c>
      <c r="C99" s="18" t="s">
        <v>399</v>
      </c>
      <c r="D99" s="12">
        <v>7</v>
      </c>
      <c r="E99" s="1" t="s">
        <v>171</v>
      </c>
      <c r="F99" s="12">
        <v>3</v>
      </c>
      <c r="G99" s="12" t="str">
        <f t="shared" si="4"/>
        <v>Pass</v>
      </c>
      <c r="H99" s="13" t="str">
        <f t="shared" si="5"/>
        <v>Pass</v>
      </c>
      <c r="I99" s="3" t="str">
        <f t="shared" si="6"/>
        <v>svcdrgcode</v>
      </c>
      <c r="J99" s="3" t="str">
        <f t="shared" si="7"/>
        <v>svcdrgcode</v>
      </c>
    </row>
    <row r="100" spans="2:10">
      <c r="B100" s="1" t="s">
        <v>172</v>
      </c>
      <c r="C100" s="18" t="s">
        <v>399</v>
      </c>
      <c r="D100" s="12">
        <v>100</v>
      </c>
      <c r="E100" s="1" t="s">
        <v>172</v>
      </c>
      <c r="F100" s="12">
        <v>67</v>
      </c>
      <c r="G100" s="12" t="str">
        <f t="shared" si="4"/>
        <v>Pass</v>
      </c>
      <c r="H100" s="13" t="str">
        <f t="shared" si="5"/>
        <v>Pass</v>
      </c>
      <c r="I100" s="3" t="str">
        <f t="shared" si="6"/>
        <v>svcdrgdesc</v>
      </c>
      <c r="J100" s="3" t="str">
        <f t="shared" si="7"/>
        <v>svcdrgdesc</v>
      </c>
    </row>
    <row r="101" spans="2:10">
      <c r="B101" s="1" t="s">
        <v>173</v>
      </c>
      <c r="C101" s="18" t="s">
        <v>399</v>
      </c>
      <c r="D101" s="12">
        <v>5</v>
      </c>
      <c r="E101" s="1" t="s">
        <v>173</v>
      </c>
      <c r="F101" s="12">
        <v>5</v>
      </c>
      <c r="G101" s="12" t="str">
        <f t="shared" si="4"/>
        <v>Pass</v>
      </c>
      <c r="H101" s="13" t="str">
        <f t="shared" si="5"/>
        <v>Pass</v>
      </c>
      <c r="I101" s="3" t="str">
        <f t="shared" si="6"/>
        <v>svchcpcscode</v>
      </c>
      <c r="J101" s="3" t="str">
        <f t="shared" si="7"/>
        <v>svchcpcscode</v>
      </c>
    </row>
    <row r="102" spans="2:10">
      <c r="B102" s="1" t="s">
        <v>174</v>
      </c>
      <c r="C102" s="18" t="s">
        <v>399</v>
      </c>
      <c r="D102" s="12">
        <v>200</v>
      </c>
      <c r="E102" s="1" t="s">
        <v>174</v>
      </c>
      <c r="F102" s="12">
        <v>200</v>
      </c>
      <c r="G102" s="12" t="str">
        <f t="shared" si="4"/>
        <v>Pass</v>
      </c>
      <c r="H102" s="13" t="str">
        <f t="shared" si="5"/>
        <v>Pass</v>
      </c>
      <c r="I102" s="3" t="str">
        <f t="shared" si="6"/>
        <v>svchcpcsdesc</v>
      </c>
      <c r="J102" s="3" t="str">
        <f t="shared" si="7"/>
        <v>svchcpcsdesc</v>
      </c>
    </row>
    <row r="103" spans="2:10">
      <c r="B103" s="1" t="s">
        <v>175</v>
      </c>
      <c r="C103" s="18" t="s">
        <v>399</v>
      </c>
      <c r="D103" s="12">
        <v>8</v>
      </c>
      <c r="E103" s="1" t="s">
        <v>175</v>
      </c>
      <c r="F103" s="12">
        <v>2</v>
      </c>
      <c r="G103" s="12" t="str">
        <f t="shared" si="4"/>
        <v>Pass</v>
      </c>
      <c r="H103" s="13" t="str">
        <f t="shared" si="5"/>
        <v>Pass</v>
      </c>
      <c r="I103" s="3" t="str">
        <f t="shared" si="6"/>
        <v>svcmodifiercode</v>
      </c>
      <c r="J103" s="3" t="str">
        <f t="shared" si="7"/>
        <v>svcmodifiercode</v>
      </c>
    </row>
    <row r="104" spans="2:10">
      <c r="B104" s="1" t="s">
        <v>176</v>
      </c>
      <c r="C104" s="18" t="s">
        <v>399</v>
      </c>
      <c r="D104" s="12">
        <v>100</v>
      </c>
      <c r="E104" s="1" t="s">
        <v>176</v>
      </c>
      <c r="F104" s="12">
        <v>2</v>
      </c>
      <c r="G104" s="12" t="str">
        <f t="shared" si="4"/>
        <v>Pass</v>
      </c>
      <c r="H104" s="13" t="str">
        <f t="shared" si="5"/>
        <v>Pass</v>
      </c>
      <c r="I104" s="3" t="str">
        <f t="shared" si="6"/>
        <v>svcmodifierdesc</v>
      </c>
      <c r="J104" s="3" t="str">
        <f t="shared" si="7"/>
        <v>svcmodifierdesc</v>
      </c>
    </row>
    <row r="105" spans="2:10">
      <c r="B105" s="1" t="s">
        <v>177</v>
      </c>
      <c r="C105" s="18" t="s">
        <v>399</v>
      </c>
      <c r="D105" s="12">
        <v>8</v>
      </c>
      <c r="E105" s="1" t="s">
        <v>177</v>
      </c>
      <c r="F105" s="12">
        <v>2</v>
      </c>
      <c r="G105" s="12" t="str">
        <f t="shared" si="4"/>
        <v>Pass</v>
      </c>
      <c r="H105" s="13" t="str">
        <f t="shared" si="5"/>
        <v>Pass</v>
      </c>
      <c r="I105" s="3" t="str">
        <f t="shared" si="6"/>
        <v>svcmodifier2code</v>
      </c>
      <c r="J105" s="3" t="str">
        <f t="shared" si="7"/>
        <v>svcmodifier2code</v>
      </c>
    </row>
    <row r="106" spans="2:10">
      <c r="B106" s="1" t="s">
        <v>178</v>
      </c>
      <c r="C106" s="18" t="s">
        <v>399</v>
      </c>
      <c r="D106" s="12">
        <v>100</v>
      </c>
      <c r="E106" s="1" t="s">
        <v>178</v>
      </c>
      <c r="F106" s="12">
        <v>2</v>
      </c>
      <c r="G106" s="12" t="str">
        <f t="shared" si="4"/>
        <v>Pass</v>
      </c>
      <c r="H106" s="13" t="str">
        <f t="shared" si="5"/>
        <v>Pass</v>
      </c>
      <c r="I106" s="3" t="str">
        <f t="shared" si="6"/>
        <v>svcmodifier2desc</v>
      </c>
      <c r="J106" s="3" t="str">
        <f t="shared" si="7"/>
        <v>svcmodifier2desc</v>
      </c>
    </row>
    <row r="107" spans="2:10">
      <c r="B107" s="1" t="s">
        <v>179</v>
      </c>
      <c r="C107" s="18" t="s">
        <v>399</v>
      </c>
      <c r="D107" s="12">
        <v>8</v>
      </c>
      <c r="E107" s="1" t="s">
        <v>179</v>
      </c>
      <c r="F107" s="12">
        <v>2</v>
      </c>
      <c r="G107" s="12" t="str">
        <f t="shared" si="4"/>
        <v>Pass</v>
      </c>
      <c r="H107" s="13" t="str">
        <f t="shared" si="5"/>
        <v>Pass</v>
      </c>
      <c r="I107" s="3" t="str">
        <f t="shared" si="6"/>
        <v>svcmodifier3code</v>
      </c>
      <c r="J107" s="3" t="str">
        <f t="shared" si="7"/>
        <v>svcmodifier3code</v>
      </c>
    </row>
    <row r="108" spans="2:10">
      <c r="B108" s="1" t="s">
        <v>180</v>
      </c>
      <c r="C108" s="18" t="s">
        <v>399</v>
      </c>
      <c r="D108" s="12">
        <v>100</v>
      </c>
      <c r="E108" s="1" t="s">
        <v>180</v>
      </c>
      <c r="F108" s="12">
        <v>2</v>
      </c>
      <c r="G108" s="12" t="str">
        <f t="shared" si="4"/>
        <v>Pass</v>
      </c>
      <c r="H108" s="13" t="str">
        <f t="shared" si="5"/>
        <v>Pass</v>
      </c>
      <c r="I108" s="3" t="str">
        <f t="shared" si="6"/>
        <v>svcmodifier3desc</v>
      </c>
      <c r="J108" s="3" t="str">
        <f t="shared" si="7"/>
        <v>svcmodifier3desc</v>
      </c>
    </row>
    <row r="109" spans="2:10">
      <c r="B109" s="1" t="s">
        <v>181</v>
      </c>
      <c r="C109" s="18" t="s">
        <v>399</v>
      </c>
      <c r="D109" s="12">
        <v>5</v>
      </c>
      <c r="E109" s="34" t="s">
        <v>181</v>
      </c>
      <c r="F109" s="12">
        <v>2</v>
      </c>
      <c r="G109" s="12" t="str">
        <f t="shared" si="4"/>
        <v>Pass</v>
      </c>
      <c r="H109" s="13" t="str">
        <f t="shared" si="5"/>
        <v>Pass</v>
      </c>
      <c r="I109" s="3" t="str">
        <f t="shared" si="6"/>
        <v>svctoscode</v>
      </c>
      <c r="J109" s="3" t="str">
        <f t="shared" si="7"/>
        <v>svctoscode</v>
      </c>
    </row>
    <row r="110" spans="2:10">
      <c r="B110" s="1" t="s">
        <v>182</v>
      </c>
      <c r="C110" s="18" t="s">
        <v>399</v>
      </c>
      <c r="D110" s="12">
        <v>100</v>
      </c>
      <c r="E110" s="1" t="s">
        <v>182</v>
      </c>
      <c r="F110" s="12">
        <v>26</v>
      </c>
      <c r="G110" s="12" t="str">
        <f t="shared" si="4"/>
        <v>Pass</v>
      </c>
      <c r="H110" s="13" t="str">
        <f t="shared" si="5"/>
        <v>Pass</v>
      </c>
      <c r="I110" s="3" t="str">
        <f t="shared" si="6"/>
        <v>svctosdesc</v>
      </c>
      <c r="J110" s="3" t="str">
        <f t="shared" si="7"/>
        <v>svctosdesc</v>
      </c>
    </row>
    <row r="111" spans="2:10">
      <c r="B111" s="1" t="s">
        <v>183</v>
      </c>
      <c r="C111" s="18" t="s">
        <v>399</v>
      </c>
      <c r="D111" s="12">
        <v>20</v>
      </c>
      <c r="E111" s="1" t="s">
        <v>183</v>
      </c>
      <c r="F111" s="12">
        <v>2</v>
      </c>
      <c r="G111" s="12" t="str">
        <f t="shared" si="4"/>
        <v>Pass</v>
      </c>
      <c r="H111" s="13" t="str">
        <f t="shared" si="5"/>
        <v>Pass</v>
      </c>
      <c r="I111" s="3" t="str">
        <f t="shared" si="6"/>
        <v>svcdischargecode</v>
      </c>
      <c r="J111" s="3" t="str">
        <f t="shared" si="7"/>
        <v>svcdischargecode</v>
      </c>
    </row>
    <row r="112" spans="2:10">
      <c r="B112" s="32" t="s">
        <v>184</v>
      </c>
      <c r="C112" s="18" t="s">
        <v>399</v>
      </c>
      <c r="D112" s="12">
        <v>200</v>
      </c>
      <c r="E112" s="32" t="s">
        <v>184</v>
      </c>
      <c r="F112" s="12">
        <v>119</v>
      </c>
      <c r="G112" s="12" t="str">
        <f t="shared" si="4"/>
        <v>Pass</v>
      </c>
      <c r="H112" s="13" t="str">
        <f t="shared" si="5"/>
        <v>Pass</v>
      </c>
      <c r="I112" s="3" t="str">
        <f t="shared" si="6"/>
        <v>svcdischargedesc</v>
      </c>
      <c r="J112" s="3" t="str">
        <f t="shared" si="7"/>
        <v>svcdischargedesc</v>
      </c>
    </row>
    <row r="113" spans="2:10">
      <c r="B113" s="1" t="s">
        <v>185</v>
      </c>
      <c r="C113" s="18" t="s">
        <v>398</v>
      </c>
      <c r="D113" s="12"/>
      <c r="E113" s="1" t="s">
        <v>185</v>
      </c>
      <c r="F113" s="12">
        <v>4</v>
      </c>
      <c r="G113" s="12" t="str">
        <f t="shared" si="4"/>
        <v>Pass</v>
      </c>
      <c r="H113" s="13" t="str">
        <f t="shared" si="5"/>
        <v>Pass</v>
      </c>
      <c r="I113" s="3" t="str">
        <f t="shared" si="6"/>
        <v>svcserviceqty</v>
      </c>
      <c r="J113" s="3" t="str">
        <f t="shared" si="7"/>
        <v>svcserviceqty</v>
      </c>
    </row>
    <row r="114" spans="2:10">
      <c r="B114" s="1" t="s">
        <v>186</v>
      </c>
      <c r="C114" s="18" t="s">
        <v>398</v>
      </c>
      <c r="D114" s="12"/>
      <c r="E114" s="1" t="s">
        <v>186</v>
      </c>
      <c r="F114" s="12">
        <v>1</v>
      </c>
      <c r="G114" s="12" t="str">
        <f t="shared" si="4"/>
        <v>Pass</v>
      </c>
      <c r="H114" s="13" t="str">
        <f t="shared" si="5"/>
        <v>Pass</v>
      </c>
      <c r="I114" s="3" t="str">
        <f t="shared" si="6"/>
        <v>svcipdays</v>
      </c>
      <c r="J114" s="3" t="str">
        <f t="shared" si="7"/>
        <v>svcipdays</v>
      </c>
    </row>
    <row r="115" spans="2:10">
      <c r="B115" s="1" t="s">
        <v>187</v>
      </c>
      <c r="C115" s="18" t="s">
        <v>398</v>
      </c>
      <c r="D115" s="12"/>
      <c r="E115" s="1" t="s">
        <v>187</v>
      </c>
      <c r="F115" s="12">
        <v>1</v>
      </c>
      <c r="G115" s="12" t="str">
        <f t="shared" si="4"/>
        <v>Pass</v>
      </c>
      <c r="H115" s="13" t="str">
        <f t="shared" si="5"/>
        <v>Pass</v>
      </c>
      <c r="I115" s="3" t="str">
        <f t="shared" si="6"/>
        <v>svccovereddays</v>
      </c>
      <c r="J115" s="3" t="str">
        <f t="shared" si="7"/>
        <v>svccovereddays</v>
      </c>
    </row>
    <row r="116" spans="2:10">
      <c r="B116" s="1" t="s">
        <v>188</v>
      </c>
      <c r="C116" s="18" t="s">
        <v>399</v>
      </c>
      <c r="D116" s="12">
        <v>6</v>
      </c>
      <c r="E116" s="1" t="s">
        <v>188</v>
      </c>
      <c r="F116" s="12">
        <v>0</v>
      </c>
      <c r="G116" s="12" t="str">
        <f t="shared" si="4"/>
        <v>Pass</v>
      </c>
      <c r="H116" s="13" t="str">
        <f t="shared" si="5"/>
        <v>Pass</v>
      </c>
      <c r="I116" s="3" t="str">
        <f t="shared" si="6"/>
        <v>svcadmittype</v>
      </c>
      <c r="J116" s="3" t="str">
        <f t="shared" si="7"/>
        <v>svcadmittype</v>
      </c>
    </row>
    <row r="117" spans="2:10">
      <c r="B117" s="1" t="s">
        <v>189</v>
      </c>
      <c r="C117" s="18" t="s">
        <v>400</v>
      </c>
      <c r="D117" s="12"/>
      <c r="E117" s="1" t="s">
        <v>189</v>
      </c>
      <c r="F117" s="12">
        <v>10</v>
      </c>
      <c r="G117" s="12" t="str">
        <f t="shared" si="4"/>
        <v>Pass</v>
      </c>
      <c r="H117" s="13" t="str">
        <f t="shared" si="5"/>
        <v>Pass</v>
      </c>
      <c r="I117" s="3" t="str">
        <f t="shared" si="6"/>
        <v>svcservicefrmdate</v>
      </c>
      <c r="J117" s="3" t="str">
        <f t="shared" si="7"/>
        <v>svcservicefrmdate</v>
      </c>
    </row>
    <row r="118" spans="2:10">
      <c r="B118" s="1" t="s">
        <v>190</v>
      </c>
      <c r="C118" s="18" t="s">
        <v>400</v>
      </c>
      <c r="D118" s="12"/>
      <c r="E118" s="1" t="s">
        <v>190</v>
      </c>
      <c r="F118" s="12">
        <v>10</v>
      </c>
      <c r="G118" s="12" t="str">
        <f t="shared" si="4"/>
        <v>Pass</v>
      </c>
      <c r="H118" s="13" t="str">
        <f t="shared" si="5"/>
        <v>Pass</v>
      </c>
      <c r="I118" s="3" t="str">
        <f t="shared" si="6"/>
        <v>svcservicetodate</v>
      </c>
      <c r="J118" s="3" t="str">
        <f t="shared" si="7"/>
        <v>svcservicetodate</v>
      </c>
    </row>
    <row r="119" spans="2:10">
      <c r="B119" s="1" t="s">
        <v>191</v>
      </c>
      <c r="C119" s="18" t="s">
        <v>400</v>
      </c>
      <c r="D119" s="12"/>
      <c r="E119" s="1" t="s">
        <v>191</v>
      </c>
      <c r="F119" s="12">
        <v>0</v>
      </c>
      <c r="G119" s="12" t="str">
        <f t="shared" si="4"/>
        <v>Pass</v>
      </c>
      <c r="H119" s="13" t="str">
        <f t="shared" si="5"/>
        <v>Pass</v>
      </c>
      <c r="I119" s="3" t="str">
        <f t="shared" si="6"/>
        <v>revadjudicationdate</v>
      </c>
      <c r="J119" s="3" t="str">
        <f t="shared" si="7"/>
        <v>revadjudicationdate</v>
      </c>
    </row>
    <row r="120" spans="2:10">
      <c r="B120" s="1" t="s">
        <v>192</v>
      </c>
      <c r="C120" s="18" t="s">
        <v>400</v>
      </c>
      <c r="D120" s="12"/>
      <c r="E120" s="1" t="s">
        <v>192</v>
      </c>
      <c r="F120" s="12">
        <v>10</v>
      </c>
      <c r="G120" s="12" t="str">
        <f t="shared" si="4"/>
        <v>Pass</v>
      </c>
      <c r="H120" s="13" t="str">
        <f t="shared" si="5"/>
        <v>Pass</v>
      </c>
      <c r="I120" s="3" t="str">
        <f t="shared" si="6"/>
        <v>revpaiddate</v>
      </c>
      <c r="J120" s="3" t="str">
        <f t="shared" si="7"/>
        <v>revpaiddate</v>
      </c>
    </row>
    <row r="121" spans="2:10">
      <c r="B121" s="1" t="s">
        <v>193</v>
      </c>
      <c r="C121" s="18" t="s">
        <v>399</v>
      </c>
      <c r="D121" s="12">
        <v>10</v>
      </c>
      <c r="E121" s="1" t="s">
        <v>193</v>
      </c>
      <c r="F121" s="12">
        <v>3</v>
      </c>
      <c r="G121" s="12" t="str">
        <f t="shared" si="4"/>
        <v>Pass</v>
      </c>
      <c r="H121" s="13" t="str">
        <f t="shared" si="5"/>
        <v>Pass</v>
      </c>
      <c r="I121" s="3" t="str">
        <f t="shared" si="6"/>
        <v>svcbenefitcode</v>
      </c>
      <c r="J121" s="3" t="str">
        <f t="shared" si="7"/>
        <v>svcbenefitcode</v>
      </c>
    </row>
    <row r="122" spans="2:10">
      <c r="B122" s="1" t="s">
        <v>194</v>
      </c>
      <c r="C122" s="18" t="s">
        <v>399</v>
      </c>
      <c r="D122" s="12">
        <v>100</v>
      </c>
      <c r="E122" s="1" t="s">
        <v>194</v>
      </c>
      <c r="F122" s="12">
        <v>3</v>
      </c>
      <c r="G122" s="12" t="str">
        <f t="shared" si="4"/>
        <v>Pass</v>
      </c>
      <c r="H122" s="13" t="str">
        <f t="shared" si="5"/>
        <v>Pass</v>
      </c>
      <c r="I122" s="3" t="str">
        <f t="shared" si="6"/>
        <v>svcbenefitdesc</v>
      </c>
      <c r="J122" s="3" t="str">
        <f t="shared" si="7"/>
        <v>svcbenefitdesc</v>
      </c>
    </row>
    <row r="123" spans="2:10">
      <c r="B123" s="1" t="s">
        <v>195</v>
      </c>
      <c r="C123" s="18" t="s">
        <v>405</v>
      </c>
      <c r="D123" s="12" t="s">
        <v>456</v>
      </c>
      <c r="E123" s="1" t="s">
        <v>195</v>
      </c>
      <c r="F123" s="12">
        <v>9</v>
      </c>
      <c r="G123" s="12" t="str">
        <f t="shared" si="4"/>
        <v>Pass</v>
      </c>
      <c r="H123" s="13" t="str">
        <f t="shared" si="5"/>
        <v>Pass</v>
      </c>
      <c r="I123" s="3" t="str">
        <f t="shared" si="6"/>
        <v>revallowedamt</v>
      </c>
      <c r="J123" s="3" t="str">
        <f t="shared" si="7"/>
        <v>revallowedamt</v>
      </c>
    </row>
    <row r="124" spans="2:10">
      <c r="B124" s="1" t="s">
        <v>196</v>
      </c>
      <c r="C124" s="18" t="s">
        <v>405</v>
      </c>
      <c r="D124" s="12" t="s">
        <v>456</v>
      </c>
      <c r="E124" s="1" t="s">
        <v>196</v>
      </c>
      <c r="F124" s="12">
        <v>9</v>
      </c>
      <c r="G124" s="12" t="str">
        <f t="shared" si="4"/>
        <v>Pass</v>
      </c>
      <c r="H124" s="13" t="str">
        <f t="shared" si="5"/>
        <v>Pass</v>
      </c>
      <c r="I124" s="3" t="str">
        <f t="shared" si="6"/>
        <v>revbilledamt</v>
      </c>
      <c r="J124" s="3" t="str">
        <f t="shared" si="7"/>
        <v>revbilledamt</v>
      </c>
    </row>
    <row r="125" spans="2:10">
      <c r="B125" s="1" t="s">
        <v>197</v>
      </c>
      <c r="C125" s="18" t="s">
        <v>405</v>
      </c>
      <c r="D125" s="12" t="s">
        <v>456</v>
      </c>
      <c r="E125" s="1" t="s">
        <v>197</v>
      </c>
      <c r="F125" s="12">
        <v>9</v>
      </c>
      <c r="G125" s="12" t="str">
        <f t="shared" si="4"/>
        <v>Pass</v>
      </c>
      <c r="H125" s="13" t="str">
        <f t="shared" si="5"/>
        <v>Pass</v>
      </c>
      <c r="I125" s="3" t="str">
        <f t="shared" si="6"/>
        <v>revcobpaidamt</v>
      </c>
      <c r="J125" s="3" t="str">
        <f t="shared" si="7"/>
        <v>revcobpaidamt</v>
      </c>
    </row>
    <row r="126" spans="2:10">
      <c r="B126" s="1" t="s">
        <v>198</v>
      </c>
      <c r="C126" s="18" t="s">
        <v>405</v>
      </c>
      <c r="D126" s="12" t="s">
        <v>456</v>
      </c>
      <c r="E126" s="1" t="s">
        <v>198</v>
      </c>
      <c r="F126" s="12">
        <v>8</v>
      </c>
      <c r="G126" s="12" t="str">
        <f t="shared" si="4"/>
        <v>Pass</v>
      </c>
      <c r="H126" s="13" t="str">
        <f t="shared" si="5"/>
        <v>Pass</v>
      </c>
      <c r="I126" s="3" t="str">
        <f t="shared" si="6"/>
        <v>revcoinsuranceamt</v>
      </c>
      <c r="J126" s="3" t="str">
        <f t="shared" si="7"/>
        <v>revcoinsuranceamt</v>
      </c>
    </row>
    <row r="127" spans="2:10">
      <c r="B127" s="1" t="s">
        <v>199</v>
      </c>
      <c r="C127" s="18" t="s">
        <v>405</v>
      </c>
      <c r="D127" s="12" t="s">
        <v>457</v>
      </c>
      <c r="E127" s="1" t="s">
        <v>199</v>
      </c>
      <c r="F127" s="12">
        <v>7</v>
      </c>
      <c r="G127" s="12" t="str">
        <f t="shared" si="4"/>
        <v>Pass</v>
      </c>
      <c r="H127" s="13" t="str">
        <f t="shared" si="5"/>
        <v>Pass</v>
      </c>
      <c r="I127" s="3" t="str">
        <f t="shared" si="6"/>
        <v>revcopayamt</v>
      </c>
      <c r="J127" s="3" t="str">
        <f t="shared" si="7"/>
        <v>revcopayamt</v>
      </c>
    </row>
    <row r="128" spans="2:10">
      <c r="B128" s="1" t="s">
        <v>200</v>
      </c>
      <c r="C128" s="18" t="s">
        <v>405</v>
      </c>
      <c r="D128" s="12" t="s">
        <v>456</v>
      </c>
      <c r="E128" s="1" t="s">
        <v>200</v>
      </c>
      <c r="F128" s="12">
        <v>9</v>
      </c>
      <c r="G128" s="12" t="str">
        <f t="shared" si="4"/>
        <v>Pass</v>
      </c>
      <c r="H128" s="13" t="str">
        <f t="shared" si="5"/>
        <v>Pass</v>
      </c>
      <c r="I128" s="3" t="str">
        <f t="shared" si="6"/>
        <v>revcoveragechargeamt</v>
      </c>
      <c r="J128" s="3" t="str">
        <f t="shared" si="7"/>
        <v>revcoveragechargeamt</v>
      </c>
    </row>
    <row r="129" spans="2:10">
      <c r="B129" s="1" t="s">
        <v>201</v>
      </c>
      <c r="C129" s="18" t="s">
        <v>405</v>
      </c>
      <c r="D129" s="12" t="s">
        <v>456</v>
      </c>
      <c r="E129" s="1" t="s">
        <v>201</v>
      </c>
      <c r="F129" s="12">
        <v>8</v>
      </c>
      <c r="G129" s="12" t="str">
        <f t="shared" si="4"/>
        <v>Pass</v>
      </c>
      <c r="H129" s="13" t="str">
        <f t="shared" si="5"/>
        <v>Pass</v>
      </c>
      <c r="I129" s="3" t="str">
        <f t="shared" si="6"/>
        <v>revdeductibleamt</v>
      </c>
      <c r="J129" s="3" t="str">
        <f t="shared" si="7"/>
        <v>revdeductibleamt</v>
      </c>
    </row>
    <row r="130" spans="2:10">
      <c r="B130" s="1" t="s">
        <v>202</v>
      </c>
      <c r="C130" s="18" t="s">
        <v>405</v>
      </c>
      <c r="D130" s="12" t="s">
        <v>298</v>
      </c>
      <c r="E130" s="1" t="s">
        <v>202</v>
      </c>
      <c r="F130" s="12">
        <v>9</v>
      </c>
      <c r="G130" s="12" t="str">
        <f t="shared" si="4"/>
        <v>Pass</v>
      </c>
      <c r="H130" s="13" t="str">
        <f t="shared" si="5"/>
        <v>Pass</v>
      </c>
      <c r="I130" s="3" t="str">
        <f t="shared" si="6"/>
        <v>revnotcoveredamt</v>
      </c>
      <c r="J130" s="3" t="str">
        <f t="shared" si="7"/>
        <v>revnotcoveredamt</v>
      </c>
    </row>
    <row r="131" spans="2:10">
      <c r="B131" s="1" t="s">
        <v>203</v>
      </c>
      <c r="C131" s="18" t="s">
        <v>405</v>
      </c>
      <c r="D131" s="12" t="s">
        <v>456</v>
      </c>
      <c r="E131" s="1" t="s">
        <v>203</v>
      </c>
      <c r="F131" s="12">
        <v>4</v>
      </c>
      <c r="G131" s="12" t="str">
        <f t="shared" ref="G131:G194" si="8">IF(I131=J131,"Pass","Fail")</f>
        <v>Pass</v>
      </c>
      <c r="H131" s="13" t="str">
        <f t="shared" ref="H131:H194" si="9">IF(AND(ISBLANK(D131),F131&gt;=0),"Pass",IF(F131&lt;=D131,"Pass","Fail"))</f>
        <v>Pass</v>
      </c>
      <c r="I131" s="3" t="str">
        <f t="shared" ref="I131:I194" si="10">SUBSTITUTE(B131,"_","")</f>
        <v>revothersavings</v>
      </c>
      <c r="J131" s="3" t="str">
        <f t="shared" ref="J131:J194" si="11">SUBSTITUTE(E131,"_","")</f>
        <v>revothersavings</v>
      </c>
    </row>
    <row r="132" spans="2:10">
      <c r="B132" s="1" t="s">
        <v>204</v>
      </c>
      <c r="C132" s="18" t="s">
        <v>405</v>
      </c>
      <c r="D132" s="12" t="s">
        <v>456</v>
      </c>
      <c r="E132" s="1" t="s">
        <v>204</v>
      </c>
      <c r="F132" s="12">
        <v>4</v>
      </c>
      <c r="G132" s="12" t="str">
        <f t="shared" si="8"/>
        <v>Pass</v>
      </c>
      <c r="H132" s="13" t="str">
        <f t="shared" si="9"/>
        <v>Pass</v>
      </c>
      <c r="I132" s="3" t="str">
        <f t="shared" si="10"/>
        <v>revpposavings</v>
      </c>
      <c r="J132" s="3" t="str">
        <f t="shared" si="11"/>
        <v>revpposavings</v>
      </c>
    </row>
    <row r="133" spans="2:10">
      <c r="B133" s="1" t="s">
        <v>205</v>
      </c>
      <c r="C133" s="18" t="s">
        <v>405</v>
      </c>
      <c r="D133" s="12" t="s">
        <v>456</v>
      </c>
      <c r="E133" s="1" t="s">
        <v>205</v>
      </c>
      <c r="F133" s="12">
        <v>9</v>
      </c>
      <c r="G133" s="12" t="str">
        <f t="shared" si="8"/>
        <v>Pass</v>
      </c>
      <c r="H133" s="13" t="str">
        <f t="shared" si="9"/>
        <v>Pass</v>
      </c>
      <c r="I133" s="3" t="str">
        <f t="shared" si="10"/>
        <v>revpaidamt</v>
      </c>
      <c r="J133" s="3" t="str">
        <f t="shared" si="11"/>
        <v>revpaidamt</v>
      </c>
    </row>
    <row r="134" spans="2:10">
      <c r="B134" s="1" t="s">
        <v>206</v>
      </c>
      <c r="C134" s="18" t="s">
        <v>399</v>
      </c>
      <c r="D134" s="12">
        <v>4</v>
      </c>
      <c r="E134" s="1" t="s">
        <v>206</v>
      </c>
      <c r="F134" s="12">
        <v>0</v>
      </c>
      <c r="G134" s="12" t="str">
        <f t="shared" si="8"/>
        <v>Pass</v>
      </c>
      <c r="H134" s="13" t="str">
        <f t="shared" si="9"/>
        <v>Pass</v>
      </c>
      <c r="I134" s="3" t="str">
        <f t="shared" si="10"/>
        <v>revpaytype</v>
      </c>
      <c r="J134" s="3" t="str">
        <f t="shared" si="11"/>
        <v>revpaytype</v>
      </c>
    </row>
    <row r="135" spans="2:10">
      <c r="B135" s="1" t="s">
        <v>207</v>
      </c>
      <c r="C135" s="18" t="s">
        <v>399</v>
      </c>
      <c r="D135" s="12">
        <v>20</v>
      </c>
      <c r="E135" s="1" t="s">
        <v>207</v>
      </c>
      <c r="F135" s="12">
        <v>0</v>
      </c>
      <c r="G135" s="12" t="str">
        <f t="shared" si="8"/>
        <v>Pass</v>
      </c>
      <c r="H135" s="13" t="str">
        <f t="shared" si="9"/>
        <v>Pass</v>
      </c>
      <c r="I135" s="3" t="str">
        <f t="shared" si="10"/>
        <v>revchecknum</v>
      </c>
      <c r="J135" s="3" t="str">
        <f t="shared" si="11"/>
        <v>revchecknum</v>
      </c>
    </row>
    <row r="136" spans="2:10">
      <c r="B136" s="1" t="s">
        <v>208</v>
      </c>
      <c r="C136" s="18" t="s">
        <v>399</v>
      </c>
      <c r="D136" s="12">
        <v>50</v>
      </c>
      <c r="E136" s="1" t="s">
        <v>208</v>
      </c>
      <c r="F136" s="12">
        <v>0</v>
      </c>
      <c r="G136" s="12" t="str">
        <f t="shared" si="8"/>
        <v>Pass</v>
      </c>
      <c r="H136" s="13" t="str">
        <f t="shared" si="9"/>
        <v>Pass</v>
      </c>
      <c r="I136" s="3" t="str">
        <f t="shared" si="10"/>
        <v>svcpreauthorization</v>
      </c>
      <c r="J136" s="3" t="str">
        <f t="shared" si="11"/>
        <v>svcpreauthorization</v>
      </c>
    </row>
    <row r="137" spans="2:10">
      <c r="B137" s="1" t="s">
        <v>209</v>
      </c>
      <c r="C137" s="18" t="s">
        <v>399</v>
      </c>
      <c r="D137" s="12">
        <v>8</v>
      </c>
      <c r="E137" s="1" t="s">
        <v>209</v>
      </c>
      <c r="F137" s="12">
        <v>0</v>
      </c>
      <c r="G137" s="12" t="str">
        <f t="shared" si="8"/>
        <v>Pass</v>
      </c>
      <c r="H137" s="13" t="str">
        <f t="shared" si="9"/>
        <v>Pass</v>
      </c>
      <c r="I137" s="3" t="str">
        <f t="shared" si="10"/>
        <v>revadjudicationcode</v>
      </c>
      <c r="J137" s="3" t="str">
        <f t="shared" si="11"/>
        <v>revadjudicationcode</v>
      </c>
    </row>
    <row r="138" spans="2:10">
      <c r="B138" s="1" t="s">
        <v>210</v>
      </c>
      <c r="C138" s="18" t="s">
        <v>399</v>
      </c>
      <c r="D138" s="12">
        <v>50</v>
      </c>
      <c r="E138" s="1" t="s">
        <v>210</v>
      </c>
      <c r="F138" s="12">
        <v>0</v>
      </c>
      <c r="G138" s="12" t="str">
        <f t="shared" si="8"/>
        <v>Pass</v>
      </c>
      <c r="H138" s="13" t="str">
        <f t="shared" si="9"/>
        <v>Pass</v>
      </c>
      <c r="I138" s="3" t="str">
        <f t="shared" si="10"/>
        <v>revadjudicationdesc</v>
      </c>
      <c r="J138" s="3" t="str">
        <f t="shared" si="11"/>
        <v>revadjudicationdesc</v>
      </c>
    </row>
    <row r="139" spans="2:10">
      <c r="B139" s="1" t="s">
        <v>406</v>
      </c>
      <c r="C139" s="18" t="s">
        <v>399</v>
      </c>
      <c r="D139" s="12">
        <v>30</v>
      </c>
      <c r="E139" s="1" t="s">
        <v>406</v>
      </c>
      <c r="F139" s="12">
        <v>0</v>
      </c>
      <c r="G139" s="12" t="str">
        <f t="shared" si="8"/>
        <v>Pass</v>
      </c>
      <c r="H139" s="13" t="str">
        <f t="shared" si="9"/>
        <v>Pass</v>
      </c>
      <c r="I139" s="3" t="str">
        <f t="shared" si="10"/>
        <v>mbrmrn</v>
      </c>
      <c r="J139" s="3" t="str">
        <f t="shared" si="11"/>
        <v>mbrmrn</v>
      </c>
    </row>
    <row r="140" spans="2:10">
      <c r="B140" s="1" t="s">
        <v>407</v>
      </c>
      <c r="C140" s="18" t="s">
        <v>399</v>
      </c>
      <c r="D140" s="12">
        <v>11</v>
      </c>
      <c r="E140" s="1" t="s">
        <v>407</v>
      </c>
      <c r="F140" s="12">
        <v>0</v>
      </c>
      <c r="G140" s="12" t="str">
        <f t="shared" si="8"/>
        <v>Pass</v>
      </c>
      <c r="H140" s="13" t="str">
        <f t="shared" si="9"/>
        <v>Pass</v>
      </c>
      <c r="I140" s="3" t="str">
        <f t="shared" si="10"/>
        <v>mbrhicn</v>
      </c>
      <c r="J140" s="3" t="str">
        <f t="shared" si="11"/>
        <v>mbrhicn</v>
      </c>
    </row>
    <row r="141" spans="2:10">
      <c r="B141" s="1" t="s">
        <v>211</v>
      </c>
      <c r="C141" s="18" t="s">
        <v>399</v>
      </c>
      <c r="D141" s="47">
        <v>3</v>
      </c>
      <c r="E141" s="1" t="s">
        <v>211</v>
      </c>
      <c r="F141" s="12">
        <v>3</v>
      </c>
      <c r="G141" s="12" t="str">
        <f t="shared" si="8"/>
        <v>Pass</v>
      </c>
      <c r="H141" s="13" t="str">
        <f t="shared" si="9"/>
        <v>Pass</v>
      </c>
      <c r="I141" s="3" t="str">
        <f t="shared" si="10"/>
        <v>revbilltypecode</v>
      </c>
      <c r="J141" s="3" t="str">
        <f t="shared" si="11"/>
        <v>revbilltypecode</v>
      </c>
    </row>
    <row r="142" spans="2:10">
      <c r="B142" s="1" t="s">
        <v>212</v>
      </c>
      <c r="C142" s="18" t="s">
        <v>399</v>
      </c>
      <c r="D142" s="12">
        <v>100</v>
      </c>
      <c r="E142" s="1" t="s">
        <v>212</v>
      </c>
      <c r="F142" s="12">
        <v>97</v>
      </c>
      <c r="G142" s="12" t="str">
        <f t="shared" si="8"/>
        <v>Pass</v>
      </c>
      <c r="H142" s="13" t="str">
        <f t="shared" si="9"/>
        <v>Pass</v>
      </c>
      <c r="I142" s="3" t="str">
        <f t="shared" si="10"/>
        <v>revbilltypedesc</v>
      </c>
      <c r="J142" s="3" t="str">
        <f t="shared" si="11"/>
        <v>revbilltypedesc</v>
      </c>
    </row>
    <row r="143" spans="2:10">
      <c r="B143" s="1" t="s">
        <v>51</v>
      </c>
      <c r="C143" s="18" t="s">
        <v>399</v>
      </c>
      <c r="D143" s="12">
        <v>100</v>
      </c>
      <c r="E143" s="1" t="s">
        <v>51</v>
      </c>
      <c r="F143" s="12">
        <v>0</v>
      </c>
      <c r="G143" s="12" t="str">
        <f t="shared" si="8"/>
        <v>Pass</v>
      </c>
      <c r="H143" s="13" t="str">
        <f t="shared" si="9"/>
        <v>Pass</v>
      </c>
      <c r="I143" s="3" t="str">
        <f t="shared" si="10"/>
        <v>udf1</v>
      </c>
      <c r="J143" s="3" t="str">
        <f t="shared" si="11"/>
        <v>udf1</v>
      </c>
    </row>
    <row r="144" spans="2:10">
      <c r="B144" s="1" t="s">
        <v>52</v>
      </c>
      <c r="C144" s="18" t="s">
        <v>399</v>
      </c>
      <c r="D144" s="12">
        <v>100</v>
      </c>
      <c r="E144" s="1" t="s">
        <v>52</v>
      </c>
      <c r="F144" s="12">
        <v>0</v>
      </c>
      <c r="G144" s="12" t="str">
        <f t="shared" si="8"/>
        <v>Pass</v>
      </c>
      <c r="H144" s="13" t="str">
        <f t="shared" si="9"/>
        <v>Pass</v>
      </c>
      <c r="I144" s="3" t="str">
        <f t="shared" si="10"/>
        <v>udf2</v>
      </c>
      <c r="J144" s="3" t="str">
        <f t="shared" si="11"/>
        <v>udf2</v>
      </c>
    </row>
    <row r="145" spans="2:10">
      <c r="B145" s="1" t="s">
        <v>53</v>
      </c>
      <c r="C145" s="18" t="s">
        <v>399</v>
      </c>
      <c r="D145" s="12">
        <v>100</v>
      </c>
      <c r="E145" s="1" t="s">
        <v>53</v>
      </c>
      <c r="F145" s="12">
        <v>0</v>
      </c>
      <c r="G145" s="12" t="str">
        <f t="shared" si="8"/>
        <v>Pass</v>
      </c>
      <c r="H145" s="13" t="str">
        <f t="shared" si="9"/>
        <v>Pass</v>
      </c>
      <c r="I145" s="3" t="str">
        <f t="shared" si="10"/>
        <v>udf3</v>
      </c>
      <c r="J145" s="3" t="str">
        <f t="shared" si="11"/>
        <v>udf3</v>
      </c>
    </row>
    <row r="146" spans="2:10">
      <c r="B146" s="1" t="s">
        <v>54</v>
      </c>
      <c r="C146" s="18" t="s">
        <v>399</v>
      </c>
      <c r="D146" s="12">
        <v>100</v>
      </c>
      <c r="E146" s="1" t="s">
        <v>54</v>
      </c>
      <c r="F146" s="12">
        <v>0</v>
      </c>
      <c r="G146" s="12" t="str">
        <f t="shared" si="8"/>
        <v>Pass</v>
      </c>
      <c r="H146" s="13" t="str">
        <f t="shared" si="9"/>
        <v>Pass</v>
      </c>
      <c r="I146" s="3" t="str">
        <f t="shared" si="10"/>
        <v>udf4</v>
      </c>
      <c r="J146" s="3" t="str">
        <f t="shared" si="11"/>
        <v>udf4</v>
      </c>
    </row>
    <row r="147" spans="2:10">
      <c r="B147" s="1" t="s">
        <v>55</v>
      </c>
      <c r="C147" s="18" t="s">
        <v>399</v>
      </c>
      <c r="D147" s="12">
        <v>100</v>
      </c>
      <c r="E147" s="1" t="s">
        <v>55</v>
      </c>
      <c r="F147" s="12">
        <v>0</v>
      </c>
      <c r="G147" s="12" t="str">
        <f t="shared" si="8"/>
        <v>Pass</v>
      </c>
      <c r="H147" s="13" t="str">
        <f t="shared" si="9"/>
        <v>Pass</v>
      </c>
      <c r="I147" s="3" t="str">
        <f t="shared" si="10"/>
        <v>udf5</v>
      </c>
      <c r="J147" s="3" t="str">
        <f t="shared" si="11"/>
        <v>udf5</v>
      </c>
    </row>
    <row r="148" spans="2:10">
      <c r="B148" s="1" t="s">
        <v>56</v>
      </c>
      <c r="C148" s="18" t="s">
        <v>399</v>
      </c>
      <c r="D148" s="12">
        <v>100</v>
      </c>
      <c r="E148" s="1" t="s">
        <v>56</v>
      </c>
      <c r="F148" s="12">
        <v>0</v>
      </c>
      <c r="G148" s="12" t="str">
        <f t="shared" si="8"/>
        <v>Pass</v>
      </c>
      <c r="H148" s="13" t="str">
        <f t="shared" si="9"/>
        <v>Pass</v>
      </c>
      <c r="I148" s="3" t="str">
        <f t="shared" si="10"/>
        <v>udf6</v>
      </c>
      <c r="J148" s="3" t="str">
        <f t="shared" si="11"/>
        <v>udf6</v>
      </c>
    </row>
    <row r="149" spans="2:10">
      <c r="B149" s="1" t="s">
        <v>57</v>
      </c>
      <c r="C149" s="18" t="s">
        <v>399</v>
      </c>
      <c r="D149" s="12">
        <v>100</v>
      </c>
      <c r="E149" s="1" t="s">
        <v>57</v>
      </c>
      <c r="F149" s="12">
        <v>0</v>
      </c>
      <c r="G149" s="12" t="str">
        <f t="shared" si="8"/>
        <v>Pass</v>
      </c>
      <c r="H149" s="13" t="str">
        <f t="shared" si="9"/>
        <v>Pass</v>
      </c>
      <c r="I149" s="3" t="str">
        <f t="shared" si="10"/>
        <v>udf7</v>
      </c>
      <c r="J149" s="3" t="str">
        <f t="shared" si="11"/>
        <v>udf7</v>
      </c>
    </row>
    <row r="150" spans="2:10">
      <c r="B150" s="1" t="s">
        <v>58</v>
      </c>
      <c r="C150" s="18" t="s">
        <v>399</v>
      </c>
      <c r="D150" s="12">
        <v>100</v>
      </c>
      <c r="E150" s="1" t="s">
        <v>58</v>
      </c>
      <c r="F150" s="12">
        <v>0</v>
      </c>
      <c r="G150" s="12" t="str">
        <f t="shared" si="8"/>
        <v>Pass</v>
      </c>
      <c r="H150" s="13" t="str">
        <f t="shared" si="9"/>
        <v>Pass</v>
      </c>
      <c r="I150" s="3" t="str">
        <f t="shared" si="10"/>
        <v>udf8</v>
      </c>
      <c r="J150" s="3" t="str">
        <f t="shared" si="11"/>
        <v>udf8</v>
      </c>
    </row>
    <row r="151" spans="2:10">
      <c r="B151" s="1" t="s">
        <v>59</v>
      </c>
      <c r="C151" s="18" t="s">
        <v>399</v>
      </c>
      <c r="D151" s="12">
        <v>100</v>
      </c>
      <c r="E151" s="1" t="s">
        <v>59</v>
      </c>
      <c r="F151" s="12">
        <v>0</v>
      </c>
      <c r="G151" s="12" t="str">
        <f t="shared" si="8"/>
        <v>Pass</v>
      </c>
      <c r="H151" s="13" t="str">
        <f t="shared" si="9"/>
        <v>Pass</v>
      </c>
      <c r="I151" s="3" t="str">
        <f t="shared" si="10"/>
        <v>udf9</v>
      </c>
      <c r="J151" s="3" t="str">
        <f t="shared" si="11"/>
        <v>udf9</v>
      </c>
    </row>
    <row r="152" spans="2:10">
      <c r="B152" s="1" t="s">
        <v>60</v>
      </c>
      <c r="C152" s="18" t="s">
        <v>399</v>
      </c>
      <c r="D152" s="12">
        <v>100</v>
      </c>
      <c r="E152" s="1" t="s">
        <v>60</v>
      </c>
      <c r="F152" s="12">
        <v>0</v>
      </c>
      <c r="G152" s="12" t="str">
        <f t="shared" si="8"/>
        <v>Pass</v>
      </c>
      <c r="H152" s="13" t="str">
        <f t="shared" si="9"/>
        <v>Pass</v>
      </c>
      <c r="I152" s="3" t="str">
        <f t="shared" si="10"/>
        <v>udf10</v>
      </c>
      <c r="J152" s="3" t="str">
        <f t="shared" si="11"/>
        <v>udf10</v>
      </c>
    </row>
    <row r="153" spans="2:10">
      <c r="B153" s="1" t="s">
        <v>61</v>
      </c>
      <c r="C153" s="18" t="s">
        <v>399</v>
      </c>
      <c r="D153" s="12">
        <v>100</v>
      </c>
      <c r="E153" s="1" t="s">
        <v>61</v>
      </c>
      <c r="F153" s="12">
        <v>0</v>
      </c>
      <c r="G153" s="12" t="str">
        <f t="shared" si="8"/>
        <v>Pass</v>
      </c>
      <c r="H153" s="13" t="str">
        <f t="shared" si="9"/>
        <v>Pass</v>
      </c>
      <c r="I153" s="3" t="str">
        <f t="shared" si="10"/>
        <v>udf11</v>
      </c>
      <c r="J153" s="3" t="str">
        <f t="shared" si="11"/>
        <v>udf11</v>
      </c>
    </row>
    <row r="154" spans="2:10">
      <c r="B154" s="1" t="s">
        <v>62</v>
      </c>
      <c r="C154" s="18" t="s">
        <v>399</v>
      </c>
      <c r="D154" s="12">
        <v>100</v>
      </c>
      <c r="E154" s="1" t="s">
        <v>62</v>
      </c>
      <c r="F154" s="12">
        <v>0</v>
      </c>
      <c r="G154" s="12" t="str">
        <f t="shared" si="8"/>
        <v>Pass</v>
      </c>
      <c r="H154" s="13" t="str">
        <f t="shared" si="9"/>
        <v>Pass</v>
      </c>
      <c r="I154" s="3" t="str">
        <f t="shared" si="10"/>
        <v>udf12</v>
      </c>
      <c r="J154" s="3" t="str">
        <f t="shared" si="11"/>
        <v>udf12</v>
      </c>
    </row>
    <row r="155" spans="2:10">
      <c r="B155" s="1" t="s">
        <v>63</v>
      </c>
      <c r="C155" s="18" t="s">
        <v>399</v>
      </c>
      <c r="D155" s="12">
        <v>100</v>
      </c>
      <c r="E155" s="1" t="s">
        <v>63</v>
      </c>
      <c r="F155" s="12">
        <v>0</v>
      </c>
      <c r="G155" s="12" t="str">
        <f t="shared" si="8"/>
        <v>Pass</v>
      </c>
      <c r="H155" s="13" t="str">
        <f t="shared" si="9"/>
        <v>Pass</v>
      </c>
      <c r="I155" s="3" t="str">
        <f t="shared" si="10"/>
        <v>udf13</v>
      </c>
      <c r="J155" s="3" t="str">
        <f t="shared" si="11"/>
        <v>udf13</v>
      </c>
    </row>
    <row r="156" spans="2:10">
      <c r="B156" s="1" t="s">
        <v>64</v>
      </c>
      <c r="C156" s="18" t="s">
        <v>399</v>
      </c>
      <c r="D156" s="12">
        <v>100</v>
      </c>
      <c r="E156" s="1" t="s">
        <v>64</v>
      </c>
      <c r="F156" s="12">
        <v>0</v>
      </c>
      <c r="G156" s="12" t="str">
        <f t="shared" si="8"/>
        <v>Pass</v>
      </c>
      <c r="H156" s="13" t="str">
        <f t="shared" si="9"/>
        <v>Pass</v>
      </c>
      <c r="I156" s="3" t="str">
        <f t="shared" si="10"/>
        <v>udf14</v>
      </c>
      <c r="J156" s="3" t="str">
        <f t="shared" si="11"/>
        <v>udf14</v>
      </c>
    </row>
    <row r="157" spans="2:10">
      <c r="B157" s="1" t="s">
        <v>65</v>
      </c>
      <c r="C157" s="18" t="s">
        <v>399</v>
      </c>
      <c r="D157" s="12">
        <v>100</v>
      </c>
      <c r="E157" s="1" t="s">
        <v>65</v>
      </c>
      <c r="F157" s="12">
        <v>0</v>
      </c>
      <c r="G157" s="12" t="str">
        <f t="shared" si="8"/>
        <v>Pass</v>
      </c>
      <c r="H157" s="13" t="str">
        <f t="shared" si="9"/>
        <v>Pass</v>
      </c>
      <c r="I157" s="3" t="str">
        <f t="shared" si="10"/>
        <v>udf15</v>
      </c>
      <c r="J157" s="3" t="str">
        <f t="shared" si="11"/>
        <v>udf15</v>
      </c>
    </row>
    <row r="158" spans="2:10">
      <c r="B158" s="1" t="s">
        <v>66</v>
      </c>
      <c r="C158" s="18" t="s">
        <v>399</v>
      </c>
      <c r="D158" s="12">
        <v>100</v>
      </c>
      <c r="E158" s="1" t="s">
        <v>66</v>
      </c>
      <c r="F158" s="12">
        <v>8</v>
      </c>
      <c r="G158" s="12" t="str">
        <f t="shared" si="8"/>
        <v>Pass</v>
      </c>
      <c r="H158" s="13" t="str">
        <f t="shared" si="9"/>
        <v>Pass</v>
      </c>
      <c r="I158" s="3" t="str">
        <f t="shared" si="10"/>
        <v>udf16</v>
      </c>
      <c r="J158" s="3" t="str">
        <f t="shared" si="11"/>
        <v>udf16</v>
      </c>
    </row>
    <row r="159" spans="2:10">
      <c r="B159" s="1" t="s">
        <v>67</v>
      </c>
      <c r="C159" s="18" t="s">
        <v>399</v>
      </c>
      <c r="D159" s="12">
        <v>100</v>
      </c>
      <c r="E159" s="1" t="s">
        <v>67</v>
      </c>
      <c r="F159" s="12">
        <v>8</v>
      </c>
      <c r="G159" s="12" t="str">
        <f t="shared" si="8"/>
        <v>Pass</v>
      </c>
      <c r="H159" s="13" t="str">
        <f t="shared" si="9"/>
        <v>Pass</v>
      </c>
      <c r="I159" s="3" t="str">
        <f t="shared" si="10"/>
        <v>udf17</v>
      </c>
      <c r="J159" s="3" t="str">
        <f t="shared" si="11"/>
        <v>udf17</v>
      </c>
    </row>
    <row r="160" spans="2:10">
      <c r="B160" s="1" t="s">
        <v>68</v>
      </c>
      <c r="C160" s="18" t="s">
        <v>399</v>
      </c>
      <c r="D160" s="12">
        <v>100</v>
      </c>
      <c r="E160" s="1" t="s">
        <v>68</v>
      </c>
      <c r="F160" s="12">
        <v>2</v>
      </c>
      <c r="G160" s="12" t="str">
        <f t="shared" si="8"/>
        <v>Pass</v>
      </c>
      <c r="H160" s="13" t="str">
        <f t="shared" si="9"/>
        <v>Pass</v>
      </c>
      <c r="I160" s="3" t="str">
        <f t="shared" si="10"/>
        <v>udf18</v>
      </c>
      <c r="J160" s="3" t="str">
        <f t="shared" si="11"/>
        <v>udf18</v>
      </c>
    </row>
    <row r="161" spans="2:10">
      <c r="B161" s="1" t="s">
        <v>69</v>
      </c>
      <c r="C161" s="18" t="s">
        <v>399</v>
      </c>
      <c r="D161" s="12">
        <v>100</v>
      </c>
      <c r="E161" s="1" t="s">
        <v>69</v>
      </c>
      <c r="F161" s="12">
        <v>7</v>
      </c>
      <c r="G161" s="12" t="str">
        <f t="shared" si="8"/>
        <v>Pass</v>
      </c>
      <c r="H161" s="13" t="str">
        <f t="shared" si="9"/>
        <v>Pass</v>
      </c>
      <c r="I161" s="3" t="str">
        <f t="shared" si="10"/>
        <v>udf19</v>
      </c>
      <c r="J161" s="3" t="str">
        <f t="shared" si="11"/>
        <v>udf19</v>
      </c>
    </row>
    <row r="162" spans="2:10">
      <c r="B162" s="1" t="s">
        <v>70</v>
      </c>
      <c r="C162" s="18" t="s">
        <v>399</v>
      </c>
      <c r="D162" s="12">
        <v>100</v>
      </c>
      <c r="E162" s="1" t="s">
        <v>70</v>
      </c>
      <c r="F162" s="12">
        <v>2</v>
      </c>
      <c r="G162" s="12" t="str">
        <f t="shared" si="8"/>
        <v>Pass</v>
      </c>
      <c r="H162" s="13" t="str">
        <f t="shared" si="9"/>
        <v>Pass</v>
      </c>
      <c r="I162" s="3" t="str">
        <f t="shared" si="10"/>
        <v>udf20</v>
      </c>
      <c r="J162" s="3" t="str">
        <f t="shared" si="11"/>
        <v>udf20</v>
      </c>
    </row>
    <row r="163" spans="2:10">
      <c r="B163" s="1" t="s">
        <v>88</v>
      </c>
      <c r="C163" s="18" t="s">
        <v>399</v>
      </c>
      <c r="D163" s="12">
        <v>20</v>
      </c>
      <c r="E163" s="1" t="s">
        <v>88</v>
      </c>
      <c r="F163" s="12">
        <v>5</v>
      </c>
      <c r="G163" s="12" t="str">
        <f t="shared" si="8"/>
        <v>Pass</v>
      </c>
      <c r="H163" s="13" t="str">
        <f t="shared" si="9"/>
        <v>Pass</v>
      </c>
      <c r="I163" s="3" t="str">
        <f t="shared" si="10"/>
        <v>dwvendorname</v>
      </c>
      <c r="J163" s="3" t="str">
        <f t="shared" si="11"/>
        <v>dwvendorname</v>
      </c>
    </row>
    <row r="164" spans="2:10">
      <c r="B164" s="1" t="s">
        <v>213</v>
      </c>
      <c r="C164" s="18" t="s">
        <v>399</v>
      </c>
      <c r="D164" s="12">
        <v>6</v>
      </c>
      <c r="E164" s="1" t="s">
        <v>213</v>
      </c>
      <c r="F164" s="12">
        <v>1</v>
      </c>
      <c r="G164" s="12" t="str">
        <f t="shared" si="8"/>
        <v>Pass</v>
      </c>
      <c r="H164" s="13" t="str">
        <f t="shared" si="9"/>
        <v>Pass</v>
      </c>
      <c r="I164" s="3" t="str">
        <f t="shared" si="10"/>
        <v>dwadmrule</v>
      </c>
      <c r="J164" s="3" t="str">
        <f t="shared" si="11"/>
        <v>dwadmrule</v>
      </c>
    </row>
    <row r="165" spans="2:10">
      <c r="B165" s="1" t="s">
        <v>214</v>
      </c>
      <c r="C165" s="18" t="s">
        <v>399</v>
      </c>
      <c r="D165" s="12">
        <v>100</v>
      </c>
      <c r="E165" s="1" t="s">
        <v>214</v>
      </c>
      <c r="F165" s="12">
        <v>11</v>
      </c>
      <c r="G165" s="12" t="str">
        <f t="shared" si="8"/>
        <v>Pass</v>
      </c>
      <c r="H165" s="13" t="str">
        <f t="shared" si="9"/>
        <v>Pass</v>
      </c>
      <c r="I165" s="3" t="str">
        <f t="shared" si="10"/>
        <v>proc1grouperid</v>
      </c>
      <c r="J165" s="3" t="str">
        <f t="shared" si="11"/>
        <v>proc1grouperid</v>
      </c>
    </row>
    <row r="166" spans="2:10">
      <c r="B166" s="1" t="s">
        <v>408</v>
      </c>
      <c r="C166" s="18" t="s">
        <v>399</v>
      </c>
      <c r="D166" s="12">
        <v>100</v>
      </c>
      <c r="E166" s="1" t="s">
        <v>408</v>
      </c>
      <c r="F166" s="12">
        <v>33</v>
      </c>
      <c r="G166" s="12" t="str">
        <f t="shared" si="8"/>
        <v>Pass</v>
      </c>
      <c r="H166" s="13" t="str">
        <f t="shared" si="9"/>
        <v>Pass</v>
      </c>
      <c r="I166" s="3" t="str">
        <f t="shared" si="10"/>
        <v>proc1grouperdesc</v>
      </c>
      <c r="J166" s="3" t="str">
        <f t="shared" si="11"/>
        <v>proc1grouperdesc</v>
      </c>
    </row>
    <row r="167" spans="2:10">
      <c r="B167" s="1" t="s">
        <v>409</v>
      </c>
      <c r="C167" s="18" t="s">
        <v>399</v>
      </c>
      <c r="D167" s="12">
        <v>100</v>
      </c>
      <c r="E167" s="1" t="s">
        <v>409</v>
      </c>
      <c r="F167" s="12">
        <v>11</v>
      </c>
      <c r="G167" s="12" t="str">
        <f t="shared" si="8"/>
        <v>Pass</v>
      </c>
      <c r="H167" s="13" t="str">
        <f t="shared" si="9"/>
        <v>Pass</v>
      </c>
      <c r="I167" s="3" t="str">
        <f t="shared" si="10"/>
        <v>proc1Subgrouperid</v>
      </c>
      <c r="J167" s="3" t="str">
        <f t="shared" si="11"/>
        <v>proc1Subgrouperid</v>
      </c>
    </row>
    <row r="168" spans="2:10">
      <c r="B168" s="1" t="s">
        <v>215</v>
      </c>
      <c r="C168" s="18" t="s">
        <v>399</v>
      </c>
      <c r="D168" s="12">
        <v>100</v>
      </c>
      <c r="E168" s="1" t="s">
        <v>215</v>
      </c>
      <c r="F168" s="12">
        <v>44</v>
      </c>
      <c r="G168" s="12" t="str">
        <f t="shared" si="8"/>
        <v>Pass</v>
      </c>
      <c r="H168" s="13" t="str">
        <f t="shared" si="9"/>
        <v>Pass</v>
      </c>
      <c r="I168" s="3" t="str">
        <f t="shared" si="10"/>
        <v>proc1Subgrouperdesc</v>
      </c>
      <c r="J168" s="3" t="str">
        <f t="shared" si="11"/>
        <v>proc1Subgrouperdesc</v>
      </c>
    </row>
    <row r="169" spans="2:10">
      <c r="B169" s="1" t="s">
        <v>216</v>
      </c>
      <c r="C169" s="18" t="s">
        <v>399</v>
      </c>
      <c r="D169" s="12">
        <v>100</v>
      </c>
      <c r="E169" s="1" t="s">
        <v>216</v>
      </c>
      <c r="F169" s="12">
        <v>11</v>
      </c>
      <c r="G169" s="12" t="str">
        <f t="shared" si="8"/>
        <v>Pass</v>
      </c>
      <c r="H169" s="13" t="str">
        <f t="shared" si="9"/>
        <v>Pass</v>
      </c>
      <c r="I169" s="3" t="str">
        <f t="shared" si="10"/>
        <v>revgrouperid</v>
      </c>
      <c r="J169" s="3" t="str">
        <f t="shared" si="11"/>
        <v>revgrouperid</v>
      </c>
    </row>
    <row r="170" spans="2:10">
      <c r="B170" s="1" t="s">
        <v>217</v>
      </c>
      <c r="C170" s="18" t="s">
        <v>399</v>
      </c>
      <c r="D170" s="12">
        <v>100</v>
      </c>
      <c r="E170" s="1" t="s">
        <v>217</v>
      </c>
      <c r="F170" s="12">
        <v>29</v>
      </c>
      <c r="G170" s="12" t="str">
        <f t="shared" si="8"/>
        <v>Pass</v>
      </c>
      <c r="H170" s="13" t="str">
        <f t="shared" si="9"/>
        <v>Pass</v>
      </c>
      <c r="I170" s="3" t="str">
        <f t="shared" si="10"/>
        <v>revgrouperdesc</v>
      </c>
      <c r="J170" s="3" t="str">
        <f t="shared" si="11"/>
        <v>revgrouperdesc</v>
      </c>
    </row>
    <row r="171" spans="2:10">
      <c r="B171" s="1" t="s">
        <v>218</v>
      </c>
      <c r="C171" s="18" t="s">
        <v>399</v>
      </c>
      <c r="D171" s="12">
        <v>100</v>
      </c>
      <c r="E171" s="1" t="s">
        <v>218</v>
      </c>
      <c r="F171" s="12">
        <v>11</v>
      </c>
      <c r="G171" s="12" t="str">
        <f t="shared" si="8"/>
        <v>Pass</v>
      </c>
      <c r="H171" s="13" t="str">
        <f t="shared" si="9"/>
        <v>Pass</v>
      </c>
      <c r="I171" s="3" t="str">
        <f t="shared" si="10"/>
        <v>revsubgrouperid</v>
      </c>
      <c r="J171" s="3" t="str">
        <f t="shared" si="11"/>
        <v>revsubgrouperid</v>
      </c>
    </row>
    <row r="172" spans="2:10">
      <c r="B172" s="1" t="s">
        <v>219</v>
      </c>
      <c r="C172" s="18" t="s">
        <v>399</v>
      </c>
      <c r="D172" s="12">
        <v>100</v>
      </c>
      <c r="E172" s="1" t="s">
        <v>219</v>
      </c>
      <c r="F172" s="12">
        <v>38</v>
      </c>
      <c r="G172" s="12" t="str">
        <f t="shared" si="8"/>
        <v>Pass</v>
      </c>
      <c r="H172" s="13" t="str">
        <f t="shared" si="9"/>
        <v>Pass</v>
      </c>
      <c r="I172" s="3" t="str">
        <f t="shared" si="10"/>
        <v>revsubgrouperdesc</v>
      </c>
      <c r="J172" s="3" t="str">
        <f t="shared" si="11"/>
        <v>revsubgrouperdesc</v>
      </c>
    </row>
    <row r="173" spans="2:10">
      <c r="B173" s="1" t="s">
        <v>220</v>
      </c>
      <c r="C173" s="18" t="s">
        <v>399</v>
      </c>
      <c r="D173" s="12">
        <v>100</v>
      </c>
      <c r="E173" s="1" t="s">
        <v>220</v>
      </c>
      <c r="F173" s="12">
        <v>11</v>
      </c>
      <c r="G173" s="12" t="str">
        <f t="shared" si="8"/>
        <v>Pass</v>
      </c>
      <c r="H173" s="13" t="str">
        <f t="shared" si="9"/>
        <v>Pass</v>
      </c>
      <c r="I173" s="3" t="str">
        <f t="shared" si="10"/>
        <v>cptgrouperid</v>
      </c>
      <c r="J173" s="3" t="str">
        <f t="shared" si="11"/>
        <v>cptgrouperid</v>
      </c>
    </row>
    <row r="174" spans="2:10">
      <c r="B174" s="1" t="s">
        <v>221</v>
      </c>
      <c r="C174" s="18" t="s">
        <v>399</v>
      </c>
      <c r="D174" s="12">
        <v>100</v>
      </c>
      <c r="E174" s="1" t="s">
        <v>221</v>
      </c>
      <c r="F174" s="12">
        <v>33</v>
      </c>
      <c r="G174" s="12" t="str">
        <f t="shared" si="8"/>
        <v>Pass</v>
      </c>
      <c r="H174" s="13" t="str">
        <f t="shared" si="9"/>
        <v>Pass</v>
      </c>
      <c r="I174" s="3" t="str">
        <f t="shared" si="10"/>
        <v>cptgrouperdesc</v>
      </c>
      <c r="J174" s="3" t="str">
        <f t="shared" si="11"/>
        <v>cptgrouperdesc</v>
      </c>
    </row>
    <row r="175" spans="2:10">
      <c r="B175" s="1" t="s">
        <v>222</v>
      </c>
      <c r="C175" s="18" t="s">
        <v>399</v>
      </c>
      <c r="D175" s="12">
        <v>100</v>
      </c>
      <c r="E175" s="1" t="s">
        <v>222</v>
      </c>
      <c r="F175" s="12">
        <v>11</v>
      </c>
      <c r="G175" s="12" t="str">
        <f t="shared" si="8"/>
        <v>Pass</v>
      </c>
      <c r="H175" s="13" t="str">
        <f t="shared" si="9"/>
        <v>Pass</v>
      </c>
      <c r="I175" s="3" t="str">
        <f t="shared" si="10"/>
        <v>cptsubgrouperid</v>
      </c>
      <c r="J175" s="3" t="str">
        <f t="shared" si="11"/>
        <v>cptsubgrouperid</v>
      </c>
    </row>
    <row r="176" spans="2:10">
      <c r="B176" s="1" t="s">
        <v>223</v>
      </c>
      <c r="C176" s="18" t="s">
        <v>399</v>
      </c>
      <c r="D176" s="12">
        <v>100</v>
      </c>
      <c r="E176" s="1" t="s">
        <v>223</v>
      </c>
      <c r="F176" s="12">
        <v>44</v>
      </c>
      <c r="G176" s="12" t="str">
        <f t="shared" si="8"/>
        <v>Pass</v>
      </c>
      <c r="H176" s="13" t="str">
        <f t="shared" si="9"/>
        <v>Pass</v>
      </c>
      <c r="I176" s="3" t="str">
        <f t="shared" si="10"/>
        <v>cptsubgrouperdesc</v>
      </c>
      <c r="J176" s="3" t="str">
        <f t="shared" si="11"/>
        <v>cptsubgrouperdesc</v>
      </c>
    </row>
    <row r="177" spans="2:10">
      <c r="B177" s="1" t="s">
        <v>224</v>
      </c>
      <c r="C177" s="18" t="s">
        <v>399</v>
      </c>
      <c r="D177" s="12">
        <v>100</v>
      </c>
      <c r="E177" s="1" t="s">
        <v>224</v>
      </c>
      <c r="F177" s="12">
        <v>11</v>
      </c>
      <c r="G177" s="12" t="str">
        <f t="shared" si="8"/>
        <v>Pass</v>
      </c>
      <c r="H177" s="13" t="str">
        <f t="shared" si="9"/>
        <v>Pass</v>
      </c>
      <c r="I177" s="3" t="str">
        <f t="shared" si="10"/>
        <v>icd1grouperid</v>
      </c>
      <c r="J177" s="3" t="str">
        <f t="shared" si="11"/>
        <v>icd1grouperid</v>
      </c>
    </row>
    <row r="178" spans="2:10">
      <c r="B178" s="1" t="s">
        <v>225</v>
      </c>
      <c r="C178" s="18" t="s">
        <v>399</v>
      </c>
      <c r="D178" s="12">
        <v>100</v>
      </c>
      <c r="E178" s="1" t="s">
        <v>225</v>
      </c>
      <c r="F178" s="12">
        <v>33</v>
      </c>
      <c r="G178" s="12" t="str">
        <f t="shared" si="8"/>
        <v>Pass</v>
      </c>
      <c r="H178" s="13" t="str">
        <f t="shared" si="9"/>
        <v>Pass</v>
      </c>
      <c r="I178" s="3" t="str">
        <f t="shared" si="10"/>
        <v>icd1grouperdesc</v>
      </c>
      <c r="J178" s="3" t="str">
        <f t="shared" si="11"/>
        <v>icd1grouperdesc</v>
      </c>
    </row>
    <row r="179" spans="2:10">
      <c r="B179" s="1" t="s">
        <v>226</v>
      </c>
      <c r="C179" s="18" t="s">
        <v>399</v>
      </c>
      <c r="D179" s="12">
        <v>100</v>
      </c>
      <c r="E179" s="1" t="s">
        <v>226</v>
      </c>
      <c r="F179" s="12">
        <v>11</v>
      </c>
      <c r="G179" s="12" t="str">
        <f t="shared" si="8"/>
        <v>Pass</v>
      </c>
      <c r="H179" s="13" t="str">
        <f t="shared" si="9"/>
        <v>Pass</v>
      </c>
      <c r="I179" s="3" t="str">
        <f t="shared" si="10"/>
        <v>icd1subgrouperid</v>
      </c>
      <c r="J179" s="3" t="str">
        <f t="shared" si="11"/>
        <v>icd1subgrouperid</v>
      </c>
    </row>
    <row r="180" spans="2:10">
      <c r="B180" s="1" t="s">
        <v>227</v>
      </c>
      <c r="C180" s="18" t="s">
        <v>399</v>
      </c>
      <c r="D180" s="12">
        <v>100</v>
      </c>
      <c r="E180" s="1" t="s">
        <v>227</v>
      </c>
      <c r="F180" s="12">
        <v>44</v>
      </c>
      <c r="G180" s="12" t="str">
        <f t="shared" si="8"/>
        <v>Pass</v>
      </c>
      <c r="H180" s="13" t="str">
        <f t="shared" si="9"/>
        <v>Pass</v>
      </c>
      <c r="I180" s="3" t="str">
        <f t="shared" si="10"/>
        <v>icd1subgrouperdesc</v>
      </c>
      <c r="J180" s="3" t="str">
        <f t="shared" si="11"/>
        <v>icd1subgrouperdesc</v>
      </c>
    </row>
    <row r="181" spans="2:10">
      <c r="B181" s="1" t="s">
        <v>228</v>
      </c>
      <c r="C181" s="18" t="s">
        <v>399</v>
      </c>
      <c r="D181" s="12">
        <v>100</v>
      </c>
      <c r="E181" s="1" t="s">
        <v>228</v>
      </c>
      <c r="F181" s="12">
        <v>11</v>
      </c>
      <c r="G181" s="12" t="str">
        <f t="shared" si="8"/>
        <v>Pass</v>
      </c>
      <c r="H181" s="13" t="str">
        <f t="shared" si="9"/>
        <v>Pass</v>
      </c>
      <c r="I181" s="3" t="str">
        <f t="shared" si="10"/>
        <v>icd2grouperid</v>
      </c>
      <c r="J181" s="3" t="str">
        <f t="shared" si="11"/>
        <v>icd2grouperid</v>
      </c>
    </row>
    <row r="182" spans="2:10">
      <c r="B182" s="1" t="s">
        <v>229</v>
      </c>
      <c r="C182" s="18" t="s">
        <v>399</v>
      </c>
      <c r="D182" s="12">
        <v>100</v>
      </c>
      <c r="E182" s="1" t="s">
        <v>229</v>
      </c>
      <c r="F182" s="12">
        <v>33</v>
      </c>
      <c r="G182" s="12" t="str">
        <f t="shared" si="8"/>
        <v>Pass</v>
      </c>
      <c r="H182" s="13" t="str">
        <f t="shared" si="9"/>
        <v>Pass</v>
      </c>
      <c r="I182" s="3" t="str">
        <f t="shared" si="10"/>
        <v>icd2grouperdesc</v>
      </c>
      <c r="J182" s="3" t="str">
        <f t="shared" si="11"/>
        <v>icd2grouperdesc</v>
      </c>
    </row>
    <row r="183" spans="2:10">
      <c r="B183" s="1" t="s">
        <v>230</v>
      </c>
      <c r="C183" s="18" t="s">
        <v>399</v>
      </c>
      <c r="D183" s="12">
        <v>100</v>
      </c>
      <c r="E183" s="1" t="s">
        <v>230</v>
      </c>
      <c r="F183" s="12">
        <v>11</v>
      </c>
      <c r="G183" s="12" t="str">
        <f t="shared" si="8"/>
        <v>Pass</v>
      </c>
      <c r="H183" s="13" t="str">
        <f t="shared" si="9"/>
        <v>Pass</v>
      </c>
      <c r="I183" s="3" t="str">
        <f t="shared" si="10"/>
        <v>icd2subgrouperid</v>
      </c>
      <c r="J183" s="3" t="str">
        <f t="shared" si="11"/>
        <v>icd2subgrouperid</v>
      </c>
    </row>
    <row r="184" spans="2:10">
      <c r="B184" s="1" t="s">
        <v>231</v>
      </c>
      <c r="C184" s="18" t="s">
        <v>399</v>
      </c>
      <c r="D184" s="12">
        <v>100</v>
      </c>
      <c r="E184" s="1" t="s">
        <v>231</v>
      </c>
      <c r="F184" s="12">
        <v>44</v>
      </c>
      <c r="G184" s="12" t="str">
        <f t="shared" si="8"/>
        <v>Pass</v>
      </c>
      <c r="H184" s="13" t="str">
        <f t="shared" si="9"/>
        <v>Pass</v>
      </c>
      <c r="I184" s="3" t="str">
        <f t="shared" si="10"/>
        <v>icd2subgrouperdesc</v>
      </c>
      <c r="J184" s="3" t="str">
        <f t="shared" si="11"/>
        <v>icd2subgrouperdesc</v>
      </c>
    </row>
    <row r="185" spans="2:10">
      <c r="B185" s="1" t="s">
        <v>232</v>
      </c>
      <c r="C185" s="18" t="s">
        <v>399</v>
      </c>
      <c r="D185" s="12">
        <v>100</v>
      </c>
      <c r="E185" s="1" t="s">
        <v>232</v>
      </c>
      <c r="F185" s="12">
        <v>11</v>
      </c>
      <c r="G185" s="12" t="str">
        <f t="shared" si="8"/>
        <v>Pass</v>
      </c>
      <c r="H185" s="13" t="str">
        <f t="shared" si="9"/>
        <v>Pass</v>
      </c>
      <c r="I185" s="3" t="str">
        <f t="shared" si="10"/>
        <v>drggrouperid</v>
      </c>
      <c r="J185" s="3" t="str">
        <f t="shared" si="11"/>
        <v>drggrouperid</v>
      </c>
    </row>
    <row r="186" spans="2:10">
      <c r="B186" s="1" t="s">
        <v>233</v>
      </c>
      <c r="C186" s="18" t="s">
        <v>399</v>
      </c>
      <c r="D186" s="12">
        <v>100</v>
      </c>
      <c r="E186" s="1" t="s">
        <v>233</v>
      </c>
      <c r="F186" s="12">
        <v>33</v>
      </c>
      <c r="G186" s="12" t="str">
        <f t="shared" si="8"/>
        <v>Pass</v>
      </c>
      <c r="H186" s="13" t="str">
        <f t="shared" si="9"/>
        <v>Pass</v>
      </c>
      <c r="I186" s="3" t="str">
        <f t="shared" si="10"/>
        <v>drggrouperdesc</v>
      </c>
      <c r="J186" s="3" t="str">
        <f t="shared" si="11"/>
        <v>drggrouperdesc</v>
      </c>
    </row>
    <row r="187" spans="2:10">
      <c r="B187" s="1" t="s">
        <v>234</v>
      </c>
      <c r="C187" s="18" t="s">
        <v>399</v>
      </c>
      <c r="D187" s="12">
        <v>100</v>
      </c>
      <c r="E187" s="1" t="s">
        <v>234</v>
      </c>
      <c r="F187" s="12">
        <v>11</v>
      </c>
      <c r="G187" s="12" t="str">
        <f t="shared" si="8"/>
        <v>Pass</v>
      </c>
      <c r="H187" s="13" t="str">
        <f t="shared" si="9"/>
        <v>Pass</v>
      </c>
      <c r="I187" s="3" t="str">
        <f t="shared" si="10"/>
        <v>drgsubgrouperid</v>
      </c>
      <c r="J187" s="3" t="str">
        <f t="shared" si="11"/>
        <v>drgsubgrouperid</v>
      </c>
    </row>
    <row r="188" spans="2:10">
      <c r="B188" s="1" t="s">
        <v>235</v>
      </c>
      <c r="C188" s="18" t="s">
        <v>399</v>
      </c>
      <c r="D188" s="12">
        <v>100</v>
      </c>
      <c r="E188" s="1" t="s">
        <v>235</v>
      </c>
      <c r="F188" s="12">
        <v>51</v>
      </c>
      <c r="G188" s="12" t="str">
        <f t="shared" si="8"/>
        <v>Pass</v>
      </c>
      <c r="H188" s="13" t="str">
        <f t="shared" si="9"/>
        <v>Pass</v>
      </c>
      <c r="I188" s="3" t="str">
        <f t="shared" si="10"/>
        <v>drgsubgrouperdesc</v>
      </c>
      <c r="J188" s="3" t="str">
        <f t="shared" si="11"/>
        <v>drgsubgrouperdesc</v>
      </c>
    </row>
    <row r="189" spans="2:10">
      <c r="B189" s="1" t="s">
        <v>236</v>
      </c>
      <c r="C189" s="18" t="s">
        <v>399</v>
      </c>
      <c r="D189" s="12">
        <v>100</v>
      </c>
      <c r="E189" s="1" t="s">
        <v>236</v>
      </c>
      <c r="F189" s="12">
        <v>11</v>
      </c>
      <c r="G189" s="12" t="str">
        <f t="shared" si="8"/>
        <v>Pass</v>
      </c>
      <c r="H189" s="13" t="str">
        <f t="shared" si="9"/>
        <v>Pass</v>
      </c>
      <c r="I189" s="3" t="str">
        <f t="shared" si="10"/>
        <v>hcpcsgrouperid</v>
      </c>
      <c r="J189" s="3" t="str">
        <f t="shared" si="11"/>
        <v>hcpcsgrouperid</v>
      </c>
    </row>
    <row r="190" spans="2:10">
      <c r="B190" s="1" t="s">
        <v>237</v>
      </c>
      <c r="C190" s="18" t="s">
        <v>399</v>
      </c>
      <c r="D190" s="12">
        <v>100</v>
      </c>
      <c r="E190" s="1" t="s">
        <v>237</v>
      </c>
      <c r="F190" s="12">
        <v>29</v>
      </c>
      <c r="G190" s="12" t="str">
        <f t="shared" si="8"/>
        <v>Pass</v>
      </c>
      <c r="H190" s="13" t="str">
        <f t="shared" si="9"/>
        <v>Pass</v>
      </c>
      <c r="I190" s="3" t="str">
        <f t="shared" si="10"/>
        <v>hcpcsgrouperdesc</v>
      </c>
      <c r="J190" s="3" t="str">
        <f t="shared" si="11"/>
        <v>hcpcsgrouperdesc</v>
      </c>
    </row>
    <row r="191" spans="2:10">
      <c r="B191" s="1" t="s">
        <v>238</v>
      </c>
      <c r="C191" s="18" t="s">
        <v>399</v>
      </c>
      <c r="D191" s="12">
        <v>100</v>
      </c>
      <c r="E191" s="1" t="s">
        <v>238</v>
      </c>
      <c r="F191" s="12">
        <v>11</v>
      </c>
      <c r="G191" s="12" t="str">
        <f t="shared" si="8"/>
        <v>Pass</v>
      </c>
      <c r="H191" s="13" t="str">
        <f t="shared" si="9"/>
        <v>Pass</v>
      </c>
      <c r="I191" s="3" t="str">
        <f t="shared" si="10"/>
        <v>hcpcssubgrouperid</v>
      </c>
      <c r="J191" s="3" t="str">
        <f t="shared" si="11"/>
        <v>hcpcssubgrouperid</v>
      </c>
    </row>
    <row r="192" spans="2:10">
      <c r="B192" s="1" t="s">
        <v>239</v>
      </c>
      <c r="C192" s="18" t="s">
        <v>399</v>
      </c>
      <c r="D192" s="12">
        <v>100</v>
      </c>
      <c r="E192" s="1" t="s">
        <v>239</v>
      </c>
      <c r="F192" s="12">
        <v>40</v>
      </c>
      <c r="G192" s="12" t="str">
        <f t="shared" si="8"/>
        <v>Pass</v>
      </c>
      <c r="H192" s="13" t="str">
        <f t="shared" si="9"/>
        <v>Pass</v>
      </c>
      <c r="I192" s="3" t="str">
        <f t="shared" si="10"/>
        <v>hcpcssubgrouperdesc</v>
      </c>
      <c r="J192" s="3" t="str">
        <f t="shared" si="11"/>
        <v>hcpcssubgrouperdesc</v>
      </c>
    </row>
    <row r="193" spans="2:10">
      <c r="B193" s="1" t="s">
        <v>240</v>
      </c>
      <c r="C193" s="18" t="s">
        <v>399</v>
      </c>
      <c r="D193" s="12">
        <v>100</v>
      </c>
      <c r="E193" s="1" t="s">
        <v>240</v>
      </c>
      <c r="F193" s="12">
        <v>11</v>
      </c>
      <c r="G193" s="12" t="str">
        <f t="shared" si="8"/>
        <v>Pass</v>
      </c>
      <c r="H193" s="13" t="str">
        <f t="shared" si="9"/>
        <v>Pass</v>
      </c>
      <c r="I193" s="3" t="str">
        <f t="shared" si="10"/>
        <v>diag1grouperid</v>
      </c>
      <c r="J193" s="3" t="str">
        <f t="shared" si="11"/>
        <v>diag1grouperid</v>
      </c>
    </row>
    <row r="194" spans="2:10">
      <c r="B194" s="1" t="s">
        <v>241</v>
      </c>
      <c r="C194" s="18" t="s">
        <v>399</v>
      </c>
      <c r="D194" s="12">
        <v>100</v>
      </c>
      <c r="E194" s="1" t="s">
        <v>241</v>
      </c>
      <c r="F194" s="12">
        <v>40</v>
      </c>
      <c r="G194" s="12" t="str">
        <f t="shared" si="8"/>
        <v>Pass</v>
      </c>
      <c r="H194" s="13" t="str">
        <f t="shared" si="9"/>
        <v>Pass</v>
      </c>
      <c r="I194" s="3" t="str">
        <f t="shared" si="10"/>
        <v>diag1grouperdesc</v>
      </c>
      <c r="J194" s="3" t="str">
        <f t="shared" si="11"/>
        <v>diag1grouperdesc</v>
      </c>
    </row>
    <row r="195" spans="2:10">
      <c r="B195" s="1" t="s">
        <v>242</v>
      </c>
      <c r="C195" s="18" t="s">
        <v>399</v>
      </c>
      <c r="D195" s="12">
        <v>100</v>
      </c>
      <c r="E195" s="1" t="s">
        <v>242</v>
      </c>
      <c r="F195" s="12">
        <v>11</v>
      </c>
      <c r="G195" s="12" t="str">
        <f t="shared" ref="G195:G258" si="12">IF(I195=J195,"Pass","Fail")</f>
        <v>Pass</v>
      </c>
      <c r="H195" s="13" t="str">
        <f t="shared" ref="H195:H258" si="13">IF(AND(ISBLANK(D195),F195&gt;=0),"Pass",IF(F195&lt;=D195,"Pass","Fail"))</f>
        <v>Pass</v>
      </c>
      <c r="I195" s="3" t="str">
        <f t="shared" ref="I195:I258" si="14">SUBSTITUTE(B195,"_","")</f>
        <v>diag1supergrouperid</v>
      </c>
      <c r="J195" s="3" t="str">
        <f t="shared" ref="J195:J258" si="15">SUBSTITUTE(E195,"_","")</f>
        <v>diag1supergrouperid</v>
      </c>
    </row>
    <row r="196" spans="2:10">
      <c r="B196" s="1" t="s">
        <v>243</v>
      </c>
      <c r="C196" s="18" t="s">
        <v>399</v>
      </c>
      <c r="D196" s="12">
        <v>100</v>
      </c>
      <c r="E196" s="1" t="s">
        <v>243</v>
      </c>
      <c r="F196" s="12">
        <v>29</v>
      </c>
      <c r="G196" s="12" t="str">
        <f t="shared" si="12"/>
        <v>Pass</v>
      </c>
      <c r="H196" s="13" t="str">
        <f t="shared" si="13"/>
        <v>Pass</v>
      </c>
      <c r="I196" s="3" t="str">
        <f t="shared" si="14"/>
        <v>diag1supergrouperdesc</v>
      </c>
      <c r="J196" s="3" t="str">
        <f t="shared" si="15"/>
        <v>diag1supergrouperdesc</v>
      </c>
    </row>
    <row r="197" spans="2:10">
      <c r="B197" s="1" t="s">
        <v>244</v>
      </c>
      <c r="C197" s="18" t="s">
        <v>399</v>
      </c>
      <c r="D197" s="12">
        <v>100</v>
      </c>
      <c r="E197" s="1" t="s">
        <v>244</v>
      </c>
      <c r="F197" s="12">
        <v>11</v>
      </c>
      <c r="G197" s="12" t="str">
        <f t="shared" si="12"/>
        <v>Pass</v>
      </c>
      <c r="H197" s="13" t="str">
        <f t="shared" si="13"/>
        <v>Pass</v>
      </c>
      <c r="I197" s="3" t="str">
        <f t="shared" si="14"/>
        <v>diag2grouperid</v>
      </c>
      <c r="J197" s="3" t="str">
        <f t="shared" si="15"/>
        <v>diag2grouperid</v>
      </c>
    </row>
    <row r="198" spans="2:10">
      <c r="B198" s="1" t="s">
        <v>245</v>
      </c>
      <c r="C198" s="18" t="s">
        <v>399</v>
      </c>
      <c r="D198" s="12">
        <v>100</v>
      </c>
      <c r="E198" s="1" t="s">
        <v>245</v>
      </c>
      <c r="F198" s="12">
        <v>40</v>
      </c>
      <c r="G198" s="12" t="str">
        <f t="shared" si="12"/>
        <v>Pass</v>
      </c>
      <c r="H198" s="13" t="str">
        <f t="shared" si="13"/>
        <v>Pass</v>
      </c>
      <c r="I198" s="3" t="str">
        <f t="shared" si="14"/>
        <v>diag2grouperdesc</v>
      </c>
      <c r="J198" s="3" t="str">
        <f t="shared" si="15"/>
        <v>diag2grouperdesc</v>
      </c>
    </row>
    <row r="199" spans="2:10">
      <c r="B199" s="1" t="s">
        <v>246</v>
      </c>
      <c r="C199" s="18" t="s">
        <v>399</v>
      </c>
      <c r="D199" s="12">
        <v>100</v>
      </c>
      <c r="E199" s="1" t="s">
        <v>246</v>
      </c>
      <c r="F199" s="12">
        <v>11</v>
      </c>
      <c r="G199" s="12" t="str">
        <f t="shared" si="12"/>
        <v>Pass</v>
      </c>
      <c r="H199" s="13" t="str">
        <f t="shared" si="13"/>
        <v>Pass</v>
      </c>
      <c r="I199" s="3" t="str">
        <f t="shared" si="14"/>
        <v>diag2supergrouperid</v>
      </c>
      <c r="J199" s="3" t="str">
        <f t="shared" si="15"/>
        <v>diag2supergrouperid</v>
      </c>
    </row>
    <row r="200" spans="2:10">
      <c r="B200" s="1" t="s">
        <v>247</v>
      </c>
      <c r="C200" s="18" t="s">
        <v>399</v>
      </c>
      <c r="D200" s="12">
        <v>100</v>
      </c>
      <c r="E200" s="1" t="s">
        <v>247</v>
      </c>
      <c r="F200" s="12">
        <v>29</v>
      </c>
      <c r="G200" s="12" t="str">
        <f t="shared" si="12"/>
        <v>Pass</v>
      </c>
      <c r="H200" s="13" t="str">
        <f t="shared" si="13"/>
        <v>Pass</v>
      </c>
      <c r="I200" s="3" t="str">
        <f t="shared" si="14"/>
        <v>diag2supergrouperdesc</v>
      </c>
      <c r="J200" s="3" t="str">
        <f t="shared" si="15"/>
        <v>diag2supergrouperdesc</v>
      </c>
    </row>
    <row r="201" spans="2:10">
      <c r="B201" s="1" t="s">
        <v>248</v>
      </c>
      <c r="C201" s="18" t="s">
        <v>399</v>
      </c>
      <c r="D201" s="12">
        <v>100</v>
      </c>
      <c r="E201" s="1" t="s">
        <v>248</v>
      </c>
      <c r="F201" s="12">
        <v>6</v>
      </c>
      <c r="G201" s="12" t="str">
        <f t="shared" si="12"/>
        <v>Pass</v>
      </c>
      <c r="H201" s="13" t="str">
        <f t="shared" si="13"/>
        <v>Pass</v>
      </c>
      <c r="I201" s="3" t="str">
        <f t="shared" si="14"/>
        <v>diag3grouperid</v>
      </c>
      <c r="J201" s="3" t="str">
        <f t="shared" si="15"/>
        <v>diag3grouperid</v>
      </c>
    </row>
    <row r="202" spans="2:10">
      <c r="B202" s="1" t="s">
        <v>249</v>
      </c>
      <c r="C202" s="18" t="s">
        <v>399</v>
      </c>
      <c r="D202" s="12">
        <v>100</v>
      </c>
      <c r="E202" s="1" t="s">
        <v>249</v>
      </c>
      <c r="F202" s="12">
        <v>40</v>
      </c>
      <c r="G202" s="12" t="str">
        <f t="shared" si="12"/>
        <v>Pass</v>
      </c>
      <c r="H202" s="13" t="str">
        <f t="shared" si="13"/>
        <v>Pass</v>
      </c>
      <c r="I202" s="3" t="str">
        <f t="shared" si="14"/>
        <v>diag3grouperdesc</v>
      </c>
      <c r="J202" s="3" t="str">
        <f t="shared" si="15"/>
        <v>diag3grouperdesc</v>
      </c>
    </row>
    <row r="203" spans="2:10">
      <c r="B203" s="1" t="s">
        <v>250</v>
      </c>
      <c r="C203" s="18" t="s">
        <v>399</v>
      </c>
      <c r="D203" s="12">
        <v>100</v>
      </c>
      <c r="E203" s="1" t="s">
        <v>250</v>
      </c>
      <c r="F203" s="12">
        <v>6</v>
      </c>
      <c r="G203" s="12" t="str">
        <f t="shared" si="12"/>
        <v>Pass</v>
      </c>
      <c r="H203" s="13" t="str">
        <f t="shared" si="13"/>
        <v>Pass</v>
      </c>
      <c r="I203" s="3" t="str">
        <f t="shared" si="14"/>
        <v>diag3supergrouperid</v>
      </c>
      <c r="J203" s="3" t="str">
        <f t="shared" si="15"/>
        <v>diag3supergrouperid</v>
      </c>
    </row>
    <row r="204" spans="2:10">
      <c r="B204" s="1" t="s">
        <v>251</v>
      </c>
      <c r="C204" s="18" t="s">
        <v>399</v>
      </c>
      <c r="D204" s="12">
        <v>100</v>
      </c>
      <c r="E204" s="1" t="s">
        <v>251</v>
      </c>
      <c r="F204" s="12">
        <v>29</v>
      </c>
      <c r="G204" s="12" t="str">
        <f t="shared" si="12"/>
        <v>Pass</v>
      </c>
      <c r="H204" s="13" t="str">
        <f t="shared" si="13"/>
        <v>Pass</v>
      </c>
      <c r="I204" s="3" t="str">
        <f t="shared" si="14"/>
        <v>diag3supergrouperdesc</v>
      </c>
      <c r="J204" s="3" t="str">
        <f t="shared" si="15"/>
        <v>diag3supergrouperdesc</v>
      </c>
    </row>
    <row r="205" spans="2:10">
      <c r="B205" s="1" t="s">
        <v>252</v>
      </c>
      <c r="C205" s="18" t="s">
        <v>399</v>
      </c>
      <c r="D205" s="12">
        <v>100</v>
      </c>
      <c r="E205" s="1" t="s">
        <v>252</v>
      </c>
      <c r="F205" s="12">
        <v>6</v>
      </c>
      <c r="G205" s="12" t="str">
        <f t="shared" si="12"/>
        <v>Pass</v>
      </c>
      <c r="H205" s="13" t="str">
        <f t="shared" si="13"/>
        <v>Pass</v>
      </c>
      <c r="I205" s="3" t="str">
        <f t="shared" si="14"/>
        <v>diag4grouperid</v>
      </c>
      <c r="J205" s="3" t="str">
        <f t="shared" si="15"/>
        <v>diag4grouperid</v>
      </c>
    </row>
    <row r="206" spans="2:10">
      <c r="B206" s="1" t="s">
        <v>253</v>
      </c>
      <c r="C206" s="18" t="s">
        <v>399</v>
      </c>
      <c r="D206" s="12">
        <v>100</v>
      </c>
      <c r="E206" s="1" t="s">
        <v>253</v>
      </c>
      <c r="F206" s="12">
        <v>40</v>
      </c>
      <c r="G206" s="12" t="str">
        <f t="shared" si="12"/>
        <v>Pass</v>
      </c>
      <c r="H206" s="13" t="str">
        <f t="shared" si="13"/>
        <v>Pass</v>
      </c>
      <c r="I206" s="3" t="str">
        <f t="shared" si="14"/>
        <v>diag4grouperdesc</v>
      </c>
      <c r="J206" s="3" t="str">
        <f t="shared" si="15"/>
        <v>diag4grouperdesc</v>
      </c>
    </row>
    <row r="207" spans="2:10">
      <c r="B207" s="1" t="s">
        <v>254</v>
      </c>
      <c r="C207" s="18" t="s">
        <v>399</v>
      </c>
      <c r="D207" s="12">
        <v>100</v>
      </c>
      <c r="E207" s="1" t="s">
        <v>254</v>
      </c>
      <c r="F207" s="12">
        <v>6</v>
      </c>
      <c r="G207" s="12" t="str">
        <f t="shared" si="12"/>
        <v>Pass</v>
      </c>
      <c r="H207" s="13" t="str">
        <f t="shared" si="13"/>
        <v>Pass</v>
      </c>
      <c r="I207" s="3" t="str">
        <f t="shared" si="14"/>
        <v>diag4supergrouperid</v>
      </c>
      <c r="J207" s="3" t="str">
        <f t="shared" si="15"/>
        <v>diag4supergrouperid</v>
      </c>
    </row>
    <row r="208" spans="2:10">
      <c r="B208" s="1" t="s">
        <v>255</v>
      </c>
      <c r="C208" s="18" t="s">
        <v>399</v>
      </c>
      <c r="D208" s="12">
        <v>100</v>
      </c>
      <c r="E208" s="1" t="s">
        <v>255</v>
      </c>
      <c r="F208" s="12">
        <v>29</v>
      </c>
      <c r="G208" s="12" t="str">
        <f t="shared" si="12"/>
        <v>Pass</v>
      </c>
      <c r="H208" s="13" t="str">
        <f t="shared" si="13"/>
        <v>Pass</v>
      </c>
      <c r="I208" s="3" t="str">
        <f t="shared" si="14"/>
        <v>diag4supergrouperdesc</v>
      </c>
      <c r="J208" s="3" t="str">
        <f t="shared" si="15"/>
        <v>diag4supergrouperdesc</v>
      </c>
    </row>
    <row r="209" spans="2:10">
      <c r="B209" s="1" t="s">
        <v>256</v>
      </c>
      <c r="C209" s="18" t="s">
        <v>399</v>
      </c>
      <c r="D209" s="12">
        <v>100</v>
      </c>
      <c r="E209" s="1" t="s">
        <v>256</v>
      </c>
      <c r="F209" s="12">
        <v>6</v>
      </c>
      <c r="G209" s="12" t="str">
        <f t="shared" si="12"/>
        <v>Pass</v>
      </c>
      <c r="H209" s="13" t="str">
        <f t="shared" si="13"/>
        <v>Pass</v>
      </c>
      <c r="I209" s="3" t="str">
        <f t="shared" si="14"/>
        <v>diag5grouperid</v>
      </c>
      <c r="J209" s="3" t="str">
        <f t="shared" si="15"/>
        <v>diag5grouperid</v>
      </c>
    </row>
    <row r="210" spans="2:10">
      <c r="B210" s="1" t="s">
        <v>257</v>
      </c>
      <c r="C210" s="18" t="s">
        <v>399</v>
      </c>
      <c r="D210" s="12">
        <v>100</v>
      </c>
      <c r="E210" s="1" t="s">
        <v>257</v>
      </c>
      <c r="F210" s="12">
        <v>40</v>
      </c>
      <c r="G210" s="12" t="str">
        <f t="shared" si="12"/>
        <v>Pass</v>
      </c>
      <c r="H210" s="13" t="str">
        <f t="shared" si="13"/>
        <v>Pass</v>
      </c>
      <c r="I210" s="3" t="str">
        <f t="shared" si="14"/>
        <v>diag5grouperdesc</v>
      </c>
      <c r="J210" s="3" t="str">
        <f t="shared" si="15"/>
        <v>diag5grouperdesc</v>
      </c>
    </row>
    <row r="211" spans="2:10">
      <c r="B211" s="1" t="s">
        <v>258</v>
      </c>
      <c r="C211" s="18" t="s">
        <v>399</v>
      </c>
      <c r="D211" s="12">
        <v>100</v>
      </c>
      <c r="E211" s="1" t="s">
        <v>258</v>
      </c>
      <c r="F211" s="12">
        <v>6</v>
      </c>
      <c r="G211" s="12" t="str">
        <f t="shared" si="12"/>
        <v>Pass</v>
      </c>
      <c r="H211" s="13" t="str">
        <f t="shared" si="13"/>
        <v>Pass</v>
      </c>
      <c r="I211" s="3" t="str">
        <f t="shared" si="14"/>
        <v>diag5supergrouperid</v>
      </c>
      <c r="J211" s="3" t="str">
        <f t="shared" si="15"/>
        <v>diag5supergrouperid</v>
      </c>
    </row>
    <row r="212" spans="2:10">
      <c r="B212" s="1" t="s">
        <v>259</v>
      </c>
      <c r="C212" s="18" t="s">
        <v>399</v>
      </c>
      <c r="D212" s="12">
        <v>100</v>
      </c>
      <c r="E212" s="1" t="s">
        <v>259</v>
      </c>
      <c r="F212" s="12">
        <v>29</v>
      </c>
      <c r="G212" s="12" t="str">
        <f t="shared" si="12"/>
        <v>Pass</v>
      </c>
      <c r="H212" s="13" t="str">
        <f t="shared" si="13"/>
        <v>Pass</v>
      </c>
      <c r="I212" s="3" t="str">
        <f t="shared" si="14"/>
        <v>diag5supergrouperdesc</v>
      </c>
      <c r="J212" s="3" t="str">
        <f t="shared" si="15"/>
        <v>diag5supergrouperdesc</v>
      </c>
    </row>
    <row r="213" spans="2:10">
      <c r="B213" s="1" t="s">
        <v>260</v>
      </c>
      <c r="C213" s="18" t="s">
        <v>399</v>
      </c>
      <c r="D213" s="12">
        <v>100</v>
      </c>
      <c r="E213" s="1" t="s">
        <v>260</v>
      </c>
      <c r="F213" s="12">
        <v>6</v>
      </c>
      <c r="G213" s="12" t="str">
        <f t="shared" si="12"/>
        <v>Pass</v>
      </c>
      <c r="H213" s="13" t="str">
        <f t="shared" si="13"/>
        <v>Pass</v>
      </c>
      <c r="I213" s="3" t="str">
        <f t="shared" si="14"/>
        <v>diag6grouperid</v>
      </c>
      <c r="J213" s="3" t="str">
        <f t="shared" si="15"/>
        <v>diag6grouperid</v>
      </c>
    </row>
    <row r="214" spans="2:10">
      <c r="B214" s="1" t="s">
        <v>261</v>
      </c>
      <c r="C214" s="18" t="s">
        <v>399</v>
      </c>
      <c r="D214" s="12">
        <v>100</v>
      </c>
      <c r="E214" s="1" t="s">
        <v>261</v>
      </c>
      <c r="F214" s="12">
        <v>40</v>
      </c>
      <c r="G214" s="12" t="str">
        <f t="shared" si="12"/>
        <v>Pass</v>
      </c>
      <c r="H214" s="13" t="str">
        <f t="shared" si="13"/>
        <v>Pass</v>
      </c>
      <c r="I214" s="3" t="str">
        <f t="shared" si="14"/>
        <v>diag6grouperdesc</v>
      </c>
      <c r="J214" s="3" t="str">
        <f t="shared" si="15"/>
        <v>diag6grouperdesc</v>
      </c>
    </row>
    <row r="215" spans="2:10">
      <c r="B215" s="1" t="s">
        <v>262</v>
      </c>
      <c r="C215" s="18" t="s">
        <v>399</v>
      </c>
      <c r="D215" s="12">
        <v>100</v>
      </c>
      <c r="E215" s="1" t="s">
        <v>262</v>
      </c>
      <c r="F215" s="12">
        <v>6</v>
      </c>
      <c r="G215" s="12" t="str">
        <f t="shared" si="12"/>
        <v>Pass</v>
      </c>
      <c r="H215" s="13" t="str">
        <f t="shared" si="13"/>
        <v>Pass</v>
      </c>
      <c r="I215" s="3" t="str">
        <f t="shared" si="14"/>
        <v>diag6supergrouperid</v>
      </c>
      <c r="J215" s="3" t="str">
        <f t="shared" si="15"/>
        <v>diag6supergrouperid</v>
      </c>
    </row>
    <row r="216" spans="2:10">
      <c r="B216" s="1" t="s">
        <v>263</v>
      </c>
      <c r="C216" s="18" t="s">
        <v>399</v>
      </c>
      <c r="D216" s="12">
        <v>100</v>
      </c>
      <c r="E216" s="1" t="s">
        <v>263</v>
      </c>
      <c r="F216" s="12">
        <v>29</v>
      </c>
      <c r="G216" s="12" t="str">
        <f t="shared" si="12"/>
        <v>Pass</v>
      </c>
      <c r="H216" s="13" t="str">
        <f t="shared" si="13"/>
        <v>Pass</v>
      </c>
      <c r="I216" s="3" t="str">
        <f t="shared" si="14"/>
        <v>diag6supergrouperdesc</v>
      </c>
      <c r="J216" s="3" t="str">
        <f t="shared" si="15"/>
        <v>diag6supergrouperdesc</v>
      </c>
    </row>
    <row r="217" spans="2:10">
      <c r="B217" s="1" t="s">
        <v>264</v>
      </c>
      <c r="C217" s="18" t="s">
        <v>399</v>
      </c>
      <c r="D217" s="12">
        <v>100</v>
      </c>
      <c r="E217" s="1" t="s">
        <v>264</v>
      </c>
      <c r="F217" s="12">
        <v>6</v>
      </c>
      <c r="G217" s="12" t="str">
        <f t="shared" si="12"/>
        <v>Pass</v>
      </c>
      <c r="H217" s="13" t="str">
        <f t="shared" si="13"/>
        <v>Pass</v>
      </c>
      <c r="I217" s="3" t="str">
        <f t="shared" si="14"/>
        <v>diag7grouperid</v>
      </c>
      <c r="J217" s="3" t="str">
        <f t="shared" si="15"/>
        <v>diag7grouperid</v>
      </c>
    </row>
    <row r="218" spans="2:10">
      <c r="B218" s="1" t="s">
        <v>265</v>
      </c>
      <c r="C218" s="18" t="s">
        <v>399</v>
      </c>
      <c r="D218" s="12">
        <v>100</v>
      </c>
      <c r="E218" s="1" t="s">
        <v>265</v>
      </c>
      <c r="F218" s="12">
        <v>40</v>
      </c>
      <c r="G218" s="12" t="str">
        <f t="shared" si="12"/>
        <v>Pass</v>
      </c>
      <c r="H218" s="13" t="str">
        <f t="shared" si="13"/>
        <v>Pass</v>
      </c>
      <c r="I218" s="3" t="str">
        <f t="shared" si="14"/>
        <v>diag7grouperdesc</v>
      </c>
      <c r="J218" s="3" t="str">
        <f t="shared" si="15"/>
        <v>diag7grouperdesc</v>
      </c>
    </row>
    <row r="219" spans="2:10">
      <c r="B219" s="1" t="s">
        <v>266</v>
      </c>
      <c r="C219" s="18" t="s">
        <v>399</v>
      </c>
      <c r="D219" s="12">
        <v>100</v>
      </c>
      <c r="E219" s="1" t="s">
        <v>266</v>
      </c>
      <c r="F219" s="12">
        <v>6</v>
      </c>
      <c r="G219" s="12" t="str">
        <f t="shared" si="12"/>
        <v>Pass</v>
      </c>
      <c r="H219" s="13" t="str">
        <f t="shared" si="13"/>
        <v>Pass</v>
      </c>
      <c r="I219" s="3" t="str">
        <f t="shared" si="14"/>
        <v>diag7supergrouperid</v>
      </c>
      <c r="J219" s="3" t="str">
        <f t="shared" si="15"/>
        <v>diag7supergrouperid</v>
      </c>
    </row>
    <row r="220" spans="2:10">
      <c r="B220" s="1" t="s">
        <v>267</v>
      </c>
      <c r="C220" s="18" t="s">
        <v>399</v>
      </c>
      <c r="D220" s="12">
        <v>100</v>
      </c>
      <c r="E220" s="1" t="s">
        <v>267</v>
      </c>
      <c r="F220" s="12">
        <v>29</v>
      </c>
      <c r="G220" s="12" t="str">
        <f t="shared" si="12"/>
        <v>Pass</v>
      </c>
      <c r="H220" s="13" t="str">
        <f t="shared" si="13"/>
        <v>Pass</v>
      </c>
      <c r="I220" s="3" t="str">
        <f t="shared" si="14"/>
        <v>diag7supergrouperdesc</v>
      </c>
      <c r="J220" s="3" t="str">
        <f t="shared" si="15"/>
        <v>diag7supergrouperdesc</v>
      </c>
    </row>
    <row r="221" spans="2:10">
      <c r="B221" s="1" t="s">
        <v>268</v>
      </c>
      <c r="C221" s="18" t="s">
        <v>399</v>
      </c>
      <c r="D221" s="12">
        <v>100</v>
      </c>
      <c r="E221" s="1" t="s">
        <v>268</v>
      </c>
      <c r="F221" s="12">
        <v>6</v>
      </c>
      <c r="G221" s="12" t="str">
        <f t="shared" si="12"/>
        <v>Pass</v>
      </c>
      <c r="H221" s="13" t="str">
        <f t="shared" si="13"/>
        <v>Pass</v>
      </c>
      <c r="I221" s="3" t="str">
        <f t="shared" si="14"/>
        <v>diag8grouperid</v>
      </c>
      <c r="J221" s="3" t="str">
        <f t="shared" si="15"/>
        <v>diag8grouperid</v>
      </c>
    </row>
    <row r="222" spans="2:10">
      <c r="B222" s="1" t="s">
        <v>269</v>
      </c>
      <c r="C222" s="18" t="s">
        <v>399</v>
      </c>
      <c r="D222" s="12">
        <v>100</v>
      </c>
      <c r="E222" s="1" t="s">
        <v>269</v>
      </c>
      <c r="F222" s="12">
        <v>40</v>
      </c>
      <c r="G222" s="12" t="str">
        <f t="shared" si="12"/>
        <v>Pass</v>
      </c>
      <c r="H222" s="13" t="str">
        <f t="shared" si="13"/>
        <v>Pass</v>
      </c>
      <c r="I222" s="3" t="str">
        <f t="shared" si="14"/>
        <v>diag8grouperdesc</v>
      </c>
      <c r="J222" s="3" t="str">
        <f t="shared" si="15"/>
        <v>diag8grouperdesc</v>
      </c>
    </row>
    <row r="223" spans="2:10">
      <c r="B223" s="1" t="s">
        <v>270</v>
      </c>
      <c r="C223" s="18" t="s">
        <v>399</v>
      </c>
      <c r="D223" s="12">
        <v>100</v>
      </c>
      <c r="E223" s="1" t="s">
        <v>270</v>
      </c>
      <c r="F223" s="12">
        <v>6</v>
      </c>
      <c r="G223" s="12" t="str">
        <f t="shared" si="12"/>
        <v>Pass</v>
      </c>
      <c r="H223" s="13" t="str">
        <f t="shared" si="13"/>
        <v>Pass</v>
      </c>
      <c r="I223" s="3" t="str">
        <f t="shared" si="14"/>
        <v>diag8supergrouperid</v>
      </c>
      <c r="J223" s="3" t="str">
        <f t="shared" si="15"/>
        <v>diag8supergrouperid</v>
      </c>
    </row>
    <row r="224" spans="2:10">
      <c r="B224" s="1" t="s">
        <v>271</v>
      </c>
      <c r="C224" s="18" t="s">
        <v>399</v>
      </c>
      <c r="D224" s="12">
        <v>100</v>
      </c>
      <c r="E224" s="1" t="s">
        <v>271</v>
      </c>
      <c r="F224" s="12">
        <v>29</v>
      </c>
      <c r="G224" s="12" t="str">
        <f t="shared" si="12"/>
        <v>Pass</v>
      </c>
      <c r="H224" s="13" t="str">
        <f t="shared" si="13"/>
        <v>Pass</v>
      </c>
      <c r="I224" s="3" t="str">
        <f t="shared" si="14"/>
        <v>diag8supergrouperdesc</v>
      </c>
      <c r="J224" s="3" t="str">
        <f t="shared" si="15"/>
        <v>diag8supergrouperdesc</v>
      </c>
    </row>
    <row r="225" spans="2:10">
      <c r="B225" s="1" t="s">
        <v>272</v>
      </c>
      <c r="C225" s="18" t="s">
        <v>399</v>
      </c>
      <c r="D225" s="12">
        <v>100</v>
      </c>
      <c r="E225" s="1" t="s">
        <v>272</v>
      </c>
      <c r="F225" s="12">
        <v>6</v>
      </c>
      <c r="G225" s="12" t="str">
        <f t="shared" si="12"/>
        <v>Pass</v>
      </c>
      <c r="H225" s="13" t="str">
        <f t="shared" si="13"/>
        <v>Pass</v>
      </c>
      <c r="I225" s="3" t="str">
        <f t="shared" si="14"/>
        <v>diag9grouperid</v>
      </c>
      <c r="J225" s="3" t="str">
        <f t="shared" si="15"/>
        <v>diag9grouperid</v>
      </c>
    </row>
    <row r="226" spans="2:10">
      <c r="B226" s="1" t="s">
        <v>273</v>
      </c>
      <c r="C226" s="18" t="s">
        <v>399</v>
      </c>
      <c r="D226" s="12">
        <v>100</v>
      </c>
      <c r="E226" s="1" t="s">
        <v>273</v>
      </c>
      <c r="F226" s="12">
        <v>40</v>
      </c>
      <c r="G226" s="12" t="str">
        <f t="shared" si="12"/>
        <v>Pass</v>
      </c>
      <c r="H226" s="13" t="str">
        <f t="shared" si="13"/>
        <v>Pass</v>
      </c>
      <c r="I226" s="3" t="str">
        <f t="shared" si="14"/>
        <v>diag9grouperdesc</v>
      </c>
      <c r="J226" s="3" t="str">
        <f t="shared" si="15"/>
        <v>diag9grouperdesc</v>
      </c>
    </row>
    <row r="227" spans="2:10">
      <c r="B227" s="1" t="s">
        <v>274</v>
      </c>
      <c r="C227" s="18" t="s">
        <v>399</v>
      </c>
      <c r="D227" s="12">
        <v>100</v>
      </c>
      <c r="E227" s="1" t="s">
        <v>274</v>
      </c>
      <c r="F227" s="12">
        <v>6</v>
      </c>
      <c r="G227" s="12" t="str">
        <f t="shared" si="12"/>
        <v>Pass</v>
      </c>
      <c r="H227" s="13" t="str">
        <f t="shared" si="13"/>
        <v>Pass</v>
      </c>
      <c r="I227" s="3" t="str">
        <f t="shared" si="14"/>
        <v>diag9supergrouperid</v>
      </c>
      <c r="J227" s="3" t="str">
        <f t="shared" si="15"/>
        <v>diag9supergrouperid</v>
      </c>
    </row>
    <row r="228" spans="2:10">
      <c r="B228" s="1" t="s">
        <v>275</v>
      </c>
      <c r="C228" s="18" t="s">
        <v>399</v>
      </c>
      <c r="D228" s="12">
        <v>100</v>
      </c>
      <c r="E228" s="1" t="s">
        <v>275</v>
      </c>
      <c r="F228" s="12">
        <v>29</v>
      </c>
      <c r="G228" s="12" t="str">
        <f t="shared" si="12"/>
        <v>Pass</v>
      </c>
      <c r="H228" s="13" t="str">
        <f t="shared" si="13"/>
        <v>Pass</v>
      </c>
      <c r="I228" s="3" t="str">
        <f t="shared" si="14"/>
        <v>diag9supergrouperdesc</v>
      </c>
      <c r="J228" s="3" t="str">
        <f t="shared" si="15"/>
        <v>diag9supergrouperdesc</v>
      </c>
    </row>
    <row r="229" spans="2:10">
      <c r="B229" s="1" t="s">
        <v>279</v>
      </c>
      <c r="C229" s="18" t="s">
        <v>399</v>
      </c>
      <c r="D229" s="12">
        <v>11</v>
      </c>
      <c r="E229" s="1" t="s">
        <v>279</v>
      </c>
      <c r="F229" s="12">
        <v>3</v>
      </c>
      <c r="G229" s="12" t="str">
        <f t="shared" si="12"/>
        <v>Pass</v>
      </c>
      <c r="H229" s="13" t="str">
        <f t="shared" si="13"/>
        <v>Pass</v>
      </c>
      <c r="I229" s="3" t="str">
        <f t="shared" si="14"/>
        <v>cptbetos</v>
      </c>
      <c r="J229" s="3" t="str">
        <f t="shared" si="15"/>
        <v>cptbetos</v>
      </c>
    </row>
    <row r="230" spans="2:10">
      <c r="B230" s="1" t="s">
        <v>280</v>
      </c>
      <c r="C230" s="18" t="s">
        <v>399</v>
      </c>
      <c r="D230" s="12">
        <v>100</v>
      </c>
      <c r="E230" s="1" t="s">
        <v>280</v>
      </c>
      <c r="F230" s="12">
        <v>12</v>
      </c>
      <c r="G230" s="12" t="str">
        <f t="shared" si="12"/>
        <v>Pass</v>
      </c>
      <c r="H230" s="13" t="str">
        <f t="shared" si="13"/>
        <v>Pass</v>
      </c>
      <c r="I230" s="3" t="str">
        <f t="shared" si="14"/>
        <v>cptbetosgrouper</v>
      </c>
      <c r="J230" s="3" t="str">
        <f t="shared" si="15"/>
        <v>cptbetosgrouper</v>
      </c>
    </row>
    <row r="231" spans="2:10">
      <c r="B231" s="1" t="s">
        <v>281</v>
      </c>
      <c r="C231" s="18" t="s">
        <v>399</v>
      </c>
      <c r="D231" s="12">
        <v>100</v>
      </c>
      <c r="E231" s="1" t="s">
        <v>281</v>
      </c>
      <c r="F231" s="12">
        <v>60</v>
      </c>
      <c r="G231" s="12" t="str">
        <f t="shared" si="12"/>
        <v>Pass</v>
      </c>
      <c r="H231" s="13" t="str">
        <f t="shared" si="13"/>
        <v>Pass</v>
      </c>
      <c r="I231" s="3" t="str">
        <f t="shared" si="14"/>
        <v>cptbetossubgrouper</v>
      </c>
      <c r="J231" s="3" t="str">
        <f t="shared" si="15"/>
        <v>cptbetossubgrouper</v>
      </c>
    </row>
    <row r="232" spans="2:10">
      <c r="B232" s="1" t="s">
        <v>291</v>
      </c>
      <c r="C232" s="18" t="s">
        <v>399</v>
      </c>
      <c r="D232" s="12">
        <v>100</v>
      </c>
      <c r="E232" s="1" t="s">
        <v>291</v>
      </c>
      <c r="F232" s="12">
        <v>3</v>
      </c>
      <c r="G232" s="12" t="str">
        <f t="shared" si="12"/>
        <v>Pass</v>
      </c>
      <c r="H232" s="13" t="str">
        <f t="shared" si="13"/>
        <v>Pass</v>
      </c>
      <c r="I232" s="3" t="str">
        <f t="shared" si="14"/>
        <v>hcpcsbetos</v>
      </c>
      <c r="J232" s="3" t="str">
        <f t="shared" si="15"/>
        <v>hcpcsbetos</v>
      </c>
    </row>
    <row r="233" spans="2:10">
      <c r="B233" s="1" t="s">
        <v>292</v>
      </c>
      <c r="C233" s="18" t="s">
        <v>399</v>
      </c>
      <c r="D233" s="12">
        <v>100</v>
      </c>
      <c r="E233" s="1" t="s">
        <v>292</v>
      </c>
      <c r="F233" s="12">
        <v>25</v>
      </c>
      <c r="G233" s="12" t="str">
        <f t="shared" si="12"/>
        <v>Pass</v>
      </c>
      <c r="H233" s="13" t="str">
        <f t="shared" si="13"/>
        <v>Pass</v>
      </c>
      <c r="I233" s="3" t="str">
        <f t="shared" si="14"/>
        <v>hcpcsbetosgrouper</v>
      </c>
      <c r="J233" s="3" t="str">
        <f t="shared" si="15"/>
        <v>hcpcsbetosgrouper</v>
      </c>
    </row>
    <row r="234" spans="2:10">
      <c r="B234" s="1" t="s">
        <v>293</v>
      </c>
      <c r="C234" s="18" t="s">
        <v>399</v>
      </c>
      <c r="D234" s="12">
        <v>100</v>
      </c>
      <c r="E234" s="1" t="s">
        <v>293</v>
      </c>
      <c r="F234" s="12">
        <v>52</v>
      </c>
      <c r="G234" s="12" t="str">
        <f t="shared" si="12"/>
        <v>Pass</v>
      </c>
      <c r="H234" s="13" t="str">
        <f t="shared" si="13"/>
        <v>Pass</v>
      </c>
      <c r="I234" s="3" t="str">
        <f t="shared" si="14"/>
        <v>hcpcsbetossubgrouper</v>
      </c>
      <c r="J234" s="3" t="str">
        <f t="shared" si="15"/>
        <v>hcpcsbetossubgrouper</v>
      </c>
    </row>
    <row r="235" spans="2:10">
      <c r="B235" s="1" t="s">
        <v>276</v>
      </c>
      <c r="C235" s="18" t="s">
        <v>399</v>
      </c>
      <c r="D235" s="12">
        <v>100</v>
      </c>
      <c r="E235" s="1" t="s">
        <v>276</v>
      </c>
      <c r="F235" s="12">
        <v>0</v>
      </c>
      <c r="G235" s="12" t="str">
        <f t="shared" si="12"/>
        <v>Pass</v>
      </c>
      <c r="H235" s="13" t="str">
        <f t="shared" si="13"/>
        <v>Pass</v>
      </c>
      <c r="I235" s="3" t="str">
        <f t="shared" si="14"/>
        <v>revbetos</v>
      </c>
      <c r="J235" s="3" t="str">
        <f t="shared" si="15"/>
        <v>revbetos</v>
      </c>
    </row>
    <row r="236" spans="2:10">
      <c r="B236" s="1" t="s">
        <v>277</v>
      </c>
      <c r="C236" s="18" t="s">
        <v>399</v>
      </c>
      <c r="D236" s="12">
        <v>100</v>
      </c>
      <c r="E236" s="1" t="s">
        <v>277</v>
      </c>
      <c r="F236" s="12">
        <v>0</v>
      </c>
      <c r="G236" s="12" t="str">
        <f t="shared" si="12"/>
        <v>Pass</v>
      </c>
      <c r="H236" s="13" t="str">
        <f t="shared" si="13"/>
        <v>Pass</v>
      </c>
      <c r="I236" s="3" t="str">
        <f t="shared" si="14"/>
        <v>revbetosgrouper</v>
      </c>
      <c r="J236" s="3" t="str">
        <f t="shared" si="15"/>
        <v>revbetosgrouper</v>
      </c>
    </row>
    <row r="237" spans="2:10">
      <c r="B237" s="1" t="s">
        <v>278</v>
      </c>
      <c r="C237" s="18" t="s">
        <v>399</v>
      </c>
      <c r="D237" s="12">
        <v>100</v>
      </c>
      <c r="E237" s="1" t="s">
        <v>278</v>
      </c>
      <c r="F237" s="12">
        <v>0</v>
      </c>
      <c r="G237" s="12" t="str">
        <f t="shared" si="12"/>
        <v>Pass</v>
      </c>
      <c r="H237" s="13" t="str">
        <f t="shared" si="13"/>
        <v>Pass</v>
      </c>
      <c r="I237" s="3" t="str">
        <f t="shared" si="14"/>
        <v>revbetossubgrouper</v>
      </c>
      <c r="J237" s="3" t="str">
        <f t="shared" si="15"/>
        <v>revbetossubgrouper</v>
      </c>
    </row>
    <row r="238" spans="2:10">
      <c r="B238" s="1" t="s">
        <v>282</v>
      </c>
      <c r="C238" s="18" t="s">
        <v>399</v>
      </c>
      <c r="D238" s="12">
        <v>100</v>
      </c>
      <c r="E238" s="1" t="s">
        <v>282</v>
      </c>
      <c r="F238" s="12">
        <v>0</v>
      </c>
      <c r="G238" s="12" t="str">
        <f t="shared" si="12"/>
        <v>Pass</v>
      </c>
      <c r="H238" s="13" t="str">
        <f t="shared" si="13"/>
        <v>Pass</v>
      </c>
      <c r="I238" s="3" t="str">
        <f t="shared" si="14"/>
        <v>icd1betos</v>
      </c>
      <c r="J238" s="3" t="str">
        <f t="shared" si="15"/>
        <v>icd1betos</v>
      </c>
    </row>
    <row r="239" spans="2:10">
      <c r="B239" s="1" t="s">
        <v>283</v>
      </c>
      <c r="C239" s="18" t="s">
        <v>399</v>
      </c>
      <c r="D239" s="12">
        <v>100</v>
      </c>
      <c r="E239" s="1" t="s">
        <v>283</v>
      </c>
      <c r="F239" s="12">
        <v>0</v>
      </c>
      <c r="G239" s="12" t="str">
        <f t="shared" si="12"/>
        <v>Pass</v>
      </c>
      <c r="H239" s="13" t="str">
        <f t="shared" si="13"/>
        <v>Pass</v>
      </c>
      <c r="I239" s="3" t="str">
        <f t="shared" si="14"/>
        <v>icd1betosgrouper</v>
      </c>
      <c r="J239" s="3" t="str">
        <f t="shared" si="15"/>
        <v>icd1betosgrouper</v>
      </c>
    </row>
    <row r="240" spans="2:10">
      <c r="B240" s="1" t="s">
        <v>284</v>
      </c>
      <c r="C240" s="18" t="s">
        <v>399</v>
      </c>
      <c r="D240" s="12">
        <v>100</v>
      </c>
      <c r="E240" s="1" t="s">
        <v>284</v>
      </c>
      <c r="F240" s="12">
        <v>0</v>
      </c>
      <c r="G240" s="12" t="str">
        <f t="shared" si="12"/>
        <v>Pass</v>
      </c>
      <c r="H240" s="13" t="str">
        <f t="shared" si="13"/>
        <v>Pass</v>
      </c>
      <c r="I240" s="3" t="str">
        <f t="shared" si="14"/>
        <v>icd1betossubgrouper</v>
      </c>
      <c r="J240" s="3" t="str">
        <f t="shared" si="15"/>
        <v>icd1betossubgrouper</v>
      </c>
    </row>
    <row r="241" spans="2:10">
      <c r="B241" s="1" t="s">
        <v>285</v>
      </c>
      <c r="C241" s="18" t="s">
        <v>399</v>
      </c>
      <c r="D241" s="12">
        <v>100</v>
      </c>
      <c r="E241" s="1" t="s">
        <v>285</v>
      </c>
      <c r="F241" s="12">
        <v>0</v>
      </c>
      <c r="G241" s="12" t="str">
        <f t="shared" si="12"/>
        <v>Pass</v>
      </c>
      <c r="H241" s="13" t="str">
        <f t="shared" si="13"/>
        <v>Pass</v>
      </c>
      <c r="I241" s="3" t="str">
        <f t="shared" si="14"/>
        <v>icd2betos</v>
      </c>
      <c r="J241" s="3" t="str">
        <f t="shared" si="15"/>
        <v>icd2betos</v>
      </c>
    </row>
    <row r="242" spans="2:10">
      <c r="B242" s="1" t="s">
        <v>286</v>
      </c>
      <c r="C242" s="18" t="s">
        <v>399</v>
      </c>
      <c r="D242" s="12">
        <v>100</v>
      </c>
      <c r="E242" s="1" t="s">
        <v>286</v>
      </c>
      <c r="F242" s="12">
        <v>0</v>
      </c>
      <c r="G242" s="12" t="str">
        <f t="shared" si="12"/>
        <v>Pass</v>
      </c>
      <c r="H242" s="13" t="str">
        <f t="shared" si="13"/>
        <v>Pass</v>
      </c>
      <c r="I242" s="3" t="str">
        <f t="shared" si="14"/>
        <v>icd2betosgrouper</v>
      </c>
      <c r="J242" s="3" t="str">
        <f t="shared" si="15"/>
        <v>icd2betosgrouper</v>
      </c>
    </row>
    <row r="243" spans="2:10">
      <c r="B243" s="1" t="s">
        <v>287</v>
      </c>
      <c r="C243" s="18" t="s">
        <v>399</v>
      </c>
      <c r="D243" s="12">
        <v>100</v>
      </c>
      <c r="E243" s="1" t="s">
        <v>287</v>
      </c>
      <c r="F243" s="12">
        <v>0</v>
      </c>
      <c r="G243" s="12" t="str">
        <f t="shared" si="12"/>
        <v>Pass</v>
      </c>
      <c r="H243" s="13" t="str">
        <f t="shared" si="13"/>
        <v>Pass</v>
      </c>
      <c r="I243" s="3" t="str">
        <f t="shared" si="14"/>
        <v>icd2betossubgrouper</v>
      </c>
      <c r="J243" s="3" t="str">
        <f t="shared" si="15"/>
        <v>icd2betossubgrouper</v>
      </c>
    </row>
    <row r="244" spans="2:10">
      <c r="B244" s="1" t="s">
        <v>288</v>
      </c>
      <c r="C244" s="18" t="s">
        <v>399</v>
      </c>
      <c r="D244" s="12">
        <v>100</v>
      </c>
      <c r="E244" s="1" t="s">
        <v>288</v>
      </c>
      <c r="F244" s="12">
        <v>0</v>
      </c>
      <c r="G244" s="12" t="str">
        <f t="shared" si="12"/>
        <v>Pass</v>
      </c>
      <c r="H244" s="13" t="str">
        <f t="shared" si="13"/>
        <v>Pass</v>
      </c>
      <c r="I244" s="3" t="str">
        <f t="shared" si="14"/>
        <v>drgbetos</v>
      </c>
      <c r="J244" s="3" t="str">
        <f t="shared" si="15"/>
        <v>drgbetos</v>
      </c>
    </row>
    <row r="245" spans="2:10">
      <c r="B245" s="1" t="s">
        <v>289</v>
      </c>
      <c r="C245" s="18" t="s">
        <v>399</v>
      </c>
      <c r="D245" s="12">
        <v>100</v>
      </c>
      <c r="E245" s="1" t="s">
        <v>289</v>
      </c>
      <c r="F245" s="12">
        <v>0</v>
      </c>
      <c r="G245" s="12" t="str">
        <f t="shared" si="12"/>
        <v>Pass</v>
      </c>
      <c r="H245" s="13" t="str">
        <f t="shared" si="13"/>
        <v>Pass</v>
      </c>
      <c r="I245" s="3" t="str">
        <f t="shared" si="14"/>
        <v>drgbetosgrouper</v>
      </c>
      <c r="J245" s="3" t="str">
        <f t="shared" si="15"/>
        <v>drgbetosgrouper</v>
      </c>
    </row>
    <row r="246" spans="2:10">
      <c r="B246" s="1" t="s">
        <v>290</v>
      </c>
      <c r="C246" s="18" t="s">
        <v>399</v>
      </c>
      <c r="D246" s="12">
        <v>100</v>
      </c>
      <c r="E246" s="1" t="s">
        <v>290</v>
      </c>
      <c r="F246" s="12">
        <v>0</v>
      </c>
      <c r="G246" s="12" t="str">
        <f t="shared" si="12"/>
        <v>Pass</v>
      </c>
      <c r="H246" s="13" t="str">
        <f t="shared" si="13"/>
        <v>Pass</v>
      </c>
      <c r="I246" s="3" t="str">
        <f t="shared" si="14"/>
        <v>drgbetossubgrouper</v>
      </c>
      <c r="J246" s="3" t="str">
        <f t="shared" si="15"/>
        <v>drgbetossubgrouper</v>
      </c>
    </row>
    <row r="247" spans="2:10">
      <c r="B247" s="1" t="s">
        <v>410</v>
      </c>
      <c r="C247" s="18" t="s">
        <v>399</v>
      </c>
      <c r="D247" s="12">
        <v>100</v>
      </c>
      <c r="E247" s="1" t="s">
        <v>410</v>
      </c>
      <c r="F247" s="12">
        <v>0</v>
      </c>
      <c r="G247" s="12" t="str">
        <f t="shared" si="12"/>
        <v>Pass</v>
      </c>
      <c r="H247" s="13" t="str">
        <f t="shared" si="13"/>
        <v>Pass</v>
      </c>
      <c r="I247" s="3" t="str">
        <f t="shared" si="14"/>
        <v>proc7betos</v>
      </c>
      <c r="J247" s="3" t="str">
        <f t="shared" si="15"/>
        <v>proc7betos</v>
      </c>
    </row>
    <row r="248" spans="2:10">
      <c r="B248" s="1" t="s">
        <v>411</v>
      </c>
      <c r="C248" s="18" t="s">
        <v>399</v>
      </c>
      <c r="D248" s="12">
        <v>100</v>
      </c>
      <c r="E248" s="1" t="s">
        <v>411</v>
      </c>
      <c r="F248" s="12">
        <v>0</v>
      </c>
      <c r="G248" s="12" t="str">
        <f t="shared" si="12"/>
        <v>Pass</v>
      </c>
      <c r="H248" s="13" t="str">
        <f t="shared" si="13"/>
        <v>Pass</v>
      </c>
      <c r="I248" s="3" t="str">
        <f t="shared" si="14"/>
        <v>proc7betosgrouper</v>
      </c>
      <c r="J248" s="3" t="str">
        <f t="shared" si="15"/>
        <v>proc7betosgrouper</v>
      </c>
    </row>
    <row r="249" spans="2:10">
      <c r="B249" s="1" t="s">
        <v>412</v>
      </c>
      <c r="C249" s="18" t="s">
        <v>399</v>
      </c>
      <c r="D249" s="12">
        <v>100</v>
      </c>
      <c r="E249" s="1" t="s">
        <v>412</v>
      </c>
      <c r="F249" s="12">
        <v>0</v>
      </c>
      <c r="G249" s="12" t="str">
        <f t="shared" si="12"/>
        <v>Pass</v>
      </c>
      <c r="H249" s="13" t="str">
        <f t="shared" si="13"/>
        <v>Pass</v>
      </c>
      <c r="I249" s="3" t="str">
        <f t="shared" si="14"/>
        <v>proc7betossubgrouper</v>
      </c>
      <c r="J249" s="3" t="str">
        <f t="shared" si="15"/>
        <v>proc7betossubgrouper</v>
      </c>
    </row>
    <row r="250" spans="2:10">
      <c r="B250" s="1" t="s">
        <v>294</v>
      </c>
      <c r="C250" s="18" t="s">
        <v>400</v>
      </c>
      <c r="D250" s="12"/>
      <c r="E250" s="1" t="s">
        <v>294</v>
      </c>
      <c r="F250" s="12">
        <v>10</v>
      </c>
      <c r="G250" s="12" t="str">
        <f t="shared" si="12"/>
        <v>Pass</v>
      </c>
      <c r="H250" s="13" t="str">
        <f t="shared" si="13"/>
        <v>Pass</v>
      </c>
      <c r="I250" s="3" t="str">
        <f t="shared" si="14"/>
        <v>dwcreationdate</v>
      </c>
      <c r="J250" s="3" t="str">
        <f t="shared" si="15"/>
        <v>dwcreationdate</v>
      </c>
    </row>
    <row r="251" spans="2:10">
      <c r="B251" s="1" t="s">
        <v>295</v>
      </c>
      <c r="C251" s="18" t="s">
        <v>400</v>
      </c>
      <c r="D251" s="12"/>
      <c r="E251" s="1" t="s">
        <v>295</v>
      </c>
      <c r="F251" s="12">
        <v>10</v>
      </c>
      <c r="G251" s="12" t="str">
        <f t="shared" si="12"/>
        <v>Pass</v>
      </c>
      <c r="H251" s="13" t="str">
        <f t="shared" si="13"/>
        <v>Pass</v>
      </c>
      <c r="I251" s="3" t="str">
        <f t="shared" si="14"/>
        <v>dwupdatedate</v>
      </c>
      <c r="J251" s="3" t="str">
        <f t="shared" si="15"/>
        <v>dwupdatedate</v>
      </c>
    </row>
    <row r="252" spans="2:10">
      <c r="B252" s="1" t="s">
        <v>86</v>
      </c>
      <c r="C252" s="18" t="s">
        <v>399</v>
      </c>
      <c r="D252" s="12">
        <v>255</v>
      </c>
      <c r="E252" s="1" t="s">
        <v>86</v>
      </c>
      <c r="F252" s="12">
        <v>81</v>
      </c>
      <c r="G252" s="12" t="str">
        <f t="shared" si="12"/>
        <v>Pass</v>
      </c>
      <c r="H252" s="13" t="str">
        <f t="shared" si="13"/>
        <v>Pass</v>
      </c>
      <c r="I252" s="3" t="str">
        <f t="shared" si="14"/>
        <v>dwrawfilename</v>
      </c>
      <c r="J252" s="3" t="str">
        <f t="shared" si="15"/>
        <v>dwrawfilename</v>
      </c>
    </row>
    <row r="253" spans="2:10">
      <c r="B253" s="1" t="s">
        <v>87</v>
      </c>
      <c r="C253" s="18" t="s">
        <v>399</v>
      </c>
      <c r="D253" s="12">
        <v>10</v>
      </c>
      <c r="E253" s="1" t="s">
        <v>87</v>
      </c>
      <c r="F253" s="12">
        <v>10</v>
      </c>
      <c r="G253" s="12" t="str">
        <f t="shared" si="12"/>
        <v>Pass</v>
      </c>
      <c r="H253" s="13" t="str">
        <f t="shared" si="13"/>
        <v>Pass</v>
      </c>
      <c r="I253" s="3" t="str">
        <f t="shared" si="14"/>
        <v>dwrecievedmonth</v>
      </c>
      <c r="J253" s="3" t="str">
        <f t="shared" si="15"/>
        <v>dwrecievedmonth</v>
      </c>
    </row>
    <row r="254" spans="2:10">
      <c r="B254" s="1" t="s">
        <v>296</v>
      </c>
      <c r="C254" s="18" t="s">
        <v>398</v>
      </c>
      <c r="D254" s="12"/>
      <c r="E254" s="1" t="s">
        <v>296</v>
      </c>
      <c r="F254" s="12">
        <v>5</v>
      </c>
      <c r="G254" s="12" t="str">
        <f t="shared" si="12"/>
        <v>Pass</v>
      </c>
      <c r="H254" s="13" t="str">
        <f t="shared" si="13"/>
        <v>Pass</v>
      </c>
      <c r="I254" s="3" t="str">
        <f t="shared" si="14"/>
        <v>visitid</v>
      </c>
      <c r="J254" s="3" t="str">
        <f t="shared" si="15"/>
        <v>visitid</v>
      </c>
    </row>
    <row r="255" spans="2:10">
      <c r="B255" s="1" t="s">
        <v>71</v>
      </c>
      <c r="C255" s="18" t="s">
        <v>399</v>
      </c>
      <c r="D255" s="12">
        <v>50</v>
      </c>
      <c r="E255" s="1" t="s">
        <v>71</v>
      </c>
      <c r="F255" s="12">
        <v>32</v>
      </c>
      <c r="G255" s="12" t="str">
        <f t="shared" si="12"/>
        <v>Pass</v>
      </c>
      <c r="H255" s="13" t="str">
        <f t="shared" si="13"/>
        <v>Pass</v>
      </c>
      <c r="I255" s="3" t="str">
        <f t="shared" si="14"/>
        <v>dwmemberid</v>
      </c>
      <c r="J255" s="3" t="str">
        <f t="shared" si="15"/>
        <v>dwmemberid</v>
      </c>
    </row>
    <row r="256" spans="2:10">
      <c r="B256" s="1" t="s">
        <v>297</v>
      </c>
      <c r="C256" s="18" t="s">
        <v>399</v>
      </c>
      <c r="D256" s="12">
        <v>20</v>
      </c>
      <c r="E256" s="1" t="s">
        <v>297</v>
      </c>
      <c r="F256" s="12">
        <v>4</v>
      </c>
      <c r="G256" s="12" t="str">
        <f t="shared" si="12"/>
        <v>Pass</v>
      </c>
      <c r="H256" s="13" t="str">
        <f t="shared" si="13"/>
        <v>Pass</v>
      </c>
      <c r="I256" s="3" t="str">
        <f t="shared" si="14"/>
        <v>ismakaluused</v>
      </c>
      <c r="J256" s="3" t="str">
        <f t="shared" si="15"/>
        <v>ismakaluused</v>
      </c>
    </row>
    <row r="257" spans="2:10">
      <c r="B257" s="31" t="s">
        <v>436</v>
      </c>
      <c r="C257" s="31" t="s">
        <v>458</v>
      </c>
      <c r="D257" s="12">
        <v>100</v>
      </c>
      <c r="E257" s="31" t="s">
        <v>436</v>
      </c>
      <c r="F257" s="12">
        <v>7</v>
      </c>
      <c r="G257" s="12" t="str">
        <f t="shared" si="12"/>
        <v>Pass</v>
      </c>
      <c r="H257" s="13" t="str">
        <f t="shared" si="13"/>
        <v>Pass</v>
      </c>
      <c r="I257" s="3" t="str">
        <f t="shared" si="14"/>
        <v>udf21</v>
      </c>
      <c r="J257" s="3" t="str">
        <f t="shared" si="15"/>
        <v>udf21</v>
      </c>
    </row>
    <row r="258" spans="2:10">
      <c r="B258" s="31" t="s">
        <v>437</v>
      </c>
      <c r="C258" s="31" t="s">
        <v>458</v>
      </c>
      <c r="D258" s="12">
        <v>100</v>
      </c>
      <c r="E258" s="31" t="s">
        <v>437</v>
      </c>
      <c r="F258" s="12">
        <v>5</v>
      </c>
      <c r="G258" s="12" t="str">
        <f t="shared" si="12"/>
        <v>Pass</v>
      </c>
      <c r="H258" s="13" t="str">
        <f t="shared" si="13"/>
        <v>Pass</v>
      </c>
      <c r="I258" s="3" t="str">
        <f t="shared" si="14"/>
        <v>udf22</v>
      </c>
      <c r="J258" s="3" t="str">
        <f t="shared" si="15"/>
        <v>udf22</v>
      </c>
    </row>
    <row r="259" spans="2:10">
      <c r="B259" s="31" t="s">
        <v>438</v>
      </c>
      <c r="C259" s="31" t="s">
        <v>458</v>
      </c>
      <c r="D259" s="12">
        <v>100</v>
      </c>
      <c r="E259" s="31" t="s">
        <v>438</v>
      </c>
      <c r="F259" s="12">
        <v>5</v>
      </c>
      <c r="G259" s="12" t="str">
        <f t="shared" ref="G259:G276" si="16">IF(I259=J259,"Pass","Fail")</f>
        <v>Pass</v>
      </c>
      <c r="H259" s="13" t="str">
        <f t="shared" ref="H259:H276" si="17">IF(AND(ISBLANK(D259),F259&gt;=0),"Pass",IF(F259&lt;=D259,"Pass","Fail"))</f>
        <v>Pass</v>
      </c>
      <c r="I259" s="3" t="str">
        <f t="shared" ref="I259:I276" si="18">SUBSTITUTE(B259,"_","")</f>
        <v>udf23</v>
      </c>
      <c r="J259" s="3" t="str">
        <f t="shared" ref="J259:J276" si="19">SUBSTITUTE(E259,"_","")</f>
        <v>udf23</v>
      </c>
    </row>
    <row r="260" spans="2:10">
      <c r="B260" s="31" t="s">
        <v>439</v>
      </c>
      <c r="C260" s="31" t="s">
        <v>458</v>
      </c>
      <c r="D260" s="12">
        <v>100</v>
      </c>
      <c r="E260" s="31" t="s">
        <v>439</v>
      </c>
      <c r="F260" s="12">
        <v>5</v>
      </c>
      <c r="G260" s="12" t="str">
        <f t="shared" si="16"/>
        <v>Pass</v>
      </c>
      <c r="H260" s="13" t="str">
        <f t="shared" si="17"/>
        <v>Pass</v>
      </c>
      <c r="I260" s="3" t="str">
        <f t="shared" si="18"/>
        <v>udf24</v>
      </c>
      <c r="J260" s="3" t="str">
        <f t="shared" si="19"/>
        <v>udf24</v>
      </c>
    </row>
    <row r="261" spans="2:10">
      <c r="B261" s="31" t="s">
        <v>440</v>
      </c>
      <c r="C261" s="31" t="s">
        <v>458</v>
      </c>
      <c r="D261" s="12">
        <v>100</v>
      </c>
      <c r="E261" s="31" t="s">
        <v>440</v>
      </c>
      <c r="F261" s="12">
        <v>5</v>
      </c>
      <c r="G261" s="12" t="str">
        <f t="shared" si="16"/>
        <v>Pass</v>
      </c>
      <c r="H261" s="13" t="str">
        <f t="shared" si="17"/>
        <v>Pass</v>
      </c>
      <c r="I261" s="3" t="str">
        <f t="shared" si="18"/>
        <v>udf25</v>
      </c>
      <c r="J261" s="3" t="str">
        <f t="shared" si="19"/>
        <v>udf25</v>
      </c>
    </row>
    <row r="262" spans="2:10">
      <c r="B262" s="31" t="s">
        <v>441</v>
      </c>
      <c r="C262" s="31" t="s">
        <v>458</v>
      </c>
      <c r="D262" s="12">
        <v>100</v>
      </c>
      <c r="E262" s="31" t="s">
        <v>441</v>
      </c>
      <c r="F262" s="12">
        <v>0</v>
      </c>
      <c r="G262" s="12" t="str">
        <f t="shared" si="16"/>
        <v>Pass</v>
      </c>
      <c r="H262" s="13" t="str">
        <f t="shared" si="17"/>
        <v>Pass</v>
      </c>
      <c r="I262" s="3" t="str">
        <f t="shared" si="18"/>
        <v>udf26</v>
      </c>
      <c r="J262" s="3" t="str">
        <f t="shared" si="19"/>
        <v>udf26</v>
      </c>
    </row>
    <row r="263" spans="2:10">
      <c r="B263" s="31" t="s">
        <v>442</v>
      </c>
      <c r="C263" s="31" t="s">
        <v>458</v>
      </c>
      <c r="D263" s="12">
        <v>100</v>
      </c>
      <c r="E263" s="31" t="s">
        <v>442</v>
      </c>
      <c r="F263" s="12">
        <v>0</v>
      </c>
      <c r="G263" s="12" t="str">
        <f t="shared" si="16"/>
        <v>Pass</v>
      </c>
      <c r="H263" s="13" t="str">
        <f t="shared" si="17"/>
        <v>Pass</v>
      </c>
      <c r="I263" s="3" t="str">
        <f t="shared" si="18"/>
        <v>udf27</v>
      </c>
      <c r="J263" s="3" t="str">
        <f t="shared" si="19"/>
        <v>udf27</v>
      </c>
    </row>
    <row r="264" spans="2:10">
      <c r="B264" s="31" t="s">
        <v>443</v>
      </c>
      <c r="C264" s="31" t="s">
        <v>458</v>
      </c>
      <c r="D264" s="12">
        <v>100</v>
      </c>
      <c r="E264" s="31" t="s">
        <v>443</v>
      </c>
      <c r="F264" s="12">
        <v>0</v>
      </c>
      <c r="G264" s="12" t="str">
        <f t="shared" si="16"/>
        <v>Pass</v>
      </c>
      <c r="H264" s="13" t="str">
        <f t="shared" si="17"/>
        <v>Pass</v>
      </c>
      <c r="I264" s="3" t="str">
        <f t="shared" si="18"/>
        <v>udf28</v>
      </c>
      <c r="J264" s="3" t="str">
        <f t="shared" si="19"/>
        <v>udf28</v>
      </c>
    </row>
    <row r="265" spans="2:10">
      <c r="B265" s="31" t="s">
        <v>444</v>
      </c>
      <c r="C265" s="31" t="s">
        <v>458</v>
      </c>
      <c r="D265" s="12">
        <v>100</v>
      </c>
      <c r="E265" s="31" t="s">
        <v>444</v>
      </c>
      <c r="F265" s="12">
        <v>0</v>
      </c>
      <c r="G265" s="12" t="str">
        <f t="shared" si="16"/>
        <v>Pass</v>
      </c>
      <c r="H265" s="13" t="str">
        <f t="shared" si="17"/>
        <v>Pass</v>
      </c>
      <c r="I265" s="3" t="str">
        <f t="shared" si="18"/>
        <v>udf29</v>
      </c>
      <c r="J265" s="3" t="str">
        <f t="shared" si="19"/>
        <v>udf29</v>
      </c>
    </row>
    <row r="266" spans="2:10">
      <c r="B266" s="31" t="s">
        <v>445</v>
      </c>
      <c r="C266" s="31" t="s">
        <v>458</v>
      </c>
      <c r="D266" s="12">
        <v>100</v>
      </c>
      <c r="E266" s="31" t="s">
        <v>445</v>
      </c>
      <c r="F266" s="12">
        <v>0</v>
      </c>
      <c r="G266" s="12" t="str">
        <f t="shared" si="16"/>
        <v>Pass</v>
      </c>
      <c r="H266" s="13" t="str">
        <f t="shared" si="17"/>
        <v>Pass</v>
      </c>
      <c r="I266" s="3" t="str">
        <f t="shared" si="18"/>
        <v>udf30</v>
      </c>
      <c r="J266" s="3" t="str">
        <f t="shared" si="19"/>
        <v>udf30</v>
      </c>
    </row>
    <row r="267" spans="2:10">
      <c r="B267" s="31" t="s">
        <v>446</v>
      </c>
      <c r="C267" s="31" t="s">
        <v>458</v>
      </c>
      <c r="D267" s="12">
        <v>100</v>
      </c>
      <c r="E267" s="31" t="s">
        <v>446</v>
      </c>
      <c r="F267" s="12">
        <v>0</v>
      </c>
      <c r="G267" s="12" t="str">
        <f t="shared" si="16"/>
        <v>Pass</v>
      </c>
      <c r="H267" s="13" t="str">
        <f t="shared" si="17"/>
        <v>Pass</v>
      </c>
      <c r="I267" s="3" t="str">
        <f t="shared" si="18"/>
        <v>udf31</v>
      </c>
      <c r="J267" s="3" t="str">
        <f t="shared" si="19"/>
        <v>udf31</v>
      </c>
    </row>
    <row r="268" spans="2:10">
      <c r="B268" s="31" t="s">
        <v>447</v>
      </c>
      <c r="C268" s="31" t="s">
        <v>458</v>
      </c>
      <c r="D268" s="12">
        <v>100</v>
      </c>
      <c r="E268" s="31" t="s">
        <v>447</v>
      </c>
      <c r="F268" s="12">
        <v>0</v>
      </c>
      <c r="G268" s="12" t="str">
        <f t="shared" si="16"/>
        <v>Pass</v>
      </c>
      <c r="H268" s="13" t="str">
        <f t="shared" si="17"/>
        <v>Pass</v>
      </c>
      <c r="I268" s="3" t="str">
        <f t="shared" si="18"/>
        <v>udf32</v>
      </c>
      <c r="J268" s="3" t="str">
        <f t="shared" si="19"/>
        <v>udf32</v>
      </c>
    </row>
    <row r="269" spans="2:10">
      <c r="B269" s="31" t="s">
        <v>448</v>
      </c>
      <c r="C269" s="31" t="s">
        <v>458</v>
      </c>
      <c r="D269" s="12">
        <v>100</v>
      </c>
      <c r="E269" s="31" t="s">
        <v>448</v>
      </c>
      <c r="F269" s="12">
        <v>0</v>
      </c>
      <c r="G269" s="12" t="str">
        <f t="shared" si="16"/>
        <v>Pass</v>
      </c>
      <c r="H269" s="13" t="str">
        <f t="shared" si="17"/>
        <v>Pass</v>
      </c>
      <c r="I269" s="3" t="str">
        <f t="shared" si="18"/>
        <v>udf33</v>
      </c>
      <c r="J269" s="3" t="str">
        <f t="shared" si="19"/>
        <v>udf33</v>
      </c>
    </row>
    <row r="270" spans="2:10">
      <c r="B270" s="31" t="s">
        <v>449</v>
      </c>
      <c r="C270" s="31" t="s">
        <v>458</v>
      </c>
      <c r="D270" s="12">
        <v>100</v>
      </c>
      <c r="E270" s="31" t="s">
        <v>449</v>
      </c>
      <c r="F270" s="12">
        <v>0</v>
      </c>
      <c r="G270" s="12" t="str">
        <f t="shared" si="16"/>
        <v>Pass</v>
      </c>
      <c r="H270" s="13" t="str">
        <f t="shared" si="17"/>
        <v>Pass</v>
      </c>
      <c r="I270" s="3" t="str">
        <f t="shared" si="18"/>
        <v>udf34</v>
      </c>
      <c r="J270" s="3" t="str">
        <f t="shared" si="19"/>
        <v>udf34</v>
      </c>
    </row>
    <row r="271" spans="2:10">
      <c r="B271" s="31" t="s">
        <v>450</v>
      </c>
      <c r="C271" s="31" t="s">
        <v>458</v>
      </c>
      <c r="D271" s="12">
        <v>100</v>
      </c>
      <c r="E271" s="31" t="s">
        <v>450</v>
      </c>
      <c r="F271" s="12">
        <v>0</v>
      </c>
      <c r="G271" s="12" t="str">
        <f t="shared" si="16"/>
        <v>Pass</v>
      </c>
      <c r="H271" s="13" t="str">
        <f t="shared" si="17"/>
        <v>Pass</v>
      </c>
      <c r="I271" s="3" t="str">
        <f t="shared" si="18"/>
        <v>udf35</v>
      </c>
      <c r="J271" s="3" t="str">
        <f t="shared" si="19"/>
        <v>udf35</v>
      </c>
    </row>
    <row r="272" spans="2:10">
      <c r="B272" s="31" t="s">
        <v>451</v>
      </c>
      <c r="C272" s="31" t="s">
        <v>458</v>
      </c>
      <c r="D272" s="12">
        <v>100</v>
      </c>
      <c r="E272" s="31" t="s">
        <v>451</v>
      </c>
      <c r="F272" s="12">
        <v>0</v>
      </c>
      <c r="G272" s="12" t="str">
        <f t="shared" si="16"/>
        <v>Pass</v>
      </c>
      <c r="H272" s="13" t="str">
        <f t="shared" si="17"/>
        <v>Pass</v>
      </c>
      <c r="I272" s="3" t="str">
        <f t="shared" si="18"/>
        <v>udf36</v>
      </c>
      <c r="J272" s="3" t="str">
        <f t="shared" si="19"/>
        <v>udf36</v>
      </c>
    </row>
    <row r="273" spans="2:10">
      <c r="B273" s="31" t="s">
        <v>452</v>
      </c>
      <c r="C273" s="31" t="s">
        <v>458</v>
      </c>
      <c r="D273" s="12">
        <v>100</v>
      </c>
      <c r="E273" s="31" t="s">
        <v>452</v>
      </c>
      <c r="F273" s="12">
        <v>0</v>
      </c>
      <c r="G273" s="12" t="str">
        <f t="shared" si="16"/>
        <v>Pass</v>
      </c>
      <c r="H273" s="13" t="str">
        <f t="shared" si="17"/>
        <v>Pass</v>
      </c>
      <c r="I273" s="3" t="str">
        <f t="shared" si="18"/>
        <v>udf37</v>
      </c>
      <c r="J273" s="3" t="str">
        <f t="shared" si="19"/>
        <v>udf37</v>
      </c>
    </row>
    <row r="274" spans="2:10">
      <c r="B274" s="31" t="s">
        <v>453</v>
      </c>
      <c r="C274" s="31" t="s">
        <v>458</v>
      </c>
      <c r="D274" s="12">
        <v>100</v>
      </c>
      <c r="E274" s="31" t="s">
        <v>453</v>
      </c>
      <c r="F274" s="12">
        <v>0</v>
      </c>
      <c r="G274" s="12" t="str">
        <f t="shared" si="16"/>
        <v>Pass</v>
      </c>
      <c r="H274" s="13" t="str">
        <f t="shared" si="17"/>
        <v>Pass</v>
      </c>
      <c r="I274" s="3" t="str">
        <f t="shared" si="18"/>
        <v>udf38</v>
      </c>
      <c r="J274" s="3" t="str">
        <f t="shared" si="19"/>
        <v>udf38</v>
      </c>
    </row>
    <row r="275" spans="2:10">
      <c r="B275" s="31" t="s">
        <v>454</v>
      </c>
      <c r="C275" s="31" t="s">
        <v>458</v>
      </c>
      <c r="D275" s="12">
        <v>100</v>
      </c>
      <c r="E275" s="31" t="s">
        <v>454</v>
      </c>
      <c r="F275" s="12">
        <v>0</v>
      </c>
      <c r="G275" s="12" t="str">
        <f t="shared" si="16"/>
        <v>Pass</v>
      </c>
      <c r="H275" s="13" t="str">
        <f t="shared" si="17"/>
        <v>Pass</v>
      </c>
      <c r="I275" s="3" t="str">
        <f t="shared" si="18"/>
        <v>udf39</v>
      </c>
      <c r="J275" s="3" t="str">
        <f t="shared" si="19"/>
        <v>udf39</v>
      </c>
    </row>
    <row r="276" spans="2:10">
      <c r="B276" s="31" t="s">
        <v>455</v>
      </c>
      <c r="C276" s="31" t="s">
        <v>458</v>
      </c>
      <c r="D276" s="12">
        <v>100</v>
      </c>
      <c r="E276" s="31" t="s">
        <v>455</v>
      </c>
      <c r="F276" s="12">
        <v>0</v>
      </c>
      <c r="G276" s="12" t="str">
        <f t="shared" si="16"/>
        <v>Pass</v>
      </c>
      <c r="H276" s="13" t="str">
        <f t="shared" si="17"/>
        <v>Pass</v>
      </c>
      <c r="I276" s="3" t="str">
        <f t="shared" si="18"/>
        <v>udf40</v>
      </c>
      <c r="J276" s="3" t="str">
        <f t="shared" si="19"/>
        <v>udf40</v>
      </c>
    </row>
  </sheetData>
  <conditionalFormatting sqref="G2:H276">
    <cfRule type="cellIs" dxfId="111" priority="121" operator="equal">
      <formula>"Fail"</formula>
    </cfRule>
    <cfRule type="cellIs" dxfId="110" priority="122" operator="equal">
      <formula>"Pass"</formula>
    </cfRule>
  </conditionalFormatting>
  <conditionalFormatting sqref="M6:N7">
    <cfRule type="cellIs" dxfId="109" priority="7" operator="equal">
      <formula>"Fail"</formula>
    </cfRule>
    <cfRule type="cellIs" dxfId="108" priority="8" operator="equal">
      <formula>"Pass"</formula>
    </cfRule>
  </conditionalFormatting>
  <conditionalFormatting sqref="M8">
    <cfRule type="containsText" dxfId="107" priority="1" operator="containsText" text="Pass">
      <formula>NOT(ISERROR(SEARCH("Pass",M8)))</formula>
    </cfRule>
    <cfRule type="containsText" dxfId="106" priority="2" operator="containsText" text="Fail">
      <formula>NOT(ISERROR(SEARCH("Fail",M8)))</formula>
    </cfRule>
  </conditionalFormatting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B1:O13"/>
  <sheetViews>
    <sheetView showGridLines="0" workbookViewId="0">
      <pane ySplit="1" topLeftCell="A2" activePane="bottomLeft" state="frozen"/>
      <selection pane="bottomLeft" activeCell="E2" sqref="E2:E12"/>
    </sheetView>
  </sheetViews>
  <sheetFormatPr defaultRowHeight="15"/>
  <cols>
    <col min="1" max="1" width="3.7109375" customWidth="1"/>
    <col min="2" max="2" width="18.7109375" bestFit="1" customWidth="1"/>
    <col min="3" max="3" width="15.140625" hidden="1" customWidth="1"/>
    <col min="4" max="4" width="12.7109375" bestFit="1" customWidth="1"/>
    <col min="5" max="5" width="18.710937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15.140625" hidden="1" customWidth="1"/>
    <col min="10" max="10" width="12.85546875" hidden="1" customWidth="1"/>
    <col min="12" max="13" width="22.140625" bestFit="1" customWidth="1"/>
    <col min="14" max="14" width="12.28515625" bestFit="1" customWidth="1"/>
    <col min="15" max="15" width="9.140625" hidden="1" customWidth="1"/>
  </cols>
  <sheetData>
    <row r="1" spans="2:15">
      <c r="B1" s="17" t="s">
        <v>389</v>
      </c>
      <c r="C1" s="17" t="s">
        <v>397</v>
      </c>
      <c r="D1" s="17" t="s">
        <v>390</v>
      </c>
      <c r="E1" s="17" t="s">
        <v>72</v>
      </c>
      <c r="F1" s="17" t="s">
        <v>80</v>
      </c>
      <c r="G1" s="17" t="s">
        <v>81</v>
      </c>
      <c r="H1" s="17" t="s">
        <v>82</v>
      </c>
      <c r="O1" s="27" t="s">
        <v>413</v>
      </c>
    </row>
    <row r="2" spans="2:15">
      <c r="B2" s="49" t="s">
        <v>83</v>
      </c>
      <c r="C2" s="49" t="s">
        <v>398</v>
      </c>
      <c r="D2" s="12" t="s">
        <v>476</v>
      </c>
      <c r="E2" s="49" t="s">
        <v>83</v>
      </c>
      <c r="F2" s="12">
        <v>0</v>
      </c>
      <c r="G2" s="12" t="str">
        <f>IF(I2=J2,"Pass","Fail")</f>
        <v>Pass</v>
      </c>
      <c r="H2" s="13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1" t="s">
        <v>394</v>
      </c>
      <c r="M2" s="21" t="s">
        <v>395</v>
      </c>
      <c r="N2" s="21" t="s">
        <v>396</v>
      </c>
    </row>
    <row r="3" spans="2:15">
      <c r="B3" s="49" t="s">
        <v>84</v>
      </c>
      <c r="C3" s="49" t="s">
        <v>399</v>
      </c>
      <c r="D3" s="12">
        <v>50</v>
      </c>
      <c r="E3" s="49" t="s">
        <v>84</v>
      </c>
      <c r="F3" s="12">
        <v>0</v>
      </c>
      <c r="G3" s="12" t="str">
        <f t="shared" ref="G3:G10" si="0">IF(I3=J3,"Pass","Fail")</f>
        <v>Pass</v>
      </c>
      <c r="H3" s="13" t="str">
        <f t="shared" ref="H3:H10" si="1">IF(AND(ISBLANK(D3),F3&gt;=0),"Pass",IF(F3&lt;=D3,"Pass","Fail"))</f>
        <v>Pass</v>
      </c>
      <c r="I3" s="3" t="str">
        <f t="shared" ref="I3:I12" si="2">SUBSTITUTE(B3,"_","")</f>
        <v>dwaccountid</v>
      </c>
      <c r="J3" s="3" t="str">
        <f t="shared" ref="J3:J12" si="3">SUBSTITUTE(E3,"_","")</f>
        <v>dwaccountid</v>
      </c>
      <c r="L3" s="20">
        <v>0</v>
      </c>
      <c r="M3" s="20"/>
      <c r="N3" s="23">
        <f>L3-M3</f>
        <v>0</v>
      </c>
    </row>
    <row r="4" spans="2:15">
      <c r="B4" s="49" t="s">
        <v>85</v>
      </c>
      <c r="C4" s="49" t="s">
        <v>399</v>
      </c>
      <c r="D4" s="12">
        <v>50</v>
      </c>
      <c r="E4" s="49" t="s">
        <v>85</v>
      </c>
      <c r="F4" s="12">
        <v>0</v>
      </c>
      <c r="G4" s="12" t="str">
        <f t="shared" si="0"/>
        <v>Pass</v>
      </c>
      <c r="H4" s="13" t="str">
        <f t="shared" si="1"/>
        <v>Pass</v>
      </c>
      <c r="I4" s="3" t="str">
        <f t="shared" si="2"/>
        <v>dwclientid</v>
      </c>
      <c r="J4" s="3" t="str">
        <f t="shared" si="3"/>
        <v>dwclientid</v>
      </c>
      <c r="L4" s="21" t="s">
        <v>468</v>
      </c>
      <c r="M4" s="20"/>
      <c r="N4" s="23">
        <f>L3-M4</f>
        <v>0</v>
      </c>
    </row>
    <row r="5" spans="2:15">
      <c r="B5" s="49" t="s">
        <v>71</v>
      </c>
      <c r="C5" s="49" t="s">
        <v>399</v>
      </c>
      <c r="D5" s="12">
        <v>50</v>
      </c>
      <c r="E5" s="49" t="s">
        <v>71</v>
      </c>
      <c r="F5" s="12">
        <v>0</v>
      </c>
      <c r="G5" s="12" t="str">
        <f t="shared" si="0"/>
        <v>Pass</v>
      </c>
      <c r="H5" s="13" t="str">
        <f t="shared" si="1"/>
        <v>Pass</v>
      </c>
      <c r="I5" s="3" t="str">
        <f t="shared" si="2"/>
        <v>dwmemberid</v>
      </c>
      <c r="J5" s="3" t="str">
        <f t="shared" si="3"/>
        <v>dwmemberid</v>
      </c>
    </row>
    <row r="6" spans="2:15">
      <c r="B6" s="49" t="s">
        <v>0</v>
      </c>
      <c r="C6" s="49" t="s">
        <v>399</v>
      </c>
      <c r="D6" s="12">
        <v>20</v>
      </c>
      <c r="E6" s="49" t="s">
        <v>0</v>
      </c>
      <c r="F6" s="12">
        <v>0</v>
      </c>
      <c r="G6" s="12" t="str">
        <f t="shared" si="0"/>
        <v>Pass</v>
      </c>
      <c r="H6" s="13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5" t="s">
        <v>403</v>
      </c>
      <c r="M6" s="50" t="s">
        <v>401</v>
      </c>
      <c r="N6" s="42"/>
    </row>
    <row r="7" spans="2:15">
      <c r="B7" s="49" t="s">
        <v>493</v>
      </c>
      <c r="C7" s="49" t="s">
        <v>399</v>
      </c>
      <c r="D7" s="12">
        <v>50</v>
      </c>
      <c r="E7" s="49" t="s">
        <v>493</v>
      </c>
      <c r="F7" s="12">
        <v>0</v>
      </c>
      <c r="G7" s="12" t="str">
        <f t="shared" si="0"/>
        <v>Pass</v>
      </c>
      <c r="H7" s="13" t="str">
        <f t="shared" si="1"/>
        <v>Pass</v>
      </c>
      <c r="I7" s="3" t="str">
        <f t="shared" si="2"/>
        <v>programtype</v>
      </c>
      <c r="J7" s="3" t="str">
        <f t="shared" si="3"/>
        <v>programtype</v>
      </c>
      <c r="L7" s="24" t="s">
        <v>81</v>
      </c>
      <c r="M7" s="12" t="str">
        <f>IF(ISERROR(VLOOKUP($O$1,$G$2:$G$12,1,)),"Pass","Fail")</f>
        <v>Pass</v>
      </c>
      <c r="N7" s="38"/>
    </row>
    <row r="8" spans="2:15">
      <c r="B8" s="49" t="s">
        <v>494</v>
      </c>
      <c r="C8" s="49" t="s">
        <v>399</v>
      </c>
      <c r="D8" s="12">
        <v>20</v>
      </c>
      <c r="E8" s="49" t="s">
        <v>494</v>
      </c>
      <c r="F8" s="12">
        <v>0</v>
      </c>
      <c r="G8" s="12" t="str">
        <f t="shared" si="0"/>
        <v>Pass</v>
      </c>
      <c r="H8" s="13" t="str">
        <f t="shared" si="1"/>
        <v>Pass</v>
      </c>
      <c r="I8" s="3" t="str">
        <f t="shared" si="2"/>
        <v>programcode</v>
      </c>
      <c r="J8" s="3" t="str">
        <f t="shared" si="3"/>
        <v>programcode</v>
      </c>
      <c r="L8" s="24" t="s">
        <v>402</v>
      </c>
      <c r="M8" s="12" t="str">
        <f>IF(ISERROR(VLOOKUP($O$1,$H$2:$H$12,1,)),"Pass","Fail")</f>
        <v>Pass</v>
      </c>
      <c r="N8" s="38"/>
    </row>
    <row r="9" spans="2:15">
      <c r="B9" s="49" t="s">
        <v>495</v>
      </c>
      <c r="C9" s="49" t="s">
        <v>400</v>
      </c>
      <c r="D9" s="12">
        <v>50</v>
      </c>
      <c r="E9" s="49" t="s">
        <v>495</v>
      </c>
      <c r="F9" s="12">
        <v>0</v>
      </c>
      <c r="G9" s="12" t="str">
        <f t="shared" si="0"/>
        <v>Pass</v>
      </c>
      <c r="H9" s="13" t="str">
        <f t="shared" si="1"/>
        <v>Pass</v>
      </c>
      <c r="I9" s="3" t="str">
        <f t="shared" si="2"/>
        <v>programname</v>
      </c>
      <c r="J9" s="3" t="str">
        <f t="shared" si="3"/>
        <v>programname</v>
      </c>
      <c r="L9" s="24" t="s">
        <v>465</v>
      </c>
      <c r="M9" s="40" t="str">
        <f>IF(N3=0,"Pass","Fail")</f>
        <v>Pass</v>
      </c>
    </row>
    <row r="10" spans="2:15">
      <c r="B10" s="49" t="s">
        <v>496</v>
      </c>
      <c r="C10" s="49" t="s">
        <v>400</v>
      </c>
      <c r="D10" s="12">
        <v>20</v>
      </c>
      <c r="E10" s="49" t="s">
        <v>496</v>
      </c>
      <c r="F10" s="12">
        <v>0</v>
      </c>
      <c r="G10" s="12" t="str">
        <f t="shared" si="0"/>
        <v>Pass</v>
      </c>
      <c r="H10" s="13" t="str">
        <f t="shared" si="1"/>
        <v>Pass</v>
      </c>
      <c r="I10" s="3" t="str">
        <f t="shared" si="2"/>
        <v>programstatus</v>
      </c>
      <c r="J10" s="3" t="str">
        <f t="shared" si="3"/>
        <v>programstatus</v>
      </c>
      <c r="L10" s="24" t="s">
        <v>467</v>
      </c>
      <c r="M10" s="41">
        <f>IF(M4=0,0%,N4/M4)</f>
        <v>0</v>
      </c>
    </row>
    <row r="11" spans="2:15">
      <c r="B11" s="49" t="s">
        <v>497</v>
      </c>
      <c r="C11" s="49"/>
      <c r="D11" s="49" t="s">
        <v>476</v>
      </c>
      <c r="E11" s="49" t="s">
        <v>497</v>
      </c>
      <c r="F11" s="12">
        <v>0</v>
      </c>
      <c r="G11" s="12" t="str">
        <f t="shared" ref="G11:G12" si="4">IF(I11=J11,"Pass","Fail")</f>
        <v>Pass</v>
      </c>
      <c r="H11" s="13" t="str">
        <f t="shared" ref="H11:H12" si="5">IF(AND(ISBLANK(D11),F11&gt;=0),"Pass",IF(F11&lt;=D11,"Pass","Fail"))</f>
        <v>Pass</v>
      </c>
      <c r="I11" s="3" t="str">
        <f>SUBSTITUTE(B11,"_","")</f>
        <v>programstartdate</v>
      </c>
      <c r="J11" s="3" t="str">
        <f t="shared" si="3"/>
        <v>programstartdate</v>
      </c>
      <c r="L11" s="24" t="s">
        <v>466</v>
      </c>
      <c r="M11" s="41">
        <f>File_Size_Comparision!F9</f>
        <v>0</v>
      </c>
    </row>
    <row r="12" spans="2:15">
      <c r="B12" s="49" t="s">
        <v>498</v>
      </c>
      <c r="C12" s="49"/>
      <c r="D12" s="49" t="s">
        <v>476</v>
      </c>
      <c r="E12" s="49" t="s">
        <v>498</v>
      </c>
      <c r="F12" s="12">
        <v>0</v>
      </c>
      <c r="G12" s="12" t="str">
        <f t="shared" si="4"/>
        <v>Pass</v>
      </c>
      <c r="H12" s="13" t="str">
        <f t="shared" si="5"/>
        <v>Pass</v>
      </c>
      <c r="I12" s="3" t="str">
        <f t="shared" si="2"/>
        <v>programenddate</v>
      </c>
      <c r="J12" s="3" t="str">
        <f t="shared" si="3"/>
        <v>programenddate</v>
      </c>
    </row>
    <row r="13" spans="2:15">
      <c r="N13" s="44"/>
    </row>
  </sheetData>
  <conditionalFormatting sqref="G2:H12">
    <cfRule type="cellIs" dxfId="105" priority="19" operator="equal">
      <formula>"Fail"</formula>
    </cfRule>
    <cfRule type="cellIs" dxfId="104" priority="20" operator="equal">
      <formula>"Pass"</formula>
    </cfRule>
  </conditionalFormatting>
  <conditionalFormatting sqref="H2:H12">
    <cfRule type="cellIs" dxfId="103" priority="17" operator="equal">
      <formula>"Fail"</formula>
    </cfRule>
    <cfRule type="cellIs" dxfId="102" priority="18" operator="equal">
      <formula>"Pass"</formula>
    </cfRule>
  </conditionalFormatting>
  <conditionalFormatting sqref="H2:H12">
    <cfRule type="cellIs" dxfId="101" priority="15" operator="equal">
      <formula>"Fail"</formula>
    </cfRule>
    <cfRule type="cellIs" dxfId="100" priority="16" operator="equal">
      <formula>"Pass"</formula>
    </cfRule>
  </conditionalFormatting>
  <conditionalFormatting sqref="H2:H12">
    <cfRule type="cellIs" dxfId="99" priority="13" operator="equal">
      <formula>"Fail"</formula>
    </cfRule>
    <cfRule type="cellIs" dxfId="98" priority="14" operator="equal">
      <formula>"Pass"</formula>
    </cfRule>
  </conditionalFormatting>
  <conditionalFormatting sqref="H2:H12">
    <cfRule type="cellIs" dxfId="97" priority="11" operator="equal">
      <formula>"Fail"</formula>
    </cfRule>
    <cfRule type="cellIs" dxfId="96" priority="12" operator="equal">
      <formula>"Pass"</formula>
    </cfRule>
  </conditionalFormatting>
  <conditionalFormatting sqref="H2:H12">
    <cfRule type="cellIs" dxfId="95" priority="9" operator="equal">
      <formula>"Fail"</formula>
    </cfRule>
    <cfRule type="cellIs" dxfId="94" priority="10" operator="equal">
      <formula>"Pass"</formula>
    </cfRule>
  </conditionalFormatting>
  <conditionalFormatting sqref="H2:H12">
    <cfRule type="cellIs" dxfId="93" priority="7" operator="equal">
      <formula>"Fail"</formula>
    </cfRule>
    <cfRule type="cellIs" dxfId="92" priority="8" operator="equal">
      <formula>"Pass"</formula>
    </cfRule>
  </conditionalFormatting>
  <conditionalFormatting sqref="M7:N8">
    <cfRule type="cellIs" dxfId="91" priority="3" operator="equal">
      <formula>"Fail"</formula>
    </cfRule>
    <cfRule type="cellIs" dxfId="90" priority="4" operator="equal">
      <formula>"Pass"</formula>
    </cfRule>
  </conditionalFormatting>
  <conditionalFormatting sqref="M9">
    <cfRule type="containsText" dxfId="89" priority="1" operator="containsText" text="Pass">
      <formula>NOT(ISERROR(SEARCH("Pass",M9)))</formula>
    </cfRule>
    <cfRule type="containsText" dxfId="88" priority="2" operator="containsText" text="Fail">
      <formula>NOT(ISERROR(SEARCH("Fail",M9)))</formula>
    </cfRule>
  </conditionalFormatting>
  <pageMargins left="0.7" right="0.7" top="0.75" bottom="0.75" header="0.3" footer="0.3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B1:O13"/>
  <sheetViews>
    <sheetView showGridLines="0" workbookViewId="0">
      <pane ySplit="1" topLeftCell="A2" activePane="bottomLeft" state="frozen"/>
      <selection pane="bottomLeft" activeCell="F2" sqref="F2:F10"/>
    </sheetView>
  </sheetViews>
  <sheetFormatPr defaultRowHeight="15"/>
  <cols>
    <col min="1" max="1" width="3.7109375" customWidth="1"/>
    <col min="2" max="2" width="15.140625" bestFit="1" customWidth="1"/>
    <col min="3" max="3" width="15.140625" hidden="1" customWidth="1"/>
    <col min="4" max="4" width="12.7109375" bestFit="1" customWidth="1"/>
    <col min="5" max="5" width="15.57031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0" hidden="1" customWidth="1"/>
    <col min="10" max="10" width="11.5703125" hidden="1" customWidth="1"/>
    <col min="12" max="13" width="22.140625" bestFit="1" customWidth="1"/>
    <col min="15" max="15" width="9.140625" hidden="1" customWidth="1"/>
  </cols>
  <sheetData>
    <row r="1" spans="2:15">
      <c r="B1" s="17" t="s">
        <v>389</v>
      </c>
      <c r="C1" s="17" t="s">
        <v>397</v>
      </c>
      <c r="D1" s="17" t="s">
        <v>390</v>
      </c>
      <c r="E1" s="17" t="s">
        <v>72</v>
      </c>
      <c r="F1" s="17" t="s">
        <v>80</v>
      </c>
      <c r="G1" s="17" t="s">
        <v>81</v>
      </c>
      <c r="H1" s="17" t="s">
        <v>82</v>
      </c>
      <c r="O1" s="27" t="s">
        <v>413</v>
      </c>
    </row>
    <row r="2" spans="2:15">
      <c r="B2" s="1" t="s">
        <v>83</v>
      </c>
      <c r="C2" s="18" t="s">
        <v>398</v>
      </c>
      <c r="D2" s="12"/>
      <c r="E2" s="1" t="s">
        <v>83</v>
      </c>
      <c r="F2" s="12">
        <v>4</v>
      </c>
      <c r="G2" s="12" t="str">
        <f>IF(I2=J2,"Pass","Fail")</f>
        <v>Pass</v>
      </c>
      <c r="H2" s="13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1" t="s">
        <v>460</v>
      </c>
      <c r="M2" s="21" t="s">
        <v>461</v>
      </c>
      <c r="N2" s="21" t="s">
        <v>396</v>
      </c>
    </row>
    <row r="3" spans="2:15">
      <c r="B3" s="1" t="s">
        <v>84</v>
      </c>
      <c r="C3" s="18" t="s">
        <v>399</v>
      </c>
      <c r="D3" s="12">
        <v>10</v>
      </c>
      <c r="E3" s="1" t="s">
        <v>84</v>
      </c>
      <c r="F3" s="12">
        <v>0</v>
      </c>
      <c r="G3" s="12" t="str">
        <f t="shared" ref="G3:G10" si="0">IF(I3=J3,"Pass","Fail")</f>
        <v>Pass</v>
      </c>
      <c r="H3" s="13" t="str">
        <f t="shared" ref="H3:H10" si="1">IF(AND(ISBLANK(D3),F3&gt;=0),"Pass",IF(F3&lt;=D3,"Pass","Fail"))</f>
        <v>Pass</v>
      </c>
      <c r="I3" s="3" t="str">
        <f t="shared" ref="I3:I10" si="2">SUBSTITUTE(B3,"_","")</f>
        <v>dwaccountid</v>
      </c>
      <c r="J3" s="3" t="str">
        <f t="shared" ref="J3:J10" si="3">SUBSTITUTE(E3,"_","")</f>
        <v>dwaccountid</v>
      </c>
      <c r="L3" s="20">
        <v>5662</v>
      </c>
      <c r="M3" s="20"/>
      <c r="N3" s="23">
        <f>L3-M3</f>
        <v>5662</v>
      </c>
    </row>
    <row r="4" spans="2:15">
      <c r="B4" s="1" t="s">
        <v>85</v>
      </c>
      <c r="C4" s="18" t="s">
        <v>399</v>
      </c>
      <c r="D4" s="12">
        <v>10</v>
      </c>
      <c r="E4" s="1" t="s">
        <v>85</v>
      </c>
      <c r="F4" s="12">
        <v>8</v>
      </c>
      <c r="G4" s="12" t="str">
        <f t="shared" si="0"/>
        <v>Pass</v>
      </c>
      <c r="H4" s="13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>
      <c r="B5" s="1" t="s">
        <v>71</v>
      </c>
      <c r="C5" s="18" t="s">
        <v>399</v>
      </c>
      <c r="D5" s="12">
        <v>50</v>
      </c>
      <c r="E5" s="1" t="s">
        <v>71</v>
      </c>
      <c r="F5" s="12">
        <v>32</v>
      </c>
      <c r="G5" s="12" t="str">
        <f t="shared" si="0"/>
        <v>Pass</v>
      </c>
      <c r="H5" s="13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5" t="s">
        <v>403</v>
      </c>
      <c r="M5" s="35" t="s">
        <v>401</v>
      </c>
    </row>
    <row r="6" spans="2:15">
      <c r="B6" s="1" t="s">
        <v>0</v>
      </c>
      <c r="C6" s="18" t="s">
        <v>399</v>
      </c>
      <c r="D6" s="12">
        <v>20</v>
      </c>
      <c r="E6" s="1" t="s">
        <v>0</v>
      </c>
      <c r="F6" s="12">
        <v>20</v>
      </c>
      <c r="G6" s="12" t="str">
        <f t="shared" si="0"/>
        <v>Pass</v>
      </c>
      <c r="H6" s="13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4" t="s">
        <v>81</v>
      </c>
      <c r="M6" s="12" t="str">
        <f>IF(ISERROR(VLOOKUP($O$1,$G$2:$G$10,1,)),"Pass","Fail")</f>
        <v>Pass</v>
      </c>
    </row>
    <row r="7" spans="2:15">
      <c r="B7" s="1" t="s">
        <v>299</v>
      </c>
      <c r="C7" s="18" t="s">
        <v>399</v>
      </c>
      <c r="D7" s="12">
        <v>100</v>
      </c>
      <c r="E7" s="1" t="s">
        <v>299</v>
      </c>
      <c r="F7" s="12">
        <v>54</v>
      </c>
      <c r="G7" s="12" t="str">
        <f t="shared" si="0"/>
        <v>Pass</v>
      </c>
      <c r="H7" s="13" t="str">
        <f t="shared" si="1"/>
        <v>Pass</v>
      </c>
      <c r="I7" s="3" t="str">
        <f t="shared" si="2"/>
        <v>pcpname</v>
      </c>
      <c r="J7" s="3" t="str">
        <f t="shared" si="3"/>
        <v>pcpname</v>
      </c>
      <c r="L7" s="24" t="s">
        <v>402</v>
      </c>
      <c r="M7" s="12" t="str">
        <f>IF(ISERROR(VLOOKUP($O$1,$H$2:$H$10,1,)),"Pass","Fail")</f>
        <v>Pass</v>
      </c>
    </row>
    <row r="8" spans="2:15">
      <c r="B8" s="1" t="s">
        <v>300</v>
      </c>
      <c r="C8" s="18" t="s">
        <v>399</v>
      </c>
      <c r="D8" s="12">
        <v>100</v>
      </c>
      <c r="E8" s="1" t="s">
        <v>300</v>
      </c>
      <c r="F8" s="12">
        <v>0</v>
      </c>
      <c r="G8" s="12" t="str">
        <f t="shared" si="0"/>
        <v>Pass</v>
      </c>
      <c r="H8" s="13" t="str">
        <f t="shared" si="1"/>
        <v>Pass</v>
      </c>
      <c r="I8" s="3" t="str">
        <f t="shared" si="2"/>
        <v>pcpnpi</v>
      </c>
      <c r="J8" s="3" t="str">
        <f t="shared" si="3"/>
        <v>pcpnpi</v>
      </c>
      <c r="L8" s="24" t="s">
        <v>467</v>
      </c>
      <c r="M8" s="39">
        <f>IF(M3=0,0%,N3/M3)</f>
        <v>0</v>
      </c>
    </row>
    <row r="9" spans="2:15">
      <c r="B9" s="1" t="s">
        <v>301</v>
      </c>
      <c r="C9" s="18" t="s">
        <v>400</v>
      </c>
      <c r="D9" s="12"/>
      <c r="E9" s="1" t="s">
        <v>301</v>
      </c>
      <c r="F9" s="12">
        <v>10</v>
      </c>
      <c r="G9" s="12" t="str">
        <f t="shared" si="0"/>
        <v>Pass</v>
      </c>
      <c r="H9" s="13" t="str">
        <f t="shared" si="1"/>
        <v>Pass</v>
      </c>
      <c r="I9" s="3" t="str">
        <f t="shared" si="2"/>
        <v>startdate</v>
      </c>
      <c r="J9" s="3" t="str">
        <f t="shared" si="3"/>
        <v>startdate</v>
      </c>
      <c r="L9" s="24" t="s">
        <v>466</v>
      </c>
      <c r="M9" s="41">
        <f>File_Size_Comparision!F10</f>
        <v>0</v>
      </c>
    </row>
    <row r="10" spans="2:15">
      <c r="B10" s="1" t="s">
        <v>302</v>
      </c>
      <c r="C10" s="18" t="s">
        <v>400</v>
      </c>
      <c r="D10" s="12"/>
      <c r="E10" s="1" t="s">
        <v>302</v>
      </c>
      <c r="F10" s="12">
        <v>10</v>
      </c>
      <c r="G10" s="12" t="str">
        <f t="shared" si="0"/>
        <v>Pass</v>
      </c>
      <c r="H10" s="13" t="str">
        <f t="shared" si="1"/>
        <v>Pass</v>
      </c>
      <c r="I10" s="3" t="str">
        <f t="shared" si="2"/>
        <v>enddate</v>
      </c>
      <c r="J10" s="3" t="str">
        <f t="shared" si="3"/>
        <v>enddate</v>
      </c>
    </row>
    <row r="13" spans="2:15">
      <c r="N13" s="44"/>
    </row>
  </sheetData>
  <conditionalFormatting sqref="G2:H10">
    <cfRule type="cellIs" dxfId="87" priority="311" operator="equal">
      <formula>"Fail"</formula>
    </cfRule>
    <cfRule type="cellIs" dxfId="86" priority="312" operator="equal">
      <formula>"Pass"</formula>
    </cfRule>
  </conditionalFormatting>
  <conditionalFormatting sqref="H2:H10">
    <cfRule type="cellIs" dxfId="85" priority="13" operator="equal">
      <formula>"Fail"</formula>
    </cfRule>
    <cfRule type="cellIs" dxfId="84" priority="14" operator="equal">
      <formula>"Pass"</formula>
    </cfRule>
  </conditionalFormatting>
  <conditionalFormatting sqref="H2:H10">
    <cfRule type="cellIs" dxfId="83" priority="11" operator="equal">
      <formula>"Fail"</formula>
    </cfRule>
    <cfRule type="cellIs" dxfId="82" priority="12" operator="equal">
      <formula>"Pass"</formula>
    </cfRule>
  </conditionalFormatting>
  <conditionalFormatting sqref="H2:H10">
    <cfRule type="cellIs" dxfId="81" priority="9" operator="equal">
      <formula>"Fail"</formula>
    </cfRule>
    <cfRule type="cellIs" dxfId="80" priority="10" operator="equal">
      <formula>"Pass"</formula>
    </cfRule>
  </conditionalFormatting>
  <conditionalFormatting sqref="H2:H10">
    <cfRule type="cellIs" dxfId="79" priority="7" operator="equal">
      <formula>"Fail"</formula>
    </cfRule>
    <cfRule type="cellIs" dxfId="78" priority="8" operator="equal">
      <formula>"Pass"</formula>
    </cfRule>
  </conditionalFormatting>
  <conditionalFormatting sqref="H2:H10">
    <cfRule type="cellIs" dxfId="77" priority="5" operator="equal">
      <formula>"Fail"</formula>
    </cfRule>
    <cfRule type="cellIs" dxfId="76" priority="6" operator="equal">
      <formula>"Pass"</formula>
    </cfRule>
  </conditionalFormatting>
  <conditionalFormatting sqref="H2:H10">
    <cfRule type="cellIs" dxfId="75" priority="3" operator="equal">
      <formula>"Fail"</formula>
    </cfRule>
    <cfRule type="cellIs" dxfId="74" priority="4" operator="equal">
      <formula>"Pass"</formula>
    </cfRule>
  </conditionalFormatting>
  <conditionalFormatting sqref="M6:M7">
    <cfRule type="cellIs" dxfId="73" priority="1" operator="equal">
      <formula>"Fail"</formula>
    </cfRule>
    <cfRule type="cellIs" dxfId="72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2"/>
  <dimension ref="B1:O113"/>
  <sheetViews>
    <sheetView showGridLines="0" workbookViewId="0">
      <pane ySplit="1" topLeftCell="A2" activePane="bottomLeft" state="frozen"/>
      <selection pane="bottomLeft" activeCell="F2" sqref="F2:F113"/>
    </sheetView>
  </sheetViews>
  <sheetFormatPr defaultRowHeight="15"/>
  <cols>
    <col min="1" max="1" width="3.42578125" customWidth="1"/>
    <col min="2" max="2" width="27.7109375" bestFit="1" customWidth="1"/>
    <col min="3" max="3" width="9.7109375" hidden="1" customWidth="1"/>
    <col min="4" max="4" width="12.7109375" bestFit="1" customWidth="1"/>
    <col min="5" max="5" width="27.710937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2" max="12" width="17.85546875" bestFit="1" customWidth="1"/>
    <col min="13" max="13" width="22.140625" bestFit="1" customWidth="1"/>
    <col min="14" max="14" width="11.5703125" bestFit="1" customWidth="1"/>
    <col min="15" max="15" width="9.140625" hidden="1" customWidth="1"/>
  </cols>
  <sheetData>
    <row r="1" spans="2:15">
      <c r="B1" s="17" t="s">
        <v>389</v>
      </c>
      <c r="C1" s="17" t="s">
        <v>397</v>
      </c>
      <c r="D1" s="17" t="s">
        <v>390</v>
      </c>
      <c r="E1" s="17" t="s">
        <v>72</v>
      </c>
      <c r="F1" s="17" t="s">
        <v>80</v>
      </c>
      <c r="G1" s="17" t="s">
        <v>81</v>
      </c>
      <c r="H1" s="17" t="s">
        <v>82</v>
      </c>
      <c r="L1" s="21" t="s">
        <v>394</v>
      </c>
      <c r="M1" s="21" t="s">
        <v>395</v>
      </c>
      <c r="N1" s="21" t="s">
        <v>396</v>
      </c>
      <c r="O1" s="26" t="s">
        <v>413</v>
      </c>
    </row>
    <row r="2" spans="2:15">
      <c r="B2" s="1" t="s">
        <v>303</v>
      </c>
      <c r="C2" s="18" t="s">
        <v>399</v>
      </c>
      <c r="D2" s="1">
        <v>80</v>
      </c>
      <c r="E2" s="1" t="s">
        <v>303</v>
      </c>
      <c r="F2" s="1">
        <v>18</v>
      </c>
      <c r="G2" s="12" t="str">
        <f>IF(I2=J2,"Pass","Fail")</f>
        <v>Pass</v>
      </c>
      <c r="H2" s="13" t="str">
        <f>IF(AND(ISBLANK(D2),F2&gt;=0),"Pass",IF(F2&lt;=D2,"Pass","Fail"))</f>
        <v>Pass</v>
      </c>
      <c r="I2" s="3" t="str">
        <f>SUBSTITUTE(B2,"_","")</f>
        <v>revtransactionnum</v>
      </c>
      <c r="J2" s="3" t="str">
        <f>SUBSTITUTE(E2,"_","")</f>
        <v>revtransactionnum</v>
      </c>
      <c r="L2" s="22">
        <v>2624</v>
      </c>
      <c r="M2" s="20">
        <v>2624</v>
      </c>
      <c r="N2" s="23">
        <f>L2-M2</f>
        <v>0</v>
      </c>
    </row>
    <row r="3" spans="2:15">
      <c r="B3" s="1" t="s">
        <v>20</v>
      </c>
      <c r="C3" s="18" t="s">
        <v>399</v>
      </c>
      <c r="D3" s="1">
        <v>20</v>
      </c>
      <c r="E3" s="1" t="s">
        <v>20</v>
      </c>
      <c r="F3" s="1">
        <v>0</v>
      </c>
      <c r="G3" s="12" t="str">
        <f t="shared" ref="G3:G66" si="0">IF(I3=J3,"Pass","Fail")</f>
        <v>Pass</v>
      </c>
      <c r="H3" s="13" t="str">
        <f t="shared" ref="H3:H66" si="1">IF(AND(ISBLANK(D3),F3&gt;=0),"Pass",IF(F3&lt;=D3,"Pass","Fail"))</f>
        <v>Pass</v>
      </c>
      <c r="I3" s="3" t="str">
        <f t="shared" ref="I3:I66" si="2">SUBSTITUTE(B3,"_","")</f>
        <v>insplantypecode</v>
      </c>
      <c r="J3" s="3" t="str">
        <f t="shared" ref="J3:J66" si="3">SUBSTITUTE(E3,"_","")</f>
        <v>insplantypecode</v>
      </c>
      <c r="L3" s="21" t="s">
        <v>468</v>
      </c>
      <c r="M3" s="20"/>
      <c r="N3" s="23">
        <f>L2-M3</f>
        <v>2624</v>
      </c>
    </row>
    <row r="4" spans="2:15">
      <c r="B4" s="1" t="s">
        <v>21</v>
      </c>
      <c r="C4" s="18" t="s">
        <v>399</v>
      </c>
      <c r="D4" s="1">
        <v>255</v>
      </c>
      <c r="E4" s="1" t="s">
        <v>21</v>
      </c>
      <c r="F4" s="1">
        <v>0</v>
      </c>
      <c r="G4" s="12" t="str">
        <f t="shared" si="0"/>
        <v>Pass</v>
      </c>
      <c r="H4" s="13" t="str">
        <f t="shared" si="1"/>
        <v>Pass</v>
      </c>
      <c r="I4" s="3" t="str">
        <f t="shared" si="2"/>
        <v>insplantypedesc</v>
      </c>
      <c r="J4" s="3" t="str">
        <f t="shared" si="3"/>
        <v>insplantypedesc</v>
      </c>
    </row>
    <row r="5" spans="2:15">
      <c r="B5" s="1" t="s">
        <v>0</v>
      </c>
      <c r="C5" s="18" t="s">
        <v>399</v>
      </c>
      <c r="D5" s="1">
        <v>30</v>
      </c>
      <c r="E5" s="1" t="s">
        <v>0</v>
      </c>
      <c r="F5" s="1">
        <v>20</v>
      </c>
      <c r="G5" s="12" t="str">
        <f t="shared" si="0"/>
        <v>Pass</v>
      </c>
      <c r="H5" s="13" t="str">
        <f t="shared" si="1"/>
        <v>Pass</v>
      </c>
      <c r="I5" s="3" t="str">
        <f t="shared" si="2"/>
        <v>mbrid</v>
      </c>
      <c r="J5" s="3" t="str">
        <f t="shared" si="3"/>
        <v>mbrid</v>
      </c>
      <c r="L5" s="25" t="s">
        <v>403</v>
      </c>
      <c r="M5" s="36" t="s">
        <v>401</v>
      </c>
      <c r="N5" s="42"/>
    </row>
    <row r="6" spans="2:15">
      <c r="B6" s="1" t="s">
        <v>3</v>
      </c>
      <c r="C6" s="18" t="s">
        <v>399</v>
      </c>
      <c r="D6" s="1">
        <v>30</v>
      </c>
      <c r="E6" s="1" t="s">
        <v>3</v>
      </c>
      <c r="F6" s="1">
        <v>13</v>
      </c>
      <c r="G6" s="12" t="str">
        <f t="shared" si="0"/>
        <v>Pass</v>
      </c>
      <c r="H6" s="13" t="str">
        <f t="shared" si="1"/>
        <v>Pass</v>
      </c>
      <c r="I6" s="3" t="str">
        <f t="shared" si="2"/>
        <v>mbrfirstname</v>
      </c>
      <c r="J6" s="3" t="str">
        <f t="shared" si="3"/>
        <v>mbrfirstname</v>
      </c>
      <c r="L6" s="24" t="s">
        <v>81</v>
      </c>
      <c r="M6" s="12" t="str">
        <f>IF(ISERROR(VLOOKUP($O$1,$G$2:$G$113,1,)),"Pass","Fail")</f>
        <v>Pass</v>
      </c>
      <c r="N6" s="38"/>
    </row>
    <row r="7" spans="2:15">
      <c r="B7" s="1" t="s">
        <v>4</v>
      </c>
      <c r="C7" s="18" t="s">
        <v>399</v>
      </c>
      <c r="D7" s="1">
        <v>30</v>
      </c>
      <c r="E7" s="1" t="s">
        <v>4</v>
      </c>
      <c r="F7" s="1">
        <v>1</v>
      </c>
      <c r="G7" s="12" t="str">
        <f t="shared" si="0"/>
        <v>Pass</v>
      </c>
      <c r="H7" s="13" t="str">
        <f t="shared" si="1"/>
        <v>Pass</v>
      </c>
      <c r="I7" s="3" t="str">
        <f t="shared" si="2"/>
        <v>mbrmiddlename</v>
      </c>
      <c r="J7" s="3" t="str">
        <f t="shared" si="3"/>
        <v>mbrmiddlename</v>
      </c>
      <c r="L7" s="24" t="s">
        <v>402</v>
      </c>
      <c r="M7" s="12" t="str">
        <f>IF(ISERROR(VLOOKUP($O$1,$H$2:$H$113,1,)),"Pass","Fail")</f>
        <v>Pass</v>
      </c>
      <c r="N7" s="38"/>
    </row>
    <row r="8" spans="2:15">
      <c r="B8" s="1" t="s">
        <v>5</v>
      </c>
      <c r="C8" s="18" t="s">
        <v>399</v>
      </c>
      <c r="D8" s="1">
        <v>30</v>
      </c>
      <c r="E8" s="1" t="s">
        <v>5</v>
      </c>
      <c r="F8" s="1">
        <v>15</v>
      </c>
      <c r="G8" s="12" t="str">
        <f t="shared" si="0"/>
        <v>Pass</v>
      </c>
      <c r="H8" s="13" t="str">
        <f t="shared" si="1"/>
        <v>Pass</v>
      </c>
      <c r="I8" s="3" t="str">
        <f t="shared" si="2"/>
        <v>mbrlastname</v>
      </c>
      <c r="J8" s="3" t="str">
        <f t="shared" si="3"/>
        <v>mbrlastname</v>
      </c>
      <c r="L8" s="24" t="s">
        <v>465</v>
      </c>
      <c r="M8" s="40" t="str">
        <f>IF(N2=0,"Pass","Fail")</f>
        <v>Pass</v>
      </c>
    </row>
    <row r="9" spans="2:15">
      <c r="B9" s="1" t="s">
        <v>7</v>
      </c>
      <c r="C9" s="18" t="s">
        <v>399</v>
      </c>
      <c r="D9" s="1">
        <v>2</v>
      </c>
      <c r="E9" s="1" t="s">
        <v>7</v>
      </c>
      <c r="F9" s="1">
        <v>1</v>
      </c>
      <c r="G9" s="12" t="str">
        <f t="shared" si="0"/>
        <v>Pass</v>
      </c>
      <c r="H9" s="13" t="str">
        <f t="shared" si="1"/>
        <v>Pass</v>
      </c>
      <c r="I9" s="3" t="str">
        <f t="shared" si="2"/>
        <v>mbrgender</v>
      </c>
      <c r="J9" s="3" t="str">
        <f t="shared" si="3"/>
        <v>mbrgender</v>
      </c>
      <c r="L9" s="24" t="s">
        <v>467</v>
      </c>
      <c r="M9" s="41">
        <f>IF(M3=0,0%,N3/M3)</f>
        <v>0</v>
      </c>
    </row>
    <row r="10" spans="2:15">
      <c r="B10" s="1" t="s">
        <v>8</v>
      </c>
      <c r="C10" s="18" t="s">
        <v>400</v>
      </c>
      <c r="D10" s="1" t="s">
        <v>476</v>
      </c>
      <c r="E10" s="1" t="s">
        <v>8</v>
      </c>
      <c r="F10" s="1">
        <v>10</v>
      </c>
      <c r="G10" s="12" t="str">
        <f t="shared" si="0"/>
        <v>Pass</v>
      </c>
      <c r="H10" s="13" t="str">
        <f t="shared" si="1"/>
        <v>Pass</v>
      </c>
      <c r="I10" s="3" t="str">
        <f t="shared" si="2"/>
        <v>mbrdob</v>
      </c>
      <c r="J10" s="3" t="str">
        <f t="shared" si="3"/>
        <v>mbrdob</v>
      </c>
      <c r="L10" s="24" t="s">
        <v>466</v>
      </c>
      <c r="M10" s="41">
        <f>File_Size_Comparision!F11</f>
        <v>0</v>
      </c>
    </row>
    <row r="11" spans="2:15">
      <c r="B11" s="32" t="s">
        <v>11</v>
      </c>
      <c r="C11" s="18" t="s">
        <v>399</v>
      </c>
      <c r="D11" s="1">
        <v>20</v>
      </c>
      <c r="E11" s="32" t="s">
        <v>11</v>
      </c>
      <c r="F11" s="1">
        <v>19</v>
      </c>
      <c r="G11" s="12" t="str">
        <f t="shared" si="0"/>
        <v>Pass</v>
      </c>
      <c r="H11" s="13" t="str">
        <f t="shared" si="1"/>
        <v>Pass</v>
      </c>
      <c r="I11" s="3" t="str">
        <f t="shared" si="2"/>
        <v>mbrcity</v>
      </c>
      <c r="J11" s="3" t="str">
        <f t="shared" si="3"/>
        <v>mbrcity</v>
      </c>
    </row>
    <row r="12" spans="2:15">
      <c r="B12" s="1" t="s">
        <v>12</v>
      </c>
      <c r="C12" s="18" t="s">
        <v>399</v>
      </c>
      <c r="D12" s="1">
        <v>20</v>
      </c>
      <c r="E12" s="1" t="s">
        <v>12</v>
      </c>
      <c r="F12" s="1">
        <v>5</v>
      </c>
      <c r="G12" s="12" t="str">
        <f t="shared" si="0"/>
        <v>Pass</v>
      </c>
      <c r="H12" s="13" t="str">
        <f t="shared" si="1"/>
        <v>Pass</v>
      </c>
      <c r="I12" s="3" t="str">
        <f t="shared" si="2"/>
        <v>mbrcounty</v>
      </c>
      <c r="J12" s="3" t="str">
        <f t="shared" si="3"/>
        <v>mbrcounty</v>
      </c>
    </row>
    <row r="13" spans="2:15">
      <c r="B13" s="1" t="s">
        <v>14</v>
      </c>
      <c r="C13" s="18" t="s">
        <v>399</v>
      </c>
      <c r="D13" s="1">
        <v>10</v>
      </c>
      <c r="E13" s="1" t="s">
        <v>14</v>
      </c>
      <c r="F13" s="1">
        <v>5</v>
      </c>
      <c r="G13" s="12" t="str">
        <f t="shared" si="0"/>
        <v>Pass</v>
      </c>
      <c r="H13" s="13" t="str">
        <f t="shared" si="1"/>
        <v>Pass</v>
      </c>
      <c r="I13" s="3" t="str">
        <f t="shared" si="2"/>
        <v>mbrzip</v>
      </c>
      <c r="J13" s="3" t="str">
        <f t="shared" si="3"/>
        <v>mbrzip</v>
      </c>
    </row>
    <row r="14" spans="2:15">
      <c r="B14" s="1" t="s">
        <v>18</v>
      </c>
      <c r="C14" s="18" t="s">
        <v>399</v>
      </c>
      <c r="D14" s="1">
        <v>5</v>
      </c>
      <c r="E14" s="1" t="s">
        <v>18</v>
      </c>
      <c r="F14" s="1">
        <v>1</v>
      </c>
      <c r="G14" s="12" t="str">
        <f t="shared" si="0"/>
        <v>Pass</v>
      </c>
      <c r="H14" s="13" t="str">
        <f t="shared" si="1"/>
        <v>Pass</v>
      </c>
      <c r="I14" s="3" t="str">
        <f t="shared" si="2"/>
        <v>mbrrelationshipcode</v>
      </c>
      <c r="J14" s="3" t="str">
        <f t="shared" si="3"/>
        <v>mbrrelationshipcode</v>
      </c>
    </row>
    <row r="15" spans="2:15">
      <c r="B15" s="1" t="s">
        <v>19</v>
      </c>
      <c r="C15" s="18" t="s">
        <v>399</v>
      </c>
      <c r="D15" s="48">
        <v>20</v>
      </c>
      <c r="E15" s="1" t="s">
        <v>19</v>
      </c>
      <c r="F15" s="1">
        <v>16</v>
      </c>
      <c r="G15" s="12" t="str">
        <f t="shared" si="0"/>
        <v>Pass</v>
      </c>
      <c r="H15" s="13" t="str">
        <f t="shared" si="1"/>
        <v>Pass</v>
      </c>
      <c r="I15" s="3" t="str">
        <f t="shared" si="2"/>
        <v>mbrrelationshipdesc</v>
      </c>
      <c r="J15" s="3" t="str">
        <f t="shared" si="3"/>
        <v>mbrrelationshipdesc</v>
      </c>
    </row>
    <row r="16" spans="2:15">
      <c r="B16" s="1" t="s">
        <v>22</v>
      </c>
      <c r="C16" s="18" t="s">
        <v>399</v>
      </c>
      <c r="D16" s="1">
        <v>20</v>
      </c>
      <c r="E16" s="1" t="s">
        <v>22</v>
      </c>
      <c r="F16" s="1">
        <v>1</v>
      </c>
      <c r="G16" s="12" t="str">
        <f t="shared" si="0"/>
        <v>Pass</v>
      </c>
      <c r="H16" s="13" t="str">
        <f t="shared" si="1"/>
        <v>Pass</v>
      </c>
      <c r="I16" s="3" t="str">
        <f t="shared" si="2"/>
        <v>inscarrierid</v>
      </c>
      <c r="J16" s="3" t="str">
        <f t="shared" si="3"/>
        <v>inscarrierid</v>
      </c>
    </row>
    <row r="17" spans="2:10">
      <c r="B17" s="1" t="s">
        <v>23</v>
      </c>
      <c r="C17" s="18" t="s">
        <v>399</v>
      </c>
      <c r="D17" s="1">
        <v>50</v>
      </c>
      <c r="E17" s="1" t="s">
        <v>23</v>
      </c>
      <c r="F17" s="1">
        <v>7</v>
      </c>
      <c r="G17" s="12" t="str">
        <f t="shared" si="0"/>
        <v>Pass</v>
      </c>
      <c r="H17" s="13" t="str">
        <f t="shared" si="1"/>
        <v>Pass</v>
      </c>
      <c r="I17" s="3" t="str">
        <f t="shared" si="2"/>
        <v>inscarriername</v>
      </c>
      <c r="J17" s="3" t="str">
        <f t="shared" si="3"/>
        <v>inscarriername</v>
      </c>
    </row>
    <row r="18" spans="2:10">
      <c r="B18" s="1" t="s">
        <v>24</v>
      </c>
      <c r="C18" s="18" t="s">
        <v>399</v>
      </c>
      <c r="D18" s="1">
        <v>20</v>
      </c>
      <c r="E18" s="1" t="s">
        <v>24</v>
      </c>
      <c r="F18" s="1">
        <v>2</v>
      </c>
      <c r="G18" s="12" t="str">
        <f t="shared" si="0"/>
        <v>Pass</v>
      </c>
      <c r="H18" s="13" t="str">
        <f t="shared" si="1"/>
        <v>Pass</v>
      </c>
      <c r="I18" s="3" t="str">
        <f t="shared" si="2"/>
        <v>inscoveragetypecode</v>
      </c>
      <c r="J18" s="3" t="str">
        <f t="shared" si="3"/>
        <v>inscoveragetypecode</v>
      </c>
    </row>
    <row r="19" spans="2:10">
      <c r="B19" s="1" t="s">
        <v>25</v>
      </c>
      <c r="C19" s="18" t="s">
        <v>399</v>
      </c>
      <c r="D19" s="1">
        <v>50</v>
      </c>
      <c r="E19" s="1" t="s">
        <v>25</v>
      </c>
      <c r="F19" s="1">
        <v>11</v>
      </c>
      <c r="G19" s="12" t="str">
        <f t="shared" si="0"/>
        <v>Pass</v>
      </c>
      <c r="H19" s="13" t="str">
        <f t="shared" si="1"/>
        <v>Pass</v>
      </c>
      <c r="I19" s="3" t="str">
        <f t="shared" si="2"/>
        <v>inscoveragetypedesc</v>
      </c>
      <c r="J19" s="3" t="str">
        <f t="shared" si="3"/>
        <v>inscoveragetypedesc</v>
      </c>
    </row>
    <row r="20" spans="2:10">
      <c r="B20" s="1" t="s">
        <v>28</v>
      </c>
      <c r="C20" s="18" t="s">
        <v>399</v>
      </c>
      <c r="D20" s="1">
        <v>20</v>
      </c>
      <c r="E20" s="1" t="s">
        <v>28</v>
      </c>
      <c r="F20" s="1">
        <v>1</v>
      </c>
      <c r="G20" s="12" t="str">
        <f t="shared" si="0"/>
        <v>Pass</v>
      </c>
      <c r="H20" s="13" t="str">
        <f t="shared" si="1"/>
        <v>Pass</v>
      </c>
      <c r="I20" s="3" t="str">
        <f t="shared" si="2"/>
        <v>insempgroupid</v>
      </c>
      <c r="J20" s="3" t="str">
        <f t="shared" si="3"/>
        <v>insempgroupid</v>
      </c>
    </row>
    <row r="21" spans="2:10">
      <c r="B21" s="1" t="s">
        <v>29</v>
      </c>
      <c r="C21" s="18" t="s">
        <v>399</v>
      </c>
      <c r="D21" s="1">
        <v>100</v>
      </c>
      <c r="E21" s="1" t="s">
        <v>29</v>
      </c>
      <c r="F21" s="1">
        <v>7</v>
      </c>
      <c r="G21" s="12" t="str">
        <f t="shared" si="0"/>
        <v>Pass</v>
      </c>
      <c r="H21" s="13" t="str">
        <f t="shared" si="1"/>
        <v>Pass</v>
      </c>
      <c r="I21" s="3" t="str">
        <f t="shared" si="2"/>
        <v>insempgroupname</v>
      </c>
      <c r="J21" s="3" t="str">
        <f t="shared" si="3"/>
        <v>insempgroupname</v>
      </c>
    </row>
    <row r="22" spans="2:10">
      <c r="B22" s="1" t="s">
        <v>30</v>
      </c>
      <c r="C22" s="18" t="s">
        <v>399</v>
      </c>
      <c r="D22" s="1">
        <v>20</v>
      </c>
      <c r="E22" s="1" t="s">
        <v>30</v>
      </c>
      <c r="F22" s="1">
        <v>1</v>
      </c>
      <c r="G22" s="12" t="str">
        <f t="shared" si="0"/>
        <v>Pass</v>
      </c>
      <c r="H22" s="13" t="str">
        <f t="shared" si="1"/>
        <v>Pass</v>
      </c>
      <c r="I22" s="3" t="str">
        <f t="shared" si="2"/>
        <v>insdivisionid</v>
      </c>
      <c r="J22" s="3" t="str">
        <f t="shared" si="3"/>
        <v>insdivisionid</v>
      </c>
    </row>
    <row r="23" spans="2:10">
      <c r="B23" s="1" t="s">
        <v>31</v>
      </c>
      <c r="C23" s="18" t="s">
        <v>399</v>
      </c>
      <c r="D23" s="1">
        <v>100</v>
      </c>
      <c r="E23" s="1" t="s">
        <v>31</v>
      </c>
      <c r="F23" s="1">
        <v>7</v>
      </c>
      <c r="G23" s="12" t="str">
        <f t="shared" si="0"/>
        <v>Pass</v>
      </c>
      <c r="H23" s="13" t="str">
        <f t="shared" si="1"/>
        <v>Pass</v>
      </c>
      <c r="I23" s="3" t="str">
        <f t="shared" si="2"/>
        <v>insdivisionname</v>
      </c>
      <c r="J23" s="3" t="str">
        <f t="shared" si="3"/>
        <v>insdivisionname</v>
      </c>
    </row>
    <row r="24" spans="2:10">
      <c r="B24" s="1" t="s">
        <v>32</v>
      </c>
      <c r="C24" s="18" t="s">
        <v>399</v>
      </c>
      <c r="D24" s="1">
        <v>2</v>
      </c>
      <c r="E24" s="1" t="s">
        <v>32</v>
      </c>
      <c r="F24" s="1">
        <v>0</v>
      </c>
      <c r="G24" s="12" t="str">
        <f t="shared" si="0"/>
        <v>Pass</v>
      </c>
      <c r="H24" s="13" t="str">
        <f t="shared" si="1"/>
        <v>Pass</v>
      </c>
      <c r="I24" s="3" t="str">
        <f t="shared" si="2"/>
        <v>inscobracode</v>
      </c>
      <c r="J24" s="3" t="str">
        <f t="shared" si="3"/>
        <v>inscobracode</v>
      </c>
    </row>
    <row r="25" spans="2:10">
      <c r="B25" s="1" t="s">
        <v>33</v>
      </c>
      <c r="C25" s="18" t="s">
        <v>399</v>
      </c>
      <c r="D25" s="1">
        <v>30</v>
      </c>
      <c r="E25" s="1" t="s">
        <v>33</v>
      </c>
      <c r="F25" s="1">
        <v>0</v>
      </c>
      <c r="G25" s="12" t="str">
        <f t="shared" si="0"/>
        <v>Pass</v>
      </c>
      <c r="H25" s="13" t="str">
        <f t="shared" si="1"/>
        <v>Pass</v>
      </c>
      <c r="I25" s="3" t="str">
        <f t="shared" si="2"/>
        <v>inscobradesc</v>
      </c>
      <c r="J25" s="3" t="str">
        <f t="shared" si="3"/>
        <v>inscobradesc</v>
      </c>
    </row>
    <row r="26" spans="2:10">
      <c r="B26" s="1" t="s">
        <v>304</v>
      </c>
      <c r="C26" s="18" t="s">
        <v>399</v>
      </c>
      <c r="D26" s="1">
        <v>20</v>
      </c>
      <c r="E26" s="34" t="s">
        <v>304</v>
      </c>
      <c r="F26" s="1">
        <v>10</v>
      </c>
      <c r="G26" s="12" t="str">
        <f t="shared" si="0"/>
        <v>Pass</v>
      </c>
      <c r="H26" s="13" t="str">
        <f>IF(AND(ISBLANK(D26),F26&gt;=0),"Pass",IF(F26&lt;=D26,"Pass","Fail"))</f>
        <v>Pass</v>
      </c>
      <c r="I26" s="3" t="str">
        <f t="shared" si="2"/>
        <v>prvprescriberid</v>
      </c>
      <c r="J26" s="3" t="str">
        <f t="shared" si="3"/>
        <v>prvprescriberid</v>
      </c>
    </row>
    <row r="27" spans="2:10">
      <c r="B27" s="1" t="s">
        <v>305</v>
      </c>
      <c r="C27" s="18" t="s">
        <v>399</v>
      </c>
      <c r="D27" s="1">
        <v>70</v>
      </c>
      <c r="E27" s="1" t="s">
        <v>305</v>
      </c>
      <c r="F27" s="1">
        <v>23</v>
      </c>
      <c r="G27" s="12" t="str">
        <f t="shared" si="0"/>
        <v>Pass</v>
      </c>
      <c r="H27" s="13" t="str">
        <f t="shared" si="1"/>
        <v>Pass</v>
      </c>
      <c r="I27" s="3" t="str">
        <f t="shared" si="2"/>
        <v>prvprescriberfirstname</v>
      </c>
      <c r="J27" s="3" t="str">
        <f t="shared" si="3"/>
        <v>prvprescriberfirstname</v>
      </c>
    </row>
    <row r="28" spans="2:10">
      <c r="B28" s="1" t="s">
        <v>306</v>
      </c>
      <c r="C28" s="18" t="s">
        <v>399</v>
      </c>
      <c r="D28" s="1">
        <v>30</v>
      </c>
      <c r="E28" s="1" t="s">
        <v>306</v>
      </c>
      <c r="F28" s="1">
        <v>16</v>
      </c>
      <c r="G28" s="12" t="str">
        <f t="shared" si="0"/>
        <v>Pass</v>
      </c>
      <c r="H28" s="13" t="str">
        <f t="shared" si="1"/>
        <v>Pass</v>
      </c>
      <c r="I28" s="3" t="str">
        <f t="shared" si="2"/>
        <v>prvprescribermiddlename</v>
      </c>
      <c r="J28" s="3" t="str">
        <f t="shared" si="3"/>
        <v>prvprescribermiddlename</v>
      </c>
    </row>
    <row r="29" spans="2:10">
      <c r="B29" s="1" t="s">
        <v>307</v>
      </c>
      <c r="C29" s="18" t="s">
        <v>399</v>
      </c>
      <c r="D29" s="1">
        <v>40</v>
      </c>
      <c r="E29" s="1" t="s">
        <v>307</v>
      </c>
      <c r="F29" s="1">
        <v>20</v>
      </c>
      <c r="G29" s="12" t="str">
        <f t="shared" si="0"/>
        <v>Pass</v>
      </c>
      <c r="H29" s="13" t="str">
        <f t="shared" si="1"/>
        <v>Pass</v>
      </c>
      <c r="I29" s="3" t="str">
        <f t="shared" si="2"/>
        <v>prvprescriberlastname</v>
      </c>
      <c r="J29" s="3" t="str">
        <f t="shared" si="3"/>
        <v>prvprescriberlastname</v>
      </c>
    </row>
    <row r="30" spans="2:10">
      <c r="B30" s="1" t="s">
        <v>308</v>
      </c>
      <c r="C30" s="18" t="s">
        <v>399</v>
      </c>
      <c r="D30" s="48">
        <v>10</v>
      </c>
      <c r="E30" s="1" t="s">
        <v>308</v>
      </c>
      <c r="F30" s="1">
        <v>0</v>
      </c>
      <c r="G30" s="12" t="str">
        <f t="shared" si="0"/>
        <v>Pass</v>
      </c>
      <c r="H30" s="13" t="str">
        <f t="shared" si="1"/>
        <v>Pass</v>
      </c>
      <c r="I30" s="3" t="str">
        <f t="shared" si="2"/>
        <v>prvprescribertypeCode</v>
      </c>
      <c r="J30" s="3" t="str">
        <f t="shared" si="3"/>
        <v>prvprescribertypeCode</v>
      </c>
    </row>
    <row r="31" spans="2:10">
      <c r="B31" s="1" t="s">
        <v>309</v>
      </c>
      <c r="C31" s="18" t="s">
        <v>399</v>
      </c>
      <c r="D31" s="1">
        <v>50</v>
      </c>
      <c r="E31" s="1" t="s">
        <v>309</v>
      </c>
      <c r="F31" s="1">
        <v>0</v>
      </c>
      <c r="G31" s="12" t="str">
        <f t="shared" si="0"/>
        <v>Pass</v>
      </c>
      <c r="H31" s="13" t="str">
        <f t="shared" si="1"/>
        <v>Pass</v>
      </c>
      <c r="I31" s="3" t="str">
        <f t="shared" si="2"/>
        <v>prvprescribertypedesc</v>
      </c>
      <c r="J31" s="3" t="str">
        <f t="shared" si="3"/>
        <v>prvprescribertypedesc</v>
      </c>
    </row>
    <row r="32" spans="2:10">
      <c r="B32" s="1" t="s">
        <v>310</v>
      </c>
      <c r="C32" s="18" t="s">
        <v>399</v>
      </c>
      <c r="D32" s="1">
        <v>30</v>
      </c>
      <c r="E32" s="1" t="s">
        <v>310</v>
      </c>
      <c r="F32" s="1">
        <v>9</v>
      </c>
      <c r="G32" s="12" t="str">
        <f t="shared" si="0"/>
        <v>Pass</v>
      </c>
      <c r="H32" s="13" t="str">
        <f t="shared" si="1"/>
        <v>Pass</v>
      </c>
      <c r="I32" s="3" t="str">
        <f t="shared" si="2"/>
        <v>prvdea</v>
      </c>
      <c r="J32" s="3" t="str">
        <f t="shared" si="3"/>
        <v>prvdea</v>
      </c>
    </row>
    <row r="33" spans="2:10">
      <c r="B33" s="1" t="s">
        <v>114</v>
      </c>
      <c r="C33" s="18" t="s">
        <v>399</v>
      </c>
      <c r="D33" s="1">
        <v>30</v>
      </c>
      <c r="E33" s="1" t="s">
        <v>114</v>
      </c>
      <c r="F33" s="1">
        <v>10</v>
      </c>
      <c r="G33" s="12" t="str">
        <f t="shared" si="0"/>
        <v>Pass</v>
      </c>
      <c r="H33" s="13" t="str">
        <f t="shared" si="1"/>
        <v>Pass</v>
      </c>
      <c r="I33" s="3" t="str">
        <f t="shared" si="2"/>
        <v>prvnpi</v>
      </c>
      <c r="J33" s="3" t="str">
        <f t="shared" si="3"/>
        <v>prvnpi</v>
      </c>
    </row>
    <row r="34" spans="2:10">
      <c r="B34" s="1" t="s">
        <v>311</v>
      </c>
      <c r="C34" s="18" t="s">
        <v>399</v>
      </c>
      <c r="D34" s="1">
        <v>30</v>
      </c>
      <c r="E34" s="1" t="s">
        <v>311</v>
      </c>
      <c r="F34" s="1">
        <v>0</v>
      </c>
      <c r="G34" s="12" t="str">
        <f t="shared" si="0"/>
        <v>Pass</v>
      </c>
      <c r="H34" s="13" t="str">
        <f t="shared" si="1"/>
        <v>Pass</v>
      </c>
      <c r="I34" s="3" t="str">
        <f t="shared" si="2"/>
        <v>prvnabp</v>
      </c>
      <c r="J34" s="3" t="str">
        <f t="shared" si="3"/>
        <v>prvnabp</v>
      </c>
    </row>
    <row r="35" spans="2:10">
      <c r="B35" s="1" t="s">
        <v>312</v>
      </c>
      <c r="C35" s="18" t="s">
        <v>399</v>
      </c>
      <c r="D35" s="1">
        <v>10</v>
      </c>
      <c r="E35" s="1" t="s">
        <v>312</v>
      </c>
      <c r="F35" s="1">
        <v>0</v>
      </c>
      <c r="G35" s="12" t="str">
        <f t="shared" si="0"/>
        <v>Pass</v>
      </c>
      <c r="H35" s="13" t="str">
        <f t="shared" si="1"/>
        <v>Pass</v>
      </c>
      <c r="I35" s="3" t="str">
        <f t="shared" si="2"/>
        <v>prvtypecode</v>
      </c>
      <c r="J35" s="3" t="str">
        <f t="shared" si="3"/>
        <v>prvtypecode</v>
      </c>
    </row>
    <row r="36" spans="2:10">
      <c r="B36" s="1" t="s">
        <v>313</v>
      </c>
      <c r="C36" s="18" t="s">
        <v>400</v>
      </c>
      <c r="D36" s="1" t="s">
        <v>476</v>
      </c>
      <c r="E36" s="1" t="s">
        <v>313</v>
      </c>
      <c r="F36" s="1">
        <v>10</v>
      </c>
      <c r="G36" s="12" t="str">
        <f t="shared" si="0"/>
        <v>Pass</v>
      </c>
      <c r="H36" s="13" t="str">
        <f t="shared" si="1"/>
        <v>Pass</v>
      </c>
      <c r="I36" s="3" t="str">
        <f t="shared" si="2"/>
        <v>svcwrittendate</v>
      </c>
      <c r="J36" s="3" t="str">
        <f t="shared" si="3"/>
        <v>svcwrittendate</v>
      </c>
    </row>
    <row r="37" spans="2:10">
      <c r="B37" s="1" t="s">
        <v>314</v>
      </c>
      <c r="C37" s="18" t="s">
        <v>400</v>
      </c>
      <c r="D37" s="1" t="s">
        <v>476</v>
      </c>
      <c r="E37" s="1" t="s">
        <v>314</v>
      </c>
      <c r="F37" s="1">
        <v>10</v>
      </c>
      <c r="G37" s="12" t="str">
        <f t="shared" si="0"/>
        <v>Pass</v>
      </c>
      <c r="H37" s="13" t="str">
        <f t="shared" si="1"/>
        <v>Pass</v>
      </c>
      <c r="I37" s="3" t="str">
        <f t="shared" si="2"/>
        <v>svcfilleddate</v>
      </c>
      <c r="J37" s="3" t="str">
        <f t="shared" si="3"/>
        <v>svcfilleddate</v>
      </c>
    </row>
    <row r="38" spans="2:10">
      <c r="B38" s="1" t="s">
        <v>315</v>
      </c>
      <c r="C38" s="18" t="s">
        <v>400</v>
      </c>
      <c r="D38" s="1" t="s">
        <v>476</v>
      </c>
      <c r="E38" s="1" t="s">
        <v>315</v>
      </c>
      <c r="F38" s="1">
        <v>10</v>
      </c>
      <c r="G38" s="12" t="str">
        <f t="shared" si="0"/>
        <v>Pass</v>
      </c>
      <c r="H38" s="13" t="str">
        <f t="shared" si="1"/>
        <v>Pass</v>
      </c>
      <c r="I38" s="3" t="str">
        <f t="shared" si="2"/>
        <v>svcservicedate</v>
      </c>
      <c r="J38" s="3" t="str">
        <f t="shared" si="3"/>
        <v>svcservicedate</v>
      </c>
    </row>
    <row r="39" spans="2:10">
      <c r="B39" s="1" t="s">
        <v>192</v>
      </c>
      <c r="C39" s="18" t="s">
        <v>400</v>
      </c>
      <c r="D39" s="1" t="s">
        <v>476</v>
      </c>
      <c r="E39" s="1" t="s">
        <v>192</v>
      </c>
      <c r="F39" s="1">
        <v>10</v>
      </c>
      <c r="G39" s="12" t="str">
        <f t="shared" si="0"/>
        <v>Pass</v>
      </c>
      <c r="H39" s="13" t="str">
        <f t="shared" si="1"/>
        <v>Pass</v>
      </c>
      <c r="I39" s="3" t="str">
        <f t="shared" si="2"/>
        <v>revpaiddate</v>
      </c>
      <c r="J39" s="3" t="str">
        <f t="shared" si="3"/>
        <v>revpaiddate</v>
      </c>
    </row>
    <row r="40" spans="2:10">
      <c r="B40" s="1" t="s">
        <v>316</v>
      </c>
      <c r="C40" s="18" t="s">
        <v>399</v>
      </c>
      <c r="D40" s="1">
        <v>11</v>
      </c>
      <c r="E40" s="1" t="s">
        <v>316</v>
      </c>
      <c r="F40" s="1">
        <v>11</v>
      </c>
      <c r="G40" s="12" t="str">
        <f t="shared" si="0"/>
        <v>Pass</v>
      </c>
      <c r="H40" s="13" t="str">
        <f t="shared" si="1"/>
        <v>Pass</v>
      </c>
      <c r="I40" s="3" t="str">
        <f t="shared" si="2"/>
        <v>svcndccode</v>
      </c>
      <c r="J40" s="3" t="str">
        <f t="shared" si="3"/>
        <v>svcndccode</v>
      </c>
    </row>
    <row r="41" spans="2:10">
      <c r="B41" s="1" t="s">
        <v>317</v>
      </c>
      <c r="C41" s="18" t="s">
        <v>399</v>
      </c>
      <c r="D41" s="1">
        <v>256</v>
      </c>
      <c r="E41" s="1" t="s">
        <v>317</v>
      </c>
      <c r="F41" s="1">
        <v>34</v>
      </c>
      <c r="G41" s="12" t="str">
        <f t="shared" si="0"/>
        <v>Pass</v>
      </c>
      <c r="H41" s="13" t="str">
        <f t="shared" si="1"/>
        <v>Pass</v>
      </c>
      <c r="I41" s="3" t="str">
        <f t="shared" si="2"/>
        <v>svcndcdesc</v>
      </c>
      <c r="J41" s="3" t="str">
        <f t="shared" si="3"/>
        <v>svcndcdesc</v>
      </c>
    </row>
    <row r="42" spans="2:10">
      <c r="B42" s="1" t="s">
        <v>318</v>
      </c>
      <c r="C42" s="18" t="s">
        <v>399</v>
      </c>
      <c r="D42" s="1">
        <v>12</v>
      </c>
      <c r="E42" s="1" t="s">
        <v>318</v>
      </c>
      <c r="F42" s="1">
        <v>4</v>
      </c>
      <c r="G42" s="12" t="str">
        <f t="shared" si="0"/>
        <v>Pass</v>
      </c>
      <c r="H42" s="13" t="str">
        <f t="shared" si="1"/>
        <v>Pass</v>
      </c>
      <c r="I42" s="3" t="str">
        <f t="shared" si="2"/>
        <v>svcrxclasscode</v>
      </c>
      <c r="J42" s="3" t="str">
        <f t="shared" si="3"/>
        <v>svcrxclasscode</v>
      </c>
    </row>
    <row r="43" spans="2:10">
      <c r="B43" s="1" t="s">
        <v>319</v>
      </c>
      <c r="C43" s="18" t="s">
        <v>399</v>
      </c>
      <c r="D43" s="1">
        <v>200</v>
      </c>
      <c r="E43" s="1" t="s">
        <v>319</v>
      </c>
      <c r="F43" s="1">
        <v>40</v>
      </c>
      <c r="G43" s="12" t="str">
        <f t="shared" si="0"/>
        <v>Pass</v>
      </c>
      <c r="H43" s="13" t="str">
        <f t="shared" si="1"/>
        <v>Pass</v>
      </c>
      <c r="I43" s="3" t="str">
        <f t="shared" si="2"/>
        <v>svcrxclassdesc</v>
      </c>
      <c r="J43" s="3" t="str">
        <f t="shared" si="3"/>
        <v>svcrxclassdesc</v>
      </c>
    </row>
    <row r="44" spans="2:10">
      <c r="B44" s="1" t="s">
        <v>320</v>
      </c>
      <c r="C44" s="18" t="s">
        <v>399</v>
      </c>
      <c r="D44" s="1">
        <v>200</v>
      </c>
      <c r="E44" s="1" t="s">
        <v>320</v>
      </c>
      <c r="F44" s="1">
        <v>30</v>
      </c>
      <c r="G44" s="12" t="str">
        <f t="shared" si="0"/>
        <v>Pass</v>
      </c>
      <c r="H44" s="13" t="str">
        <f t="shared" si="1"/>
        <v>Pass</v>
      </c>
      <c r="I44" s="3" t="str">
        <f t="shared" si="2"/>
        <v>svcdrugname</v>
      </c>
      <c r="J44" s="3" t="str">
        <f t="shared" si="3"/>
        <v>svcdrugname</v>
      </c>
    </row>
    <row r="45" spans="2:10">
      <c r="B45" s="1" t="s">
        <v>321</v>
      </c>
      <c r="C45" s="18" t="s">
        <v>399</v>
      </c>
      <c r="D45" s="1">
        <v>10</v>
      </c>
      <c r="E45" s="1" t="s">
        <v>321</v>
      </c>
      <c r="F45" s="1">
        <v>0</v>
      </c>
      <c r="G45" s="12" t="str">
        <f t="shared" si="0"/>
        <v>Pass</v>
      </c>
      <c r="H45" s="13" t="str">
        <f t="shared" si="1"/>
        <v>Pass</v>
      </c>
      <c r="I45" s="3" t="str">
        <f t="shared" si="2"/>
        <v>svcdosage</v>
      </c>
      <c r="J45" s="3" t="str">
        <f t="shared" si="3"/>
        <v>svcdosage</v>
      </c>
    </row>
    <row r="46" spans="2:10">
      <c r="B46" s="1" t="s">
        <v>322</v>
      </c>
      <c r="C46" s="18" t="s">
        <v>399</v>
      </c>
      <c r="D46" s="1">
        <v>100</v>
      </c>
      <c r="E46" s="1" t="s">
        <v>322</v>
      </c>
      <c r="F46" s="1">
        <v>60</v>
      </c>
      <c r="G46" s="12" t="str">
        <f t="shared" si="0"/>
        <v>Pass</v>
      </c>
      <c r="H46" s="13" t="str">
        <f t="shared" si="1"/>
        <v>Pass</v>
      </c>
      <c r="I46" s="3" t="str">
        <f t="shared" si="2"/>
        <v>svcdrugstrength</v>
      </c>
      <c r="J46" s="3" t="str">
        <f t="shared" si="3"/>
        <v>svcdrugstrength</v>
      </c>
    </row>
    <row r="47" spans="2:10">
      <c r="B47" s="1" t="s">
        <v>323</v>
      </c>
      <c r="C47" s="18" t="s">
        <v>398</v>
      </c>
      <c r="D47" s="1" t="s">
        <v>476</v>
      </c>
      <c r="E47" s="1" t="s">
        <v>323</v>
      </c>
      <c r="F47" s="1">
        <v>5</v>
      </c>
      <c r="G47" s="12" t="str">
        <f t="shared" si="0"/>
        <v>Pass</v>
      </c>
      <c r="H47" s="13" t="str">
        <f t="shared" si="1"/>
        <v>Pass</v>
      </c>
      <c r="I47" s="3" t="str">
        <f t="shared" si="2"/>
        <v>svcunitqty</v>
      </c>
      <c r="J47" s="3" t="str">
        <f t="shared" si="3"/>
        <v>svcunitqty</v>
      </c>
    </row>
    <row r="48" spans="2:10">
      <c r="B48" s="1" t="s">
        <v>324</v>
      </c>
      <c r="C48" s="18" t="s">
        <v>398</v>
      </c>
      <c r="D48" s="1" t="s">
        <v>476</v>
      </c>
      <c r="E48" s="1" t="s">
        <v>324</v>
      </c>
      <c r="F48" s="1">
        <v>3</v>
      </c>
      <c r="G48" s="12" t="str">
        <f t="shared" si="0"/>
        <v>Pass</v>
      </c>
      <c r="H48" s="13" t="str">
        <f t="shared" si="1"/>
        <v>Pass</v>
      </c>
      <c r="I48" s="3" t="str">
        <f t="shared" si="2"/>
        <v>svcdaysofsupply</v>
      </c>
      <c r="J48" s="3" t="str">
        <f t="shared" si="3"/>
        <v>svcdaysofsupply</v>
      </c>
    </row>
    <row r="49" spans="2:10">
      <c r="B49" s="1" t="s">
        <v>325</v>
      </c>
      <c r="C49" s="18" t="s">
        <v>399</v>
      </c>
      <c r="D49" s="1">
        <v>200</v>
      </c>
      <c r="E49" s="1" t="s">
        <v>325</v>
      </c>
      <c r="F49" s="1">
        <v>30</v>
      </c>
      <c r="G49" s="12" t="str">
        <f t="shared" si="0"/>
        <v>Pass</v>
      </c>
      <c r="H49" s="13" t="str">
        <f t="shared" si="1"/>
        <v>Pass</v>
      </c>
      <c r="I49" s="3" t="str">
        <f t="shared" si="2"/>
        <v>svclabelname</v>
      </c>
      <c r="J49" s="3" t="str">
        <f t="shared" si="3"/>
        <v>svclabelname</v>
      </c>
    </row>
    <row r="50" spans="2:10">
      <c r="B50" s="1" t="s">
        <v>326</v>
      </c>
      <c r="C50" s="18" t="s">
        <v>399</v>
      </c>
      <c r="D50" s="1">
        <v>10</v>
      </c>
      <c r="E50" s="1" t="s">
        <v>326</v>
      </c>
      <c r="F50" s="1">
        <v>0</v>
      </c>
      <c r="G50" s="12" t="str">
        <f t="shared" si="0"/>
        <v>Pass</v>
      </c>
      <c r="H50" s="13" t="str">
        <f t="shared" si="1"/>
        <v>Pass</v>
      </c>
      <c r="I50" s="3" t="str">
        <f t="shared" si="2"/>
        <v>svcformularyplancode</v>
      </c>
      <c r="J50" s="3" t="str">
        <f t="shared" si="3"/>
        <v>svcformularyplancode</v>
      </c>
    </row>
    <row r="51" spans="2:10">
      <c r="B51" s="1" t="s">
        <v>327</v>
      </c>
      <c r="C51" s="18" t="s">
        <v>399</v>
      </c>
      <c r="D51" s="1">
        <v>1</v>
      </c>
      <c r="E51" s="1" t="s">
        <v>327</v>
      </c>
      <c r="F51" s="1">
        <v>1</v>
      </c>
      <c r="G51" s="12" t="str">
        <f t="shared" si="0"/>
        <v>Pass</v>
      </c>
      <c r="H51" s="13" t="str">
        <f t="shared" si="1"/>
        <v>Pass</v>
      </c>
      <c r="I51" s="3" t="str">
        <f t="shared" si="2"/>
        <v>svcformularyflag</v>
      </c>
      <c r="J51" s="3" t="str">
        <f t="shared" si="3"/>
        <v>svcformularyflag</v>
      </c>
    </row>
    <row r="52" spans="2:10">
      <c r="B52" s="1" t="s">
        <v>328</v>
      </c>
      <c r="C52" s="18" t="s">
        <v>399</v>
      </c>
      <c r="D52" s="1">
        <v>1</v>
      </c>
      <c r="E52" s="1" t="s">
        <v>328</v>
      </c>
      <c r="F52" s="1">
        <v>1</v>
      </c>
      <c r="G52" s="12" t="str">
        <f t="shared" si="0"/>
        <v>Pass</v>
      </c>
      <c r="H52" s="13" t="str">
        <f t="shared" si="1"/>
        <v>Pass</v>
      </c>
      <c r="I52" s="3" t="str">
        <f t="shared" si="2"/>
        <v>svcgenericflag</v>
      </c>
      <c r="J52" s="3" t="str">
        <f t="shared" si="3"/>
        <v>svcgenericflag</v>
      </c>
    </row>
    <row r="53" spans="2:10">
      <c r="B53" s="1" t="s">
        <v>329</v>
      </c>
      <c r="C53" s="18" t="s">
        <v>399</v>
      </c>
      <c r="D53" s="1">
        <v>1</v>
      </c>
      <c r="E53" s="1" t="s">
        <v>329</v>
      </c>
      <c r="F53" s="1">
        <v>1</v>
      </c>
      <c r="G53" s="12" t="str">
        <f t="shared" si="0"/>
        <v>Pass</v>
      </c>
      <c r="H53" s="13" t="str">
        <f t="shared" si="1"/>
        <v>Pass</v>
      </c>
      <c r="I53" s="3" t="str">
        <f t="shared" si="2"/>
        <v>svcmailorderflag</v>
      </c>
      <c r="J53" s="3" t="str">
        <f t="shared" si="3"/>
        <v>svcmailorderflag</v>
      </c>
    </row>
    <row r="54" spans="2:10">
      <c r="B54" s="1" t="s">
        <v>330</v>
      </c>
      <c r="C54" s="18" t="s">
        <v>398</v>
      </c>
      <c r="D54" s="1" t="s">
        <v>476</v>
      </c>
      <c r="E54" s="1" t="s">
        <v>330</v>
      </c>
      <c r="F54" s="1">
        <v>2</v>
      </c>
      <c r="G54" s="12" t="str">
        <f t="shared" si="0"/>
        <v>Pass</v>
      </c>
      <c r="H54" s="13" t="str">
        <f t="shared" si="1"/>
        <v>Pass</v>
      </c>
      <c r="I54" s="3" t="str">
        <f t="shared" si="2"/>
        <v>svcrefillqty</v>
      </c>
      <c r="J54" s="3" t="str">
        <f t="shared" si="3"/>
        <v>svcrefillqty</v>
      </c>
    </row>
    <row r="55" spans="2:10">
      <c r="B55" s="1" t="s">
        <v>331</v>
      </c>
      <c r="C55" s="18" t="s">
        <v>398</v>
      </c>
      <c r="D55" s="1" t="s">
        <v>476</v>
      </c>
      <c r="E55" s="1" t="s">
        <v>331</v>
      </c>
      <c r="F55" s="1">
        <v>2</v>
      </c>
      <c r="G55" s="12" t="str">
        <f t="shared" si="0"/>
        <v>Pass</v>
      </c>
      <c r="H55" s="13" t="str">
        <f t="shared" si="1"/>
        <v>Pass</v>
      </c>
      <c r="I55" s="3" t="str">
        <f t="shared" si="2"/>
        <v>svcrefillallowed</v>
      </c>
      <c r="J55" s="3" t="str">
        <f t="shared" si="3"/>
        <v>svcrefillallowed</v>
      </c>
    </row>
    <row r="56" spans="2:10">
      <c r="B56" s="1" t="s">
        <v>332</v>
      </c>
      <c r="C56" s="18" t="s">
        <v>398</v>
      </c>
      <c r="D56" s="1" t="s">
        <v>476</v>
      </c>
      <c r="E56" s="1" t="s">
        <v>332</v>
      </c>
      <c r="F56" s="1">
        <v>0</v>
      </c>
      <c r="G56" s="12" t="str">
        <f t="shared" si="0"/>
        <v>Pass</v>
      </c>
      <c r="H56" s="13" t="str">
        <f t="shared" si="1"/>
        <v>Pass</v>
      </c>
      <c r="I56" s="3" t="str">
        <f t="shared" si="2"/>
        <v>svccounterallow</v>
      </c>
      <c r="J56" s="3" t="str">
        <f t="shared" si="3"/>
        <v>svccounterallow</v>
      </c>
    </row>
    <row r="57" spans="2:10">
      <c r="B57" s="1" t="s">
        <v>333</v>
      </c>
      <c r="C57" s="18" t="s">
        <v>399</v>
      </c>
      <c r="D57" s="1">
        <v>10</v>
      </c>
      <c r="E57" s="1" t="s">
        <v>333</v>
      </c>
      <c r="F57" s="1">
        <v>1</v>
      </c>
      <c r="G57" s="12" t="str">
        <f t="shared" si="0"/>
        <v>Pass</v>
      </c>
      <c r="H57" s="13" t="str">
        <f t="shared" si="1"/>
        <v>Pass</v>
      </c>
      <c r="I57" s="3" t="str">
        <f t="shared" si="2"/>
        <v>svcdawcode</v>
      </c>
      <c r="J57" s="3" t="str">
        <f t="shared" si="3"/>
        <v>svcdawcode</v>
      </c>
    </row>
    <row r="58" spans="2:10">
      <c r="B58" s="1" t="s">
        <v>334</v>
      </c>
      <c r="C58" s="18" t="s">
        <v>399</v>
      </c>
      <c r="D58" s="1">
        <v>50</v>
      </c>
      <c r="E58" s="1" t="s">
        <v>334</v>
      </c>
      <c r="F58" s="1">
        <v>26</v>
      </c>
      <c r="G58" s="12" t="str">
        <f t="shared" si="0"/>
        <v>Pass</v>
      </c>
      <c r="H58" s="13" t="str">
        <f t="shared" si="1"/>
        <v>Pass</v>
      </c>
      <c r="I58" s="3" t="str">
        <f t="shared" si="2"/>
        <v>svcdawdesc</v>
      </c>
      <c r="J58" s="3" t="str">
        <f t="shared" si="3"/>
        <v>svcdawdesc</v>
      </c>
    </row>
    <row r="59" spans="2:10">
      <c r="B59" s="1" t="s">
        <v>195</v>
      </c>
      <c r="C59" s="18" t="s">
        <v>405</v>
      </c>
      <c r="D59" s="32" t="s">
        <v>477</v>
      </c>
      <c r="E59" s="1" t="s">
        <v>195</v>
      </c>
      <c r="F59" s="1">
        <v>8</v>
      </c>
      <c r="G59" s="12" t="str">
        <f t="shared" si="0"/>
        <v>Pass</v>
      </c>
      <c r="H59" s="13" t="str">
        <f t="shared" si="1"/>
        <v>Pass</v>
      </c>
      <c r="I59" s="3" t="str">
        <f t="shared" si="2"/>
        <v>revallowedamt</v>
      </c>
      <c r="J59" s="3" t="str">
        <f t="shared" si="3"/>
        <v>revallowedamt</v>
      </c>
    </row>
    <row r="60" spans="2:10">
      <c r="B60" s="1" t="s">
        <v>196</v>
      </c>
      <c r="C60" s="18" t="s">
        <v>405</v>
      </c>
      <c r="D60" s="32" t="s">
        <v>298</v>
      </c>
      <c r="E60" s="1" t="s">
        <v>196</v>
      </c>
      <c r="F60" s="1">
        <v>8</v>
      </c>
      <c r="G60" s="12" t="str">
        <f t="shared" si="0"/>
        <v>Pass</v>
      </c>
      <c r="H60" s="13" t="str">
        <f t="shared" si="1"/>
        <v>Pass</v>
      </c>
      <c r="I60" s="3" t="str">
        <f t="shared" si="2"/>
        <v>revbilledamt</v>
      </c>
      <c r="J60" s="3" t="str">
        <f t="shared" si="3"/>
        <v>revbilledamt</v>
      </c>
    </row>
    <row r="61" spans="2:10">
      <c r="B61" s="1" t="s">
        <v>198</v>
      </c>
      <c r="C61" s="18" t="s">
        <v>405</v>
      </c>
      <c r="D61" s="32" t="s">
        <v>298</v>
      </c>
      <c r="E61" s="1" t="s">
        <v>198</v>
      </c>
      <c r="F61" s="1">
        <v>0</v>
      </c>
      <c r="G61" s="12" t="str">
        <f t="shared" si="0"/>
        <v>Pass</v>
      </c>
      <c r="H61" s="13" t="str">
        <f t="shared" si="1"/>
        <v>Pass</v>
      </c>
      <c r="I61" s="3" t="str">
        <f t="shared" si="2"/>
        <v>revcoinsuranceamt</v>
      </c>
      <c r="J61" s="3" t="str">
        <f t="shared" si="3"/>
        <v>revcoinsuranceamt</v>
      </c>
    </row>
    <row r="62" spans="2:10">
      <c r="B62" s="1" t="s">
        <v>199</v>
      </c>
      <c r="C62" s="18" t="s">
        <v>405</v>
      </c>
      <c r="D62" s="32" t="s">
        <v>298</v>
      </c>
      <c r="E62" s="1" t="s">
        <v>199</v>
      </c>
      <c r="F62" s="1">
        <v>7</v>
      </c>
      <c r="G62" s="12" t="str">
        <f t="shared" si="0"/>
        <v>Pass</v>
      </c>
      <c r="H62" s="13" t="str">
        <f t="shared" si="1"/>
        <v>Pass</v>
      </c>
      <c r="I62" s="3" t="str">
        <f t="shared" si="2"/>
        <v>revcopayamt</v>
      </c>
      <c r="J62" s="3" t="str">
        <f t="shared" si="3"/>
        <v>revcopayamt</v>
      </c>
    </row>
    <row r="63" spans="2:10">
      <c r="B63" s="1" t="s">
        <v>201</v>
      </c>
      <c r="C63" s="18" t="s">
        <v>405</v>
      </c>
      <c r="D63" s="32" t="s">
        <v>298</v>
      </c>
      <c r="E63" s="1" t="s">
        <v>201</v>
      </c>
      <c r="F63" s="1">
        <v>7</v>
      </c>
      <c r="G63" s="12" t="str">
        <f t="shared" si="0"/>
        <v>Pass</v>
      </c>
      <c r="H63" s="13" t="str">
        <f t="shared" si="1"/>
        <v>Pass</v>
      </c>
      <c r="I63" s="3" t="str">
        <f t="shared" si="2"/>
        <v>revdeductibleamt</v>
      </c>
      <c r="J63" s="3" t="str">
        <f t="shared" si="3"/>
        <v>revdeductibleamt</v>
      </c>
    </row>
    <row r="64" spans="2:10">
      <c r="B64" s="1" t="s">
        <v>335</v>
      </c>
      <c r="C64" s="18" t="s">
        <v>405</v>
      </c>
      <c r="D64" s="32" t="s">
        <v>298</v>
      </c>
      <c r="E64" s="1" t="s">
        <v>335</v>
      </c>
      <c r="F64" s="1">
        <v>4</v>
      </c>
      <c r="G64" s="12" t="str">
        <f t="shared" si="0"/>
        <v>Pass</v>
      </c>
      <c r="H64" s="13" t="str">
        <f t="shared" si="1"/>
        <v>Pass</v>
      </c>
      <c r="I64" s="3" t="str">
        <f t="shared" si="2"/>
        <v>revdispfeeamt</v>
      </c>
      <c r="J64" s="3" t="str">
        <f t="shared" si="3"/>
        <v>revdispfeeamt</v>
      </c>
    </row>
    <row r="65" spans="2:10">
      <c r="B65" s="1" t="s">
        <v>336</v>
      </c>
      <c r="C65" s="18" t="s">
        <v>405</v>
      </c>
      <c r="D65" s="32" t="s">
        <v>477</v>
      </c>
      <c r="E65" s="1" t="s">
        <v>336</v>
      </c>
      <c r="F65" s="1">
        <v>8</v>
      </c>
      <c r="G65" s="12" t="str">
        <f t="shared" si="0"/>
        <v>Pass</v>
      </c>
      <c r="H65" s="13" t="str">
        <f t="shared" si="1"/>
        <v>Pass</v>
      </c>
      <c r="I65" s="3" t="str">
        <f t="shared" si="2"/>
        <v>revingredcostamt</v>
      </c>
      <c r="J65" s="3" t="str">
        <f t="shared" si="3"/>
        <v>revingredcostamt</v>
      </c>
    </row>
    <row r="66" spans="2:10">
      <c r="B66" s="1" t="s">
        <v>337</v>
      </c>
      <c r="C66" s="18" t="s">
        <v>405</v>
      </c>
      <c r="D66" s="32" t="s">
        <v>298</v>
      </c>
      <c r="E66" s="1" t="s">
        <v>337</v>
      </c>
      <c r="F66" s="1">
        <v>5</v>
      </c>
      <c r="G66" s="12" t="str">
        <f t="shared" si="0"/>
        <v>Pass</v>
      </c>
      <c r="H66" s="13" t="str">
        <f t="shared" si="1"/>
        <v>Pass</v>
      </c>
      <c r="I66" s="3" t="str">
        <f t="shared" si="2"/>
        <v>revstaxamt</v>
      </c>
      <c r="J66" s="3" t="str">
        <f t="shared" si="3"/>
        <v>revstaxamt</v>
      </c>
    </row>
    <row r="67" spans="2:10">
      <c r="B67" s="1" t="s">
        <v>338</v>
      </c>
      <c r="C67" s="18" t="s">
        <v>405</v>
      </c>
      <c r="D67" s="32" t="s">
        <v>477</v>
      </c>
      <c r="E67" s="1" t="s">
        <v>338</v>
      </c>
      <c r="F67" s="1">
        <v>8</v>
      </c>
      <c r="G67" s="12" t="str">
        <f t="shared" ref="G67:G113" si="4">IF(I67=J67,"Pass","Fail")</f>
        <v>Pass</v>
      </c>
      <c r="H67" s="13" t="str">
        <f t="shared" ref="H67:H113" si="5">IF(AND(ISBLANK(D67),F67&gt;=0),"Pass",IF(F67&lt;=D67,"Pass","Fail"))</f>
        <v>Pass</v>
      </c>
      <c r="I67" s="3" t="str">
        <f t="shared" ref="I67:I113" si="6">SUBSTITUTE(B67,"_","")</f>
        <v>revusualcustamt</v>
      </c>
      <c r="J67" s="3" t="str">
        <f t="shared" ref="J67:J113" si="7">SUBSTITUTE(E67,"_","")</f>
        <v>revusualcustamt</v>
      </c>
    </row>
    <row r="68" spans="2:10">
      <c r="B68" s="1" t="s">
        <v>205</v>
      </c>
      <c r="C68" s="18" t="s">
        <v>405</v>
      </c>
      <c r="D68" s="32" t="s">
        <v>477</v>
      </c>
      <c r="E68" s="1" t="s">
        <v>205</v>
      </c>
      <c r="F68" s="1">
        <v>8</v>
      </c>
      <c r="G68" s="12" t="str">
        <f t="shared" si="4"/>
        <v>Pass</v>
      </c>
      <c r="H68" s="13" t="str">
        <f t="shared" si="5"/>
        <v>Pass</v>
      </c>
      <c r="I68" s="3" t="str">
        <f t="shared" si="6"/>
        <v>revpaidamt</v>
      </c>
      <c r="J68" s="3" t="str">
        <f t="shared" si="7"/>
        <v>revpaidamt</v>
      </c>
    </row>
    <row r="69" spans="2:10">
      <c r="B69" s="1" t="s">
        <v>209</v>
      </c>
      <c r="C69" s="18" t="s">
        <v>399</v>
      </c>
      <c r="D69" s="1">
        <v>8</v>
      </c>
      <c r="E69" s="1" t="s">
        <v>209</v>
      </c>
      <c r="F69" s="1">
        <v>2</v>
      </c>
      <c r="G69" s="12" t="str">
        <f t="shared" si="4"/>
        <v>Pass</v>
      </c>
      <c r="H69" s="13" t="str">
        <f t="shared" si="5"/>
        <v>Pass</v>
      </c>
      <c r="I69" s="3" t="str">
        <f t="shared" si="6"/>
        <v>revadjudicationcode</v>
      </c>
      <c r="J69" s="3" t="str">
        <f t="shared" si="7"/>
        <v>revadjudicationcode</v>
      </c>
    </row>
    <row r="70" spans="2:10">
      <c r="B70" s="1" t="s">
        <v>210</v>
      </c>
      <c r="C70" s="18" t="s">
        <v>399</v>
      </c>
      <c r="D70" s="1">
        <v>50</v>
      </c>
      <c r="E70" s="1" t="s">
        <v>210</v>
      </c>
      <c r="F70" s="1">
        <v>10</v>
      </c>
      <c r="G70" s="12" t="str">
        <f t="shared" si="4"/>
        <v>Pass</v>
      </c>
      <c r="H70" s="13" t="str">
        <f t="shared" si="5"/>
        <v>Pass</v>
      </c>
      <c r="I70" s="3" t="str">
        <f t="shared" si="6"/>
        <v>revadjudicationdesc</v>
      </c>
      <c r="J70" s="3" t="str">
        <f t="shared" si="7"/>
        <v>revadjudicationdesc</v>
      </c>
    </row>
    <row r="71" spans="2:10">
      <c r="B71" s="1" t="s">
        <v>51</v>
      </c>
      <c r="C71" s="18" t="s">
        <v>399</v>
      </c>
      <c r="D71" s="1">
        <v>100</v>
      </c>
      <c r="E71" s="1" t="s">
        <v>51</v>
      </c>
      <c r="F71" s="1">
        <v>0</v>
      </c>
      <c r="G71" s="12" t="str">
        <f t="shared" si="4"/>
        <v>Pass</v>
      </c>
      <c r="H71" s="13" t="str">
        <f t="shared" si="5"/>
        <v>Pass</v>
      </c>
      <c r="I71" s="3" t="str">
        <f t="shared" si="6"/>
        <v>udf1</v>
      </c>
      <c r="J71" s="3" t="str">
        <f t="shared" si="7"/>
        <v>udf1</v>
      </c>
    </row>
    <row r="72" spans="2:10">
      <c r="B72" s="1" t="s">
        <v>52</v>
      </c>
      <c r="C72" s="18" t="s">
        <v>399</v>
      </c>
      <c r="D72" s="1">
        <v>100</v>
      </c>
      <c r="E72" s="1" t="s">
        <v>52</v>
      </c>
      <c r="F72" s="1">
        <v>0</v>
      </c>
      <c r="G72" s="12" t="str">
        <f t="shared" si="4"/>
        <v>Pass</v>
      </c>
      <c r="H72" s="13" t="str">
        <f t="shared" si="5"/>
        <v>Pass</v>
      </c>
      <c r="I72" s="3" t="str">
        <f t="shared" si="6"/>
        <v>udf2</v>
      </c>
      <c r="J72" s="3" t="str">
        <f t="shared" si="7"/>
        <v>udf2</v>
      </c>
    </row>
    <row r="73" spans="2:10">
      <c r="B73" s="1" t="s">
        <v>53</v>
      </c>
      <c r="C73" s="18" t="s">
        <v>399</v>
      </c>
      <c r="D73" s="1">
        <v>100</v>
      </c>
      <c r="E73" s="1" t="s">
        <v>53</v>
      </c>
      <c r="F73" s="1">
        <v>0</v>
      </c>
      <c r="G73" s="12" t="str">
        <f t="shared" si="4"/>
        <v>Pass</v>
      </c>
      <c r="H73" s="13" t="str">
        <f t="shared" si="5"/>
        <v>Pass</v>
      </c>
      <c r="I73" s="3" t="str">
        <f t="shared" si="6"/>
        <v>udf3</v>
      </c>
      <c r="J73" s="3" t="str">
        <f t="shared" si="7"/>
        <v>udf3</v>
      </c>
    </row>
    <row r="74" spans="2:10">
      <c r="B74" s="1" t="s">
        <v>54</v>
      </c>
      <c r="C74" s="18" t="s">
        <v>399</v>
      </c>
      <c r="D74" s="1">
        <v>100</v>
      </c>
      <c r="E74" s="1" t="s">
        <v>54</v>
      </c>
      <c r="F74" s="1">
        <v>0</v>
      </c>
      <c r="G74" s="12" t="str">
        <f t="shared" si="4"/>
        <v>Pass</v>
      </c>
      <c r="H74" s="13" t="str">
        <f t="shared" si="5"/>
        <v>Pass</v>
      </c>
      <c r="I74" s="3" t="str">
        <f t="shared" si="6"/>
        <v>udf4</v>
      </c>
      <c r="J74" s="3" t="str">
        <f t="shared" si="7"/>
        <v>udf4</v>
      </c>
    </row>
    <row r="75" spans="2:10">
      <c r="B75" s="1" t="s">
        <v>55</v>
      </c>
      <c r="C75" s="18" t="s">
        <v>399</v>
      </c>
      <c r="D75" s="1">
        <v>100</v>
      </c>
      <c r="E75" s="1" t="s">
        <v>55</v>
      </c>
      <c r="F75" s="1">
        <v>0</v>
      </c>
      <c r="G75" s="12" t="str">
        <f t="shared" si="4"/>
        <v>Pass</v>
      </c>
      <c r="H75" s="13" t="str">
        <f t="shared" si="5"/>
        <v>Pass</v>
      </c>
      <c r="I75" s="3" t="str">
        <f t="shared" si="6"/>
        <v>udf5</v>
      </c>
      <c r="J75" s="3" t="str">
        <f t="shared" si="7"/>
        <v>udf5</v>
      </c>
    </row>
    <row r="76" spans="2:10">
      <c r="B76" s="1" t="s">
        <v>56</v>
      </c>
      <c r="C76" s="18" t="s">
        <v>399</v>
      </c>
      <c r="D76" s="1">
        <v>100</v>
      </c>
      <c r="E76" s="1" t="s">
        <v>56</v>
      </c>
      <c r="F76" s="1">
        <v>0</v>
      </c>
      <c r="G76" s="12" t="str">
        <f t="shared" si="4"/>
        <v>Pass</v>
      </c>
      <c r="H76" s="13" t="str">
        <f t="shared" si="5"/>
        <v>Pass</v>
      </c>
      <c r="I76" s="3" t="str">
        <f t="shared" si="6"/>
        <v>udf6</v>
      </c>
      <c r="J76" s="3" t="str">
        <f t="shared" si="7"/>
        <v>udf6</v>
      </c>
    </row>
    <row r="77" spans="2:10">
      <c r="B77" s="1" t="s">
        <v>57</v>
      </c>
      <c r="C77" s="18" t="s">
        <v>399</v>
      </c>
      <c r="D77" s="1">
        <v>100</v>
      </c>
      <c r="E77" s="1" t="s">
        <v>57</v>
      </c>
      <c r="F77" s="1">
        <v>0</v>
      </c>
      <c r="G77" s="12" t="str">
        <f t="shared" si="4"/>
        <v>Pass</v>
      </c>
      <c r="H77" s="13" t="str">
        <f t="shared" si="5"/>
        <v>Pass</v>
      </c>
      <c r="I77" s="3" t="str">
        <f t="shared" si="6"/>
        <v>udf7</v>
      </c>
      <c r="J77" s="3" t="str">
        <f t="shared" si="7"/>
        <v>udf7</v>
      </c>
    </row>
    <row r="78" spans="2:10">
      <c r="B78" s="1" t="s">
        <v>58</v>
      </c>
      <c r="C78" s="18" t="s">
        <v>399</v>
      </c>
      <c r="D78" s="1">
        <v>100</v>
      </c>
      <c r="E78" s="1" t="s">
        <v>58</v>
      </c>
      <c r="F78" s="1">
        <v>0</v>
      </c>
      <c r="G78" s="12" t="str">
        <f t="shared" si="4"/>
        <v>Pass</v>
      </c>
      <c r="H78" s="13" t="str">
        <f t="shared" si="5"/>
        <v>Pass</v>
      </c>
      <c r="I78" s="3" t="str">
        <f t="shared" si="6"/>
        <v>udf8</v>
      </c>
      <c r="J78" s="3" t="str">
        <f t="shared" si="7"/>
        <v>udf8</v>
      </c>
    </row>
    <row r="79" spans="2:10">
      <c r="B79" s="1" t="s">
        <v>59</v>
      </c>
      <c r="C79" s="18" t="s">
        <v>399</v>
      </c>
      <c r="D79" s="1">
        <v>100</v>
      </c>
      <c r="E79" s="1" t="s">
        <v>59</v>
      </c>
      <c r="F79" s="1">
        <v>0</v>
      </c>
      <c r="G79" s="12" t="str">
        <f t="shared" si="4"/>
        <v>Pass</v>
      </c>
      <c r="H79" s="13" t="str">
        <f t="shared" si="5"/>
        <v>Pass</v>
      </c>
      <c r="I79" s="3" t="str">
        <f t="shared" si="6"/>
        <v>udf9</v>
      </c>
      <c r="J79" s="3" t="str">
        <f t="shared" si="7"/>
        <v>udf9</v>
      </c>
    </row>
    <row r="80" spans="2:10">
      <c r="B80" s="1" t="s">
        <v>60</v>
      </c>
      <c r="C80" s="18" t="s">
        <v>399</v>
      </c>
      <c r="D80" s="1">
        <v>100</v>
      </c>
      <c r="E80" s="1" t="s">
        <v>60</v>
      </c>
      <c r="F80" s="1">
        <v>0</v>
      </c>
      <c r="G80" s="12" t="str">
        <f t="shared" si="4"/>
        <v>Pass</v>
      </c>
      <c r="H80" s="13" t="str">
        <f t="shared" si="5"/>
        <v>Pass</v>
      </c>
      <c r="I80" s="3" t="str">
        <f t="shared" si="6"/>
        <v>udf10</v>
      </c>
      <c r="J80" s="3" t="str">
        <f t="shared" si="7"/>
        <v>udf10</v>
      </c>
    </row>
    <row r="81" spans="2:10">
      <c r="B81" s="1" t="s">
        <v>61</v>
      </c>
      <c r="C81" s="18" t="s">
        <v>399</v>
      </c>
      <c r="D81" s="1">
        <v>100</v>
      </c>
      <c r="E81" s="1" t="s">
        <v>61</v>
      </c>
      <c r="F81" s="1">
        <v>0</v>
      </c>
      <c r="G81" s="12" t="str">
        <f t="shared" si="4"/>
        <v>Pass</v>
      </c>
      <c r="H81" s="13" t="str">
        <f t="shared" si="5"/>
        <v>Pass</v>
      </c>
      <c r="I81" s="3" t="str">
        <f t="shared" si="6"/>
        <v>udf11</v>
      </c>
      <c r="J81" s="3" t="str">
        <f t="shared" si="7"/>
        <v>udf11</v>
      </c>
    </row>
    <row r="82" spans="2:10">
      <c r="B82" s="1" t="s">
        <v>62</v>
      </c>
      <c r="C82" s="18" t="s">
        <v>399</v>
      </c>
      <c r="D82" s="1">
        <v>100</v>
      </c>
      <c r="E82" s="1" t="s">
        <v>62</v>
      </c>
      <c r="F82" s="1">
        <v>0</v>
      </c>
      <c r="G82" s="12" t="str">
        <f t="shared" si="4"/>
        <v>Pass</v>
      </c>
      <c r="H82" s="13" t="str">
        <f t="shared" si="5"/>
        <v>Pass</v>
      </c>
      <c r="I82" s="3" t="str">
        <f t="shared" si="6"/>
        <v>udf12</v>
      </c>
      <c r="J82" s="3" t="str">
        <f t="shared" si="7"/>
        <v>udf12</v>
      </c>
    </row>
    <row r="83" spans="2:10">
      <c r="B83" s="1" t="s">
        <v>63</v>
      </c>
      <c r="C83" s="18" t="s">
        <v>399</v>
      </c>
      <c r="D83" s="1">
        <v>100</v>
      </c>
      <c r="E83" s="1" t="s">
        <v>63</v>
      </c>
      <c r="F83" s="1">
        <v>0</v>
      </c>
      <c r="G83" s="12" t="str">
        <f t="shared" si="4"/>
        <v>Pass</v>
      </c>
      <c r="H83" s="13" t="str">
        <f t="shared" si="5"/>
        <v>Pass</v>
      </c>
      <c r="I83" s="3" t="str">
        <f t="shared" si="6"/>
        <v>udf13</v>
      </c>
      <c r="J83" s="3" t="str">
        <f t="shared" si="7"/>
        <v>udf13</v>
      </c>
    </row>
    <row r="84" spans="2:10">
      <c r="B84" s="1" t="s">
        <v>64</v>
      </c>
      <c r="C84" s="18" t="s">
        <v>399</v>
      </c>
      <c r="D84" s="1">
        <v>100</v>
      </c>
      <c r="E84" s="1" t="s">
        <v>64</v>
      </c>
      <c r="F84" s="1">
        <v>0</v>
      </c>
      <c r="G84" s="12" t="str">
        <f t="shared" si="4"/>
        <v>Pass</v>
      </c>
      <c r="H84" s="13" t="str">
        <f t="shared" si="5"/>
        <v>Pass</v>
      </c>
      <c r="I84" s="3" t="str">
        <f t="shared" si="6"/>
        <v>udf14</v>
      </c>
      <c r="J84" s="3" t="str">
        <f t="shared" si="7"/>
        <v>udf14</v>
      </c>
    </row>
    <row r="85" spans="2:10">
      <c r="B85" s="1" t="s">
        <v>65</v>
      </c>
      <c r="C85" s="18" t="s">
        <v>399</v>
      </c>
      <c r="D85" s="1">
        <v>100</v>
      </c>
      <c r="E85" s="1" t="s">
        <v>65</v>
      </c>
      <c r="F85" s="1">
        <v>0</v>
      </c>
      <c r="G85" s="12" t="str">
        <f t="shared" si="4"/>
        <v>Pass</v>
      </c>
      <c r="H85" s="13" t="str">
        <f t="shared" si="5"/>
        <v>Pass</v>
      </c>
      <c r="I85" s="3" t="str">
        <f t="shared" si="6"/>
        <v>udf15</v>
      </c>
      <c r="J85" s="3" t="str">
        <f t="shared" si="7"/>
        <v>udf15</v>
      </c>
    </row>
    <row r="86" spans="2:10">
      <c r="B86" s="1" t="s">
        <v>66</v>
      </c>
      <c r="C86" s="18" t="s">
        <v>399</v>
      </c>
      <c r="D86" s="1">
        <v>100</v>
      </c>
      <c r="E86" s="1" t="s">
        <v>66</v>
      </c>
      <c r="F86" s="1">
        <v>1</v>
      </c>
      <c r="G86" s="12" t="str">
        <f t="shared" si="4"/>
        <v>Pass</v>
      </c>
      <c r="H86" s="13" t="str">
        <f t="shared" si="5"/>
        <v>Pass</v>
      </c>
      <c r="I86" s="3" t="str">
        <f t="shared" si="6"/>
        <v>udf16</v>
      </c>
      <c r="J86" s="3" t="str">
        <f t="shared" si="7"/>
        <v>udf16</v>
      </c>
    </row>
    <row r="87" spans="2:10">
      <c r="B87" s="1" t="s">
        <v>67</v>
      </c>
      <c r="C87" s="18" t="s">
        <v>399</v>
      </c>
      <c r="D87" s="1">
        <v>100</v>
      </c>
      <c r="E87" s="1" t="s">
        <v>67</v>
      </c>
      <c r="F87" s="1">
        <v>7</v>
      </c>
      <c r="G87" s="12" t="str">
        <f t="shared" si="4"/>
        <v>Pass</v>
      </c>
      <c r="H87" s="13" t="str">
        <f t="shared" si="5"/>
        <v>Pass</v>
      </c>
      <c r="I87" s="3" t="str">
        <f t="shared" si="6"/>
        <v>udf17</v>
      </c>
      <c r="J87" s="3" t="str">
        <f t="shared" si="7"/>
        <v>udf17</v>
      </c>
    </row>
    <row r="88" spans="2:10">
      <c r="B88" s="1" t="s">
        <v>68</v>
      </c>
      <c r="C88" s="18" t="s">
        <v>399</v>
      </c>
      <c r="D88" s="1">
        <v>100</v>
      </c>
      <c r="E88" s="1" t="s">
        <v>68</v>
      </c>
      <c r="F88" s="1">
        <v>1</v>
      </c>
      <c r="G88" s="12" t="str">
        <f t="shared" si="4"/>
        <v>Pass</v>
      </c>
      <c r="H88" s="13" t="str">
        <f t="shared" si="5"/>
        <v>Pass</v>
      </c>
      <c r="I88" s="3" t="str">
        <f t="shared" si="6"/>
        <v>udf18</v>
      </c>
      <c r="J88" s="3" t="str">
        <f t="shared" si="7"/>
        <v>udf18</v>
      </c>
    </row>
    <row r="89" spans="2:10">
      <c r="B89" s="1" t="s">
        <v>69</v>
      </c>
      <c r="C89" s="18" t="s">
        <v>399</v>
      </c>
      <c r="D89" s="1">
        <v>100</v>
      </c>
      <c r="E89" s="1" t="s">
        <v>69</v>
      </c>
      <c r="F89" s="1">
        <v>7</v>
      </c>
      <c r="G89" s="12" t="str">
        <f t="shared" si="4"/>
        <v>Pass</v>
      </c>
      <c r="H89" s="13" t="str">
        <f t="shared" si="5"/>
        <v>Pass</v>
      </c>
      <c r="I89" s="3" t="str">
        <f t="shared" si="6"/>
        <v>udf19</v>
      </c>
      <c r="J89" s="3" t="str">
        <f t="shared" si="7"/>
        <v>udf19</v>
      </c>
    </row>
    <row r="90" spans="2:10">
      <c r="B90" s="1" t="s">
        <v>70</v>
      </c>
      <c r="C90" s="18" t="s">
        <v>399</v>
      </c>
      <c r="D90" s="1">
        <v>100</v>
      </c>
      <c r="E90" s="1" t="s">
        <v>70</v>
      </c>
      <c r="F90" s="1">
        <v>1</v>
      </c>
      <c r="G90" s="12" t="str">
        <f t="shared" si="4"/>
        <v>Pass</v>
      </c>
      <c r="H90" s="13" t="str">
        <f t="shared" si="5"/>
        <v>Pass</v>
      </c>
      <c r="I90" s="3" t="str">
        <f t="shared" si="6"/>
        <v>udf20</v>
      </c>
      <c r="J90" s="3" t="str">
        <f t="shared" si="7"/>
        <v>udf20</v>
      </c>
    </row>
    <row r="91" spans="2:10">
      <c r="B91" s="1" t="s">
        <v>71</v>
      </c>
      <c r="C91" s="18" t="s">
        <v>399</v>
      </c>
      <c r="D91" s="1">
        <v>50</v>
      </c>
      <c r="E91" s="1" t="s">
        <v>71</v>
      </c>
      <c r="F91" s="1">
        <v>32</v>
      </c>
      <c r="G91" s="12" t="str">
        <f t="shared" si="4"/>
        <v>Pass</v>
      </c>
      <c r="H91" s="13" t="str">
        <f t="shared" si="5"/>
        <v>Pass</v>
      </c>
      <c r="I91" s="3" t="str">
        <f t="shared" si="6"/>
        <v>dwmemberid</v>
      </c>
      <c r="J91" s="3" t="str">
        <f t="shared" si="7"/>
        <v>dwmemberid</v>
      </c>
    </row>
    <row r="92" spans="2:10">
      <c r="B92" s="1" t="s">
        <v>297</v>
      </c>
      <c r="C92" s="18" t="s">
        <v>399</v>
      </c>
      <c r="D92" s="1">
        <v>20</v>
      </c>
      <c r="E92" s="1" t="s">
        <v>297</v>
      </c>
      <c r="F92" s="1">
        <v>4</v>
      </c>
      <c r="G92" s="12" t="str">
        <f t="shared" si="4"/>
        <v>Pass</v>
      </c>
      <c r="H92" s="13" t="str">
        <f t="shared" si="5"/>
        <v>Pass</v>
      </c>
      <c r="I92" s="3" t="str">
        <f t="shared" si="6"/>
        <v>ismakaluused</v>
      </c>
      <c r="J92" s="3" t="str">
        <f t="shared" si="7"/>
        <v>ismakaluused</v>
      </c>
    </row>
    <row r="93" spans="2:10">
      <c r="B93" s="32" t="s">
        <v>86</v>
      </c>
      <c r="C93" s="37" t="s">
        <v>399</v>
      </c>
      <c r="D93" s="32">
        <v>500</v>
      </c>
      <c r="E93" s="32" t="s">
        <v>86</v>
      </c>
      <c r="F93" s="32">
        <v>76</v>
      </c>
      <c r="G93" s="12" t="str">
        <f t="shared" si="4"/>
        <v>Pass</v>
      </c>
      <c r="H93" s="13" t="str">
        <f t="shared" si="5"/>
        <v>Pass</v>
      </c>
      <c r="I93" s="3" t="str">
        <f t="shared" si="6"/>
        <v>dwrawfilename</v>
      </c>
      <c r="J93" s="3" t="str">
        <f t="shared" si="7"/>
        <v>dwrawfilename</v>
      </c>
    </row>
    <row r="94" spans="2:10">
      <c r="B94" s="32" t="s">
        <v>436</v>
      </c>
      <c r="C94" s="37" t="s">
        <v>399</v>
      </c>
      <c r="D94" s="32">
        <v>100</v>
      </c>
      <c r="E94" s="32" t="s">
        <v>436</v>
      </c>
      <c r="F94" s="32">
        <v>7</v>
      </c>
      <c r="G94" s="12" t="str">
        <f t="shared" si="4"/>
        <v>Pass</v>
      </c>
      <c r="H94" s="13" t="str">
        <f t="shared" si="5"/>
        <v>Pass</v>
      </c>
      <c r="I94" s="3" t="str">
        <f t="shared" si="6"/>
        <v>udf21</v>
      </c>
      <c r="J94" s="3" t="str">
        <f t="shared" si="7"/>
        <v>udf21</v>
      </c>
    </row>
    <row r="95" spans="2:10">
      <c r="B95" s="32" t="s">
        <v>437</v>
      </c>
      <c r="C95" s="37" t="s">
        <v>399</v>
      </c>
      <c r="D95" s="32">
        <v>100</v>
      </c>
      <c r="E95" s="32" t="s">
        <v>437</v>
      </c>
      <c r="F95" s="32">
        <v>0</v>
      </c>
      <c r="G95" s="12" t="str">
        <f t="shared" si="4"/>
        <v>Pass</v>
      </c>
      <c r="H95" s="13" t="str">
        <f t="shared" si="5"/>
        <v>Pass</v>
      </c>
      <c r="I95" s="3" t="str">
        <f t="shared" si="6"/>
        <v>udf22</v>
      </c>
      <c r="J95" s="3" t="str">
        <f t="shared" si="7"/>
        <v>udf22</v>
      </c>
    </row>
    <row r="96" spans="2:10">
      <c r="B96" s="32" t="s">
        <v>438</v>
      </c>
      <c r="C96" s="37" t="s">
        <v>399</v>
      </c>
      <c r="D96" s="32">
        <v>100</v>
      </c>
      <c r="E96" s="32" t="s">
        <v>438</v>
      </c>
      <c r="F96" s="32">
        <v>0</v>
      </c>
      <c r="G96" s="12" t="str">
        <f t="shared" si="4"/>
        <v>Pass</v>
      </c>
      <c r="H96" s="13" t="str">
        <f t="shared" si="5"/>
        <v>Pass</v>
      </c>
      <c r="I96" s="3" t="str">
        <f t="shared" si="6"/>
        <v>udf23</v>
      </c>
      <c r="J96" s="3" t="str">
        <f t="shared" si="7"/>
        <v>udf23</v>
      </c>
    </row>
    <row r="97" spans="2:10">
      <c r="B97" s="32" t="s">
        <v>439</v>
      </c>
      <c r="C97" s="37" t="s">
        <v>399</v>
      </c>
      <c r="D97" s="32">
        <v>100</v>
      </c>
      <c r="E97" s="32" t="s">
        <v>439</v>
      </c>
      <c r="F97" s="32">
        <v>0</v>
      </c>
      <c r="G97" s="12" t="str">
        <f t="shared" si="4"/>
        <v>Pass</v>
      </c>
      <c r="H97" s="13" t="str">
        <f t="shared" si="5"/>
        <v>Pass</v>
      </c>
      <c r="I97" s="3" t="str">
        <f t="shared" si="6"/>
        <v>udf24</v>
      </c>
      <c r="J97" s="3" t="str">
        <f t="shared" si="7"/>
        <v>udf24</v>
      </c>
    </row>
    <row r="98" spans="2:10">
      <c r="B98" s="32" t="s">
        <v>440</v>
      </c>
      <c r="C98" s="37" t="s">
        <v>399</v>
      </c>
      <c r="D98" s="32">
        <v>100</v>
      </c>
      <c r="E98" s="32" t="s">
        <v>440</v>
      </c>
      <c r="F98" s="32">
        <v>0</v>
      </c>
      <c r="G98" s="12" t="str">
        <f t="shared" si="4"/>
        <v>Pass</v>
      </c>
      <c r="H98" s="13" t="str">
        <f t="shared" si="5"/>
        <v>Pass</v>
      </c>
      <c r="I98" s="3" t="str">
        <f t="shared" si="6"/>
        <v>udf25</v>
      </c>
      <c r="J98" s="3" t="str">
        <f t="shared" si="7"/>
        <v>udf25</v>
      </c>
    </row>
    <row r="99" spans="2:10">
      <c r="B99" s="32" t="s">
        <v>441</v>
      </c>
      <c r="C99" s="37" t="s">
        <v>399</v>
      </c>
      <c r="D99" s="32">
        <v>100</v>
      </c>
      <c r="E99" s="32" t="s">
        <v>441</v>
      </c>
      <c r="F99" s="32">
        <v>0</v>
      </c>
      <c r="G99" s="12" t="str">
        <f t="shared" si="4"/>
        <v>Pass</v>
      </c>
      <c r="H99" s="13" t="str">
        <f t="shared" si="5"/>
        <v>Pass</v>
      </c>
      <c r="I99" s="3" t="str">
        <f t="shared" si="6"/>
        <v>udf26</v>
      </c>
      <c r="J99" s="3" t="str">
        <f t="shared" si="7"/>
        <v>udf26</v>
      </c>
    </row>
    <row r="100" spans="2:10">
      <c r="B100" s="32" t="s">
        <v>442</v>
      </c>
      <c r="C100" s="37" t="s">
        <v>399</v>
      </c>
      <c r="D100" s="32">
        <v>100</v>
      </c>
      <c r="E100" s="32" t="s">
        <v>442</v>
      </c>
      <c r="F100" s="32">
        <v>0</v>
      </c>
      <c r="G100" s="12" t="str">
        <f t="shared" si="4"/>
        <v>Pass</v>
      </c>
      <c r="H100" s="13" t="str">
        <f t="shared" si="5"/>
        <v>Pass</v>
      </c>
      <c r="I100" s="3" t="str">
        <f t="shared" si="6"/>
        <v>udf27</v>
      </c>
      <c r="J100" s="3" t="str">
        <f t="shared" si="7"/>
        <v>udf27</v>
      </c>
    </row>
    <row r="101" spans="2:10">
      <c r="B101" s="32" t="s">
        <v>443</v>
      </c>
      <c r="C101" s="37" t="s">
        <v>399</v>
      </c>
      <c r="D101" s="32">
        <v>100</v>
      </c>
      <c r="E101" s="32" t="s">
        <v>443</v>
      </c>
      <c r="F101" s="32">
        <v>0</v>
      </c>
      <c r="G101" s="12" t="str">
        <f t="shared" si="4"/>
        <v>Pass</v>
      </c>
      <c r="H101" s="13" t="str">
        <f t="shared" si="5"/>
        <v>Pass</v>
      </c>
      <c r="I101" s="3" t="str">
        <f t="shared" si="6"/>
        <v>udf28</v>
      </c>
      <c r="J101" s="3" t="str">
        <f t="shared" si="7"/>
        <v>udf28</v>
      </c>
    </row>
    <row r="102" spans="2:10">
      <c r="B102" s="32" t="s">
        <v>444</v>
      </c>
      <c r="C102" s="37" t="s">
        <v>399</v>
      </c>
      <c r="D102" s="32">
        <v>100</v>
      </c>
      <c r="E102" s="32" t="s">
        <v>444</v>
      </c>
      <c r="F102" s="32">
        <v>0</v>
      </c>
      <c r="G102" s="12" t="str">
        <f t="shared" si="4"/>
        <v>Pass</v>
      </c>
      <c r="H102" s="13" t="str">
        <f t="shared" si="5"/>
        <v>Pass</v>
      </c>
      <c r="I102" s="3" t="str">
        <f t="shared" si="6"/>
        <v>udf29</v>
      </c>
      <c r="J102" s="3" t="str">
        <f t="shared" si="7"/>
        <v>udf29</v>
      </c>
    </row>
    <row r="103" spans="2:10">
      <c r="B103" s="32" t="s">
        <v>445</v>
      </c>
      <c r="C103" s="37" t="s">
        <v>399</v>
      </c>
      <c r="D103" s="32">
        <v>100</v>
      </c>
      <c r="E103" s="32" t="s">
        <v>445</v>
      </c>
      <c r="F103" s="32">
        <v>0</v>
      </c>
      <c r="G103" s="12" t="str">
        <f t="shared" si="4"/>
        <v>Pass</v>
      </c>
      <c r="H103" s="13" t="str">
        <f t="shared" si="5"/>
        <v>Pass</v>
      </c>
      <c r="I103" s="3" t="str">
        <f t="shared" si="6"/>
        <v>udf30</v>
      </c>
      <c r="J103" s="3" t="str">
        <f t="shared" si="7"/>
        <v>udf30</v>
      </c>
    </row>
    <row r="104" spans="2:10">
      <c r="B104" s="32" t="s">
        <v>446</v>
      </c>
      <c r="C104" s="37" t="s">
        <v>399</v>
      </c>
      <c r="D104" s="32">
        <v>100</v>
      </c>
      <c r="E104" s="32" t="s">
        <v>446</v>
      </c>
      <c r="F104" s="32">
        <v>0</v>
      </c>
      <c r="G104" s="12" t="str">
        <f t="shared" si="4"/>
        <v>Pass</v>
      </c>
      <c r="H104" s="13" t="str">
        <f t="shared" si="5"/>
        <v>Pass</v>
      </c>
      <c r="I104" s="3" t="str">
        <f t="shared" si="6"/>
        <v>udf31</v>
      </c>
      <c r="J104" s="3" t="str">
        <f t="shared" si="7"/>
        <v>udf31</v>
      </c>
    </row>
    <row r="105" spans="2:10">
      <c r="B105" s="32" t="s">
        <v>447</v>
      </c>
      <c r="C105" s="37" t="s">
        <v>399</v>
      </c>
      <c r="D105" s="32">
        <v>100</v>
      </c>
      <c r="E105" s="32" t="s">
        <v>447</v>
      </c>
      <c r="F105" s="32">
        <v>0</v>
      </c>
      <c r="G105" s="12" t="str">
        <f t="shared" si="4"/>
        <v>Pass</v>
      </c>
      <c r="H105" s="13" t="str">
        <f t="shared" si="5"/>
        <v>Pass</v>
      </c>
      <c r="I105" s="3" t="str">
        <f t="shared" si="6"/>
        <v>udf32</v>
      </c>
      <c r="J105" s="3" t="str">
        <f t="shared" si="7"/>
        <v>udf32</v>
      </c>
    </row>
    <row r="106" spans="2:10">
      <c r="B106" s="32" t="s">
        <v>448</v>
      </c>
      <c r="C106" s="37" t="s">
        <v>399</v>
      </c>
      <c r="D106" s="32">
        <v>100</v>
      </c>
      <c r="E106" s="32" t="s">
        <v>448</v>
      </c>
      <c r="F106" s="32">
        <v>0</v>
      </c>
      <c r="G106" s="12" t="str">
        <f t="shared" si="4"/>
        <v>Pass</v>
      </c>
      <c r="H106" s="13" t="str">
        <f t="shared" si="5"/>
        <v>Pass</v>
      </c>
      <c r="I106" s="3" t="str">
        <f t="shared" si="6"/>
        <v>udf33</v>
      </c>
      <c r="J106" s="3" t="str">
        <f t="shared" si="7"/>
        <v>udf33</v>
      </c>
    </row>
    <row r="107" spans="2:10">
      <c r="B107" s="32" t="s">
        <v>449</v>
      </c>
      <c r="C107" s="37" t="s">
        <v>399</v>
      </c>
      <c r="D107" s="32">
        <v>100</v>
      </c>
      <c r="E107" s="32" t="s">
        <v>449</v>
      </c>
      <c r="F107" s="32">
        <v>0</v>
      </c>
      <c r="G107" s="12" t="str">
        <f t="shared" si="4"/>
        <v>Pass</v>
      </c>
      <c r="H107" s="13" t="str">
        <f t="shared" si="5"/>
        <v>Pass</v>
      </c>
      <c r="I107" s="3" t="str">
        <f t="shared" si="6"/>
        <v>udf34</v>
      </c>
      <c r="J107" s="3" t="str">
        <f t="shared" si="7"/>
        <v>udf34</v>
      </c>
    </row>
    <row r="108" spans="2:10">
      <c r="B108" s="32" t="s">
        <v>450</v>
      </c>
      <c r="C108" s="37" t="s">
        <v>399</v>
      </c>
      <c r="D108" s="32">
        <v>100</v>
      </c>
      <c r="E108" s="32" t="s">
        <v>450</v>
      </c>
      <c r="F108" s="32">
        <v>0</v>
      </c>
      <c r="G108" s="12" t="str">
        <f t="shared" si="4"/>
        <v>Pass</v>
      </c>
      <c r="H108" s="13" t="str">
        <f t="shared" si="5"/>
        <v>Pass</v>
      </c>
      <c r="I108" s="3" t="str">
        <f t="shared" si="6"/>
        <v>udf35</v>
      </c>
      <c r="J108" s="3" t="str">
        <f t="shared" si="7"/>
        <v>udf35</v>
      </c>
    </row>
    <row r="109" spans="2:10">
      <c r="B109" s="32" t="s">
        <v>451</v>
      </c>
      <c r="C109" s="37" t="s">
        <v>399</v>
      </c>
      <c r="D109" s="32">
        <v>100</v>
      </c>
      <c r="E109" s="32" t="s">
        <v>451</v>
      </c>
      <c r="F109" s="32">
        <v>0</v>
      </c>
      <c r="G109" s="12" t="str">
        <f t="shared" si="4"/>
        <v>Pass</v>
      </c>
      <c r="H109" s="13" t="str">
        <f t="shared" si="5"/>
        <v>Pass</v>
      </c>
      <c r="I109" s="3" t="str">
        <f t="shared" si="6"/>
        <v>udf36</v>
      </c>
      <c r="J109" s="3" t="str">
        <f t="shared" si="7"/>
        <v>udf36</v>
      </c>
    </row>
    <row r="110" spans="2:10">
      <c r="B110" s="32" t="s">
        <v>452</v>
      </c>
      <c r="C110" s="37" t="s">
        <v>399</v>
      </c>
      <c r="D110" s="32">
        <v>100</v>
      </c>
      <c r="E110" s="32" t="s">
        <v>452</v>
      </c>
      <c r="F110" s="32">
        <v>0</v>
      </c>
      <c r="G110" s="12" t="str">
        <f t="shared" si="4"/>
        <v>Pass</v>
      </c>
      <c r="H110" s="13" t="str">
        <f t="shared" si="5"/>
        <v>Pass</v>
      </c>
      <c r="I110" s="3" t="str">
        <f t="shared" si="6"/>
        <v>udf37</v>
      </c>
      <c r="J110" s="3" t="str">
        <f t="shared" si="7"/>
        <v>udf37</v>
      </c>
    </row>
    <row r="111" spans="2:10">
      <c r="B111" s="32" t="s">
        <v>453</v>
      </c>
      <c r="C111" s="37" t="s">
        <v>399</v>
      </c>
      <c r="D111" s="32">
        <v>100</v>
      </c>
      <c r="E111" s="32" t="s">
        <v>453</v>
      </c>
      <c r="F111" s="32">
        <v>0</v>
      </c>
      <c r="G111" s="12" t="str">
        <f t="shared" si="4"/>
        <v>Pass</v>
      </c>
      <c r="H111" s="13" t="str">
        <f t="shared" si="5"/>
        <v>Pass</v>
      </c>
      <c r="I111" s="3" t="str">
        <f t="shared" si="6"/>
        <v>udf38</v>
      </c>
      <c r="J111" s="3" t="str">
        <f t="shared" si="7"/>
        <v>udf38</v>
      </c>
    </row>
    <row r="112" spans="2:10">
      <c r="B112" s="32" t="s">
        <v>454</v>
      </c>
      <c r="C112" s="37" t="s">
        <v>399</v>
      </c>
      <c r="D112" s="32">
        <v>100</v>
      </c>
      <c r="E112" s="32" t="s">
        <v>454</v>
      </c>
      <c r="F112" s="32">
        <v>0</v>
      </c>
      <c r="G112" s="12" t="str">
        <f t="shared" si="4"/>
        <v>Pass</v>
      </c>
      <c r="H112" s="13" t="str">
        <f t="shared" si="5"/>
        <v>Pass</v>
      </c>
      <c r="I112" s="3" t="str">
        <f t="shared" si="6"/>
        <v>udf39</v>
      </c>
      <c r="J112" s="3" t="str">
        <f t="shared" si="7"/>
        <v>udf39</v>
      </c>
    </row>
    <row r="113" spans="2:10">
      <c r="B113" s="32" t="s">
        <v>455</v>
      </c>
      <c r="C113" s="37" t="s">
        <v>399</v>
      </c>
      <c r="D113" s="32">
        <v>100</v>
      </c>
      <c r="E113" s="32" t="s">
        <v>455</v>
      </c>
      <c r="F113" s="32">
        <v>0</v>
      </c>
      <c r="G113" s="12" t="str">
        <f t="shared" si="4"/>
        <v>Pass</v>
      </c>
      <c r="H113" s="13" t="str">
        <f t="shared" si="5"/>
        <v>Pass</v>
      </c>
      <c r="I113" s="3" t="str">
        <f t="shared" si="6"/>
        <v>udf40</v>
      </c>
      <c r="J113" s="3" t="str">
        <f t="shared" si="7"/>
        <v>udf40</v>
      </c>
    </row>
  </sheetData>
  <conditionalFormatting sqref="G2:H113">
    <cfRule type="cellIs" dxfId="71" priority="459" operator="equal">
      <formula>"Fail"</formula>
    </cfRule>
    <cfRule type="cellIs" dxfId="70" priority="460" operator="equal">
      <formula>"Pass"</formula>
    </cfRule>
  </conditionalFormatting>
  <conditionalFormatting sqref="M6:N7">
    <cfRule type="cellIs" dxfId="69" priority="7" operator="equal">
      <formula>"Fail"</formula>
    </cfRule>
    <cfRule type="cellIs" dxfId="68" priority="8" operator="equal">
      <formula>"Pass"</formula>
    </cfRule>
  </conditionalFormatting>
  <conditionalFormatting sqref="M8">
    <cfRule type="containsText" dxfId="67" priority="1" operator="containsText" text="Pass">
      <formula>NOT(ISERROR(SEARCH("Pass",M8)))</formula>
    </cfRule>
    <cfRule type="containsText" dxfId="66" priority="2" operator="containsText" text="Fail">
      <formula>NOT(ISERROR(SEARCH("Fail",M8)))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B1:O15"/>
  <sheetViews>
    <sheetView showGridLines="0" workbookViewId="0">
      <pane ySplit="1" topLeftCell="A2" activePane="bottomLeft" state="frozen"/>
      <selection pane="bottomLeft" activeCell="F2" sqref="F2:F15"/>
    </sheetView>
  </sheetViews>
  <sheetFormatPr defaultRowHeight="15"/>
  <cols>
    <col min="1" max="1" width="3.5703125" customWidth="1"/>
    <col min="2" max="2" width="18" bestFit="1" customWidth="1"/>
    <col min="3" max="3" width="18" hidden="1" customWidth="1"/>
    <col min="4" max="4" width="12.7109375" bestFit="1" customWidth="1"/>
    <col min="5" max="5" width="18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0" hidden="1" customWidth="1"/>
    <col min="10" max="10" width="28.5703125" hidden="1" customWidth="1"/>
    <col min="12" max="12" width="22.140625" bestFit="1" customWidth="1"/>
    <col min="13" max="13" width="25.140625" bestFit="1" customWidth="1"/>
    <col min="14" max="14" width="11.5703125" bestFit="1" customWidth="1"/>
    <col min="15" max="15" width="4.140625" hidden="1" customWidth="1"/>
  </cols>
  <sheetData>
    <row r="1" spans="2:15">
      <c r="B1" s="17" t="s">
        <v>389</v>
      </c>
      <c r="C1" s="17" t="s">
        <v>397</v>
      </c>
      <c r="D1" s="17" t="s">
        <v>390</v>
      </c>
      <c r="E1" s="17" t="s">
        <v>72</v>
      </c>
      <c r="F1" s="17" t="s">
        <v>80</v>
      </c>
      <c r="G1" s="17" t="s">
        <v>81</v>
      </c>
      <c r="H1" s="17" t="s">
        <v>82</v>
      </c>
      <c r="O1" s="27" t="s">
        <v>413</v>
      </c>
    </row>
    <row r="2" spans="2:15">
      <c r="B2" s="1" t="s">
        <v>83</v>
      </c>
      <c r="C2" s="18" t="s">
        <v>398</v>
      </c>
      <c r="D2" s="12" t="s">
        <v>476</v>
      </c>
      <c r="E2" s="1" t="s">
        <v>83</v>
      </c>
      <c r="F2" s="12">
        <v>5</v>
      </c>
      <c r="G2" s="12" t="str">
        <f>IF(I2=J2,"Pass","Fail")</f>
        <v>Pass</v>
      </c>
      <c r="H2" s="13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1" t="s">
        <v>460</v>
      </c>
      <c r="M2" s="21" t="s">
        <v>461</v>
      </c>
      <c r="N2" s="21" t="s">
        <v>396</v>
      </c>
    </row>
    <row r="3" spans="2:15">
      <c r="B3" s="1" t="s">
        <v>71</v>
      </c>
      <c r="C3" s="18" t="s">
        <v>399</v>
      </c>
      <c r="D3" s="12">
        <v>50</v>
      </c>
      <c r="E3" s="1" t="s">
        <v>71</v>
      </c>
      <c r="F3" s="12">
        <v>32</v>
      </c>
      <c r="G3" s="12" t="str">
        <f t="shared" ref="G3:G15" si="0">IF(I3=J3,"Pass","Fail")</f>
        <v>Pass</v>
      </c>
      <c r="H3" s="13" t="str">
        <f t="shared" ref="H3:H15" si="1">IF(AND(ISBLANK(D3),F3&gt;=0),"Pass",IF(F3&lt;=D3,"Pass","Fail"))</f>
        <v>Pass</v>
      </c>
      <c r="I3" s="3" t="str">
        <f t="shared" ref="I3:I15" si="2">SUBSTITUTE(B3,"_","")</f>
        <v>dwmemberid</v>
      </c>
      <c r="J3" s="3" t="str">
        <f t="shared" ref="J3:J15" si="3">SUBSTITUTE(E3,"_","")</f>
        <v>dwmemberid</v>
      </c>
      <c r="L3" s="20">
        <v>83617</v>
      </c>
      <c r="M3" s="20"/>
      <c r="N3" s="23">
        <f>L3-M3</f>
        <v>83617</v>
      </c>
    </row>
    <row r="4" spans="2:15">
      <c r="B4" s="1" t="s">
        <v>339</v>
      </c>
      <c r="C4" s="18" t="s">
        <v>399</v>
      </c>
      <c r="D4" s="12">
        <v>30</v>
      </c>
      <c r="E4" s="1" t="s">
        <v>339</v>
      </c>
      <c r="F4" s="12">
        <v>13</v>
      </c>
      <c r="G4" s="12" t="str">
        <f t="shared" si="0"/>
        <v>Pass</v>
      </c>
      <c r="H4" s="13" t="str">
        <f t="shared" si="1"/>
        <v>Pass</v>
      </c>
      <c r="I4" s="3" t="str">
        <f t="shared" si="2"/>
        <v>memberFirstName</v>
      </c>
      <c r="J4" s="3" t="str">
        <f t="shared" si="3"/>
        <v>memberFirstName</v>
      </c>
    </row>
    <row r="5" spans="2:15">
      <c r="B5" s="1" t="s">
        <v>340</v>
      </c>
      <c r="C5" s="18" t="s">
        <v>399</v>
      </c>
      <c r="D5" s="12">
        <v>30</v>
      </c>
      <c r="E5" s="1" t="s">
        <v>340</v>
      </c>
      <c r="F5" s="12">
        <v>20</v>
      </c>
      <c r="G5" s="12" t="str">
        <f t="shared" si="0"/>
        <v>Pass</v>
      </c>
      <c r="H5" s="13" t="str">
        <f t="shared" si="1"/>
        <v>Pass</v>
      </c>
      <c r="I5" s="3" t="str">
        <f t="shared" si="2"/>
        <v>memberLastName</v>
      </c>
      <c r="J5" s="3" t="str">
        <f t="shared" si="3"/>
        <v>memberLastName</v>
      </c>
      <c r="L5" s="25" t="s">
        <v>403</v>
      </c>
      <c r="M5" s="35" t="s">
        <v>401</v>
      </c>
    </row>
    <row r="6" spans="2:15">
      <c r="B6" s="1" t="s">
        <v>341</v>
      </c>
      <c r="C6" s="18" t="s">
        <v>399</v>
      </c>
      <c r="D6" s="12">
        <v>5</v>
      </c>
      <c r="E6" s="1" t="s">
        <v>341</v>
      </c>
      <c r="F6" s="12">
        <v>1</v>
      </c>
      <c r="G6" s="12" t="str">
        <f t="shared" si="0"/>
        <v>Pass</v>
      </c>
      <c r="H6" s="13" t="str">
        <f t="shared" si="1"/>
        <v>Pass</v>
      </c>
      <c r="I6" s="3" t="str">
        <f t="shared" si="2"/>
        <v>memberGender</v>
      </c>
      <c r="J6" s="3" t="str">
        <f t="shared" si="3"/>
        <v>memberGender</v>
      </c>
      <c r="L6" s="24" t="s">
        <v>81</v>
      </c>
      <c r="M6" s="12" t="str">
        <f>IF(ISERROR(VLOOKUP($O$1,$G$2:$G$15,1,)),"Pass","Fail")</f>
        <v>Pass</v>
      </c>
    </row>
    <row r="7" spans="2:15">
      <c r="B7" s="1" t="s">
        <v>342</v>
      </c>
      <c r="C7" s="18" t="s">
        <v>400</v>
      </c>
      <c r="D7" s="12" t="s">
        <v>476</v>
      </c>
      <c r="E7" s="1" t="s">
        <v>342</v>
      </c>
      <c r="F7" s="12">
        <v>10</v>
      </c>
      <c r="G7" s="12" t="str">
        <f t="shared" si="0"/>
        <v>Pass</v>
      </c>
      <c r="H7" s="13" t="str">
        <f t="shared" si="1"/>
        <v>Pass</v>
      </c>
      <c r="I7" s="3" t="str">
        <f t="shared" si="2"/>
        <v>memberDOB</v>
      </c>
      <c r="J7" s="3" t="str">
        <f t="shared" si="3"/>
        <v>memberDOB</v>
      </c>
      <c r="L7" s="24" t="s">
        <v>402</v>
      </c>
      <c r="M7" s="12" t="str">
        <f>IF(ISERROR(VLOOKUP($O$1,$H$2:$H$15,1,)),"Pass","Fail")</f>
        <v>Pass</v>
      </c>
    </row>
    <row r="8" spans="2:15">
      <c r="B8" s="1" t="s">
        <v>343</v>
      </c>
      <c r="C8" s="18" t="s">
        <v>399</v>
      </c>
      <c r="D8" s="12">
        <v>50</v>
      </c>
      <c r="E8" s="1" t="s">
        <v>343</v>
      </c>
      <c r="F8" s="12">
        <v>4</v>
      </c>
      <c r="G8" s="12" t="str">
        <f t="shared" si="0"/>
        <v>Pass</v>
      </c>
      <c r="H8" s="13" t="str">
        <f t="shared" si="1"/>
        <v>Pass</v>
      </c>
      <c r="I8" s="3" t="str">
        <f t="shared" si="2"/>
        <v>measureId</v>
      </c>
      <c r="J8" s="3" t="str">
        <f t="shared" si="3"/>
        <v>measureId</v>
      </c>
      <c r="L8" s="24" t="s">
        <v>467</v>
      </c>
      <c r="M8" s="39">
        <f>IF(M3=0,0%,N3/M3)</f>
        <v>0</v>
      </c>
    </row>
    <row r="9" spans="2:15">
      <c r="B9" s="1" t="s">
        <v>344</v>
      </c>
      <c r="C9" s="18" t="s">
        <v>399</v>
      </c>
      <c r="D9" s="12">
        <v>200</v>
      </c>
      <c r="E9" s="1" t="s">
        <v>344</v>
      </c>
      <c r="F9" s="12">
        <v>108</v>
      </c>
      <c r="G9" s="12" t="str">
        <f t="shared" si="0"/>
        <v>Pass</v>
      </c>
      <c r="H9" s="13" t="str">
        <f t="shared" si="1"/>
        <v>Pass</v>
      </c>
      <c r="I9" s="3" t="str">
        <f t="shared" si="2"/>
        <v>measureDesc</v>
      </c>
      <c r="J9" s="3" t="str">
        <f t="shared" si="3"/>
        <v>measureDesc</v>
      </c>
      <c r="L9" s="24" t="s">
        <v>466</v>
      </c>
      <c r="M9" s="41">
        <f>File_Size_Comparision!F9</f>
        <v>0</v>
      </c>
    </row>
    <row r="10" spans="2:15">
      <c r="B10" s="1" t="s">
        <v>345</v>
      </c>
      <c r="C10" s="18" t="s">
        <v>399</v>
      </c>
      <c r="D10" s="12">
        <v>50</v>
      </c>
      <c r="E10" s="1" t="s">
        <v>345</v>
      </c>
      <c r="F10" s="12">
        <v>1</v>
      </c>
      <c r="G10" s="12" t="str">
        <f t="shared" si="0"/>
        <v>Pass</v>
      </c>
      <c r="H10" s="13" t="str">
        <f t="shared" si="1"/>
        <v>Pass</v>
      </c>
      <c r="I10" s="3" t="str">
        <f t="shared" si="2"/>
        <v>Positive/Negative</v>
      </c>
      <c r="J10" s="3" t="str">
        <f t="shared" si="3"/>
        <v>Positive/Negative</v>
      </c>
    </row>
    <row r="11" spans="2:15">
      <c r="B11" s="1" t="s">
        <v>346</v>
      </c>
      <c r="C11" s="18" t="s">
        <v>399</v>
      </c>
      <c r="D11" s="12">
        <v>200</v>
      </c>
      <c r="E11" s="1" t="s">
        <v>346</v>
      </c>
      <c r="F11" s="12">
        <v>55</v>
      </c>
      <c r="G11" s="12" t="str">
        <f t="shared" si="0"/>
        <v>Pass</v>
      </c>
      <c r="H11" s="13" t="str">
        <f t="shared" si="1"/>
        <v>Pass</v>
      </c>
      <c r="I11" s="3" t="str">
        <f t="shared" si="2"/>
        <v>measureName</v>
      </c>
      <c r="J11" s="3" t="str">
        <f t="shared" si="3"/>
        <v>measureName</v>
      </c>
    </row>
    <row r="12" spans="2:15">
      <c r="B12" s="1" t="s">
        <v>347</v>
      </c>
      <c r="C12" s="18" t="s">
        <v>400</v>
      </c>
      <c r="D12" s="12" t="s">
        <v>476</v>
      </c>
      <c r="E12" s="1" t="s">
        <v>347</v>
      </c>
      <c r="F12" s="12">
        <v>10</v>
      </c>
      <c r="G12" s="12" t="str">
        <f t="shared" si="0"/>
        <v>Pass</v>
      </c>
      <c r="H12" s="13" t="str">
        <f t="shared" si="1"/>
        <v>Pass</v>
      </c>
      <c r="I12" s="3" t="str">
        <f t="shared" si="2"/>
        <v>startDate</v>
      </c>
      <c r="J12" s="3" t="str">
        <f t="shared" si="3"/>
        <v>startDate</v>
      </c>
    </row>
    <row r="13" spans="2:15">
      <c r="B13" s="1" t="s">
        <v>348</v>
      </c>
      <c r="C13" s="18" t="s">
        <v>400</v>
      </c>
      <c r="D13" s="12" t="s">
        <v>476</v>
      </c>
      <c r="E13" s="1" t="s">
        <v>348</v>
      </c>
      <c r="F13" s="12">
        <v>10</v>
      </c>
      <c r="G13" s="12" t="str">
        <f t="shared" si="0"/>
        <v>Pass</v>
      </c>
      <c r="H13" s="13" t="str">
        <f t="shared" si="1"/>
        <v>Pass</v>
      </c>
      <c r="I13" s="3" t="str">
        <f t="shared" si="2"/>
        <v>EndDate</v>
      </c>
      <c r="J13" s="3" t="str">
        <f t="shared" si="3"/>
        <v>EndDate</v>
      </c>
    </row>
    <row r="14" spans="2:15">
      <c r="B14" s="1" t="s">
        <v>349</v>
      </c>
      <c r="C14" s="18" t="s">
        <v>399</v>
      </c>
      <c r="D14" s="12">
        <v>1</v>
      </c>
      <c r="E14" s="1" t="s">
        <v>349</v>
      </c>
      <c r="F14" s="12">
        <v>1</v>
      </c>
      <c r="G14" s="12" t="str">
        <f t="shared" si="0"/>
        <v>Pass</v>
      </c>
      <c r="H14" s="13" t="str">
        <f t="shared" si="1"/>
        <v>Pass</v>
      </c>
      <c r="I14" s="3" t="str">
        <f t="shared" si="2"/>
        <v>numerator</v>
      </c>
      <c r="J14" s="3" t="str">
        <f t="shared" si="3"/>
        <v>numerator</v>
      </c>
    </row>
    <row r="15" spans="2:15">
      <c r="B15" s="1" t="s">
        <v>350</v>
      </c>
      <c r="C15" s="18" t="s">
        <v>399</v>
      </c>
      <c r="D15" s="12">
        <v>1</v>
      </c>
      <c r="E15" s="1" t="s">
        <v>350</v>
      </c>
      <c r="F15" s="12">
        <v>1</v>
      </c>
      <c r="G15" s="12" t="str">
        <f t="shared" si="0"/>
        <v>Pass</v>
      </c>
      <c r="H15" s="13" t="str">
        <f t="shared" si="1"/>
        <v>Pass</v>
      </c>
      <c r="I15" s="3" t="str">
        <f t="shared" si="2"/>
        <v>denomenator</v>
      </c>
      <c r="J15" s="3" t="str">
        <f t="shared" si="3"/>
        <v>denomenator</v>
      </c>
    </row>
  </sheetData>
  <conditionalFormatting sqref="G2:H15">
    <cfRule type="cellIs" dxfId="65" priority="627" operator="equal">
      <formula>"Fail"</formula>
    </cfRule>
    <cfRule type="cellIs" dxfId="64" priority="628" operator="equal">
      <formula>"Pass"</formula>
    </cfRule>
  </conditionalFormatting>
  <conditionalFormatting sqref="H2:H15">
    <cfRule type="cellIs" dxfId="63" priority="17" operator="equal">
      <formula>"Fail"</formula>
    </cfRule>
    <cfRule type="cellIs" dxfId="62" priority="18" operator="equal">
      <formula>"Pass"</formula>
    </cfRule>
  </conditionalFormatting>
  <conditionalFormatting sqref="H2:H15">
    <cfRule type="cellIs" dxfId="61" priority="15" operator="equal">
      <formula>"Fail"</formula>
    </cfRule>
    <cfRule type="cellIs" dxfId="60" priority="16" operator="equal">
      <formula>"Pass"</formula>
    </cfRule>
  </conditionalFormatting>
  <conditionalFormatting sqref="H2:H15">
    <cfRule type="cellIs" dxfId="59" priority="13" operator="equal">
      <formula>"Fail"</formula>
    </cfRule>
    <cfRule type="cellIs" dxfId="58" priority="14" operator="equal">
      <formula>"Pass"</formula>
    </cfRule>
  </conditionalFormatting>
  <conditionalFormatting sqref="H2:H15">
    <cfRule type="cellIs" dxfId="57" priority="11" operator="equal">
      <formula>"Fail"</formula>
    </cfRule>
    <cfRule type="cellIs" dxfId="56" priority="12" operator="equal">
      <formula>"Pass"</formula>
    </cfRule>
  </conditionalFormatting>
  <conditionalFormatting sqref="H2:H15">
    <cfRule type="cellIs" dxfId="55" priority="9" operator="equal">
      <formula>"Fail"</formula>
    </cfRule>
    <cfRule type="cellIs" dxfId="54" priority="10" operator="equal">
      <formula>"Pass"</formula>
    </cfRule>
  </conditionalFormatting>
  <conditionalFormatting sqref="H2:H15">
    <cfRule type="cellIs" dxfId="53" priority="7" operator="equal">
      <formula>"Fail"</formula>
    </cfRule>
    <cfRule type="cellIs" dxfId="52" priority="8" operator="equal">
      <formula>"Pass"</formula>
    </cfRule>
  </conditionalFormatting>
  <conditionalFormatting sqref="H2:H15">
    <cfRule type="cellIs" dxfId="51" priority="5" operator="equal">
      <formula>"Fail"</formula>
    </cfRule>
    <cfRule type="cellIs" dxfId="50" priority="6" operator="equal">
      <formula>"Pass"</formula>
    </cfRule>
  </conditionalFormatting>
  <conditionalFormatting sqref="H2:H15">
    <cfRule type="cellIs" dxfId="49" priority="3" operator="equal">
      <formula>"Fail"</formula>
    </cfRule>
    <cfRule type="cellIs" dxfId="48" priority="4" operator="equal">
      <formula>"Pass"</formula>
    </cfRule>
  </conditionalFormatting>
  <conditionalFormatting sqref="M6:M7">
    <cfRule type="cellIs" dxfId="47" priority="1" operator="equal">
      <formula>"Fail"</formula>
    </cfRule>
    <cfRule type="cellIs" dxfId="46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B1:O26"/>
  <sheetViews>
    <sheetView showGridLines="0" workbookViewId="0">
      <pane ySplit="1" topLeftCell="A2" activePane="bottomLeft" state="frozen"/>
      <selection pane="bottomLeft" activeCell="F2" sqref="F2:F26"/>
    </sheetView>
  </sheetViews>
  <sheetFormatPr defaultRowHeight="15"/>
  <cols>
    <col min="1" max="1" width="3.28515625" customWidth="1"/>
    <col min="2" max="2" width="32.42578125" bestFit="1" customWidth="1"/>
    <col min="3" max="3" width="9.7109375" hidden="1" customWidth="1"/>
    <col min="4" max="4" width="12.7109375" bestFit="1" customWidth="1"/>
    <col min="5" max="5" width="32.42578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0" hidden="1" customWidth="1"/>
    <col min="12" max="12" width="22.140625" bestFit="1" customWidth="1"/>
    <col min="13" max="13" width="21.140625" bestFit="1" customWidth="1"/>
    <col min="14" max="14" width="10.42578125" bestFit="1" customWidth="1"/>
    <col min="15" max="15" width="9.140625" hidden="1" customWidth="1"/>
  </cols>
  <sheetData>
    <row r="1" spans="2:15">
      <c r="B1" s="17" t="s">
        <v>389</v>
      </c>
      <c r="C1" s="17" t="s">
        <v>397</v>
      </c>
      <c r="D1" s="17" t="s">
        <v>390</v>
      </c>
      <c r="E1" s="17" t="s">
        <v>72</v>
      </c>
      <c r="F1" s="17" t="s">
        <v>80</v>
      </c>
      <c r="G1" s="17" t="s">
        <v>81</v>
      </c>
      <c r="H1" s="17" t="s">
        <v>82</v>
      </c>
      <c r="O1" s="27" t="s">
        <v>413</v>
      </c>
    </row>
    <row r="2" spans="2:15">
      <c r="B2" s="1" t="s">
        <v>83</v>
      </c>
      <c r="C2" s="18" t="s">
        <v>398</v>
      </c>
      <c r="D2" s="12"/>
      <c r="E2" s="1" t="s">
        <v>83</v>
      </c>
      <c r="F2" s="12">
        <v>4</v>
      </c>
      <c r="G2" s="12" t="str">
        <f>IF(I2=J2,"Pass","Fail")</f>
        <v>Pass</v>
      </c>
      <c r="H2" s="13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1" t="s">
        <v>460</v>
      </c>
      <c r="M2" s="21" t="s">
        <v>461</v>
      </c>
      <c r="N2" s="21" t="s">
        <v>396</v>
      </c>
    </row>
    <row r="3" spans="2:15">
      <c r="B3" s="1" t="s">
        <v>84</v>
      </c>
      <c r="C3" s="18" t="s">
        <v>399</v>
      </c>
      <c r="D3" s="12">
        <v>50</v>
      </c>
      <c r="E3" s="1" t="s">
        <v>84</v>
      </c>
      <c r="F3" s="12">
        <v>0</v>
      </c>
      <c r="G3" s="12" t="str">
        <f t="shared" ref="G3:G26" si="0">IF(I3=J3,"Pass","Fail")</f>
        <v>Pass</v>
      </c>
      <c r="H3" s="13" t="str">
        <f t="shared" ref="H3:H26" si="1">IF(AND(ISBLANK(D3),F3&gt;=0),"Pass",IF(F3&lt;=D3,"Pass","Fail"))</f>
        <v>Pass</v>
      </c>
      <c r="I3" s="3" t="str">
        <f t="shared" ref="I3:I26" si="2">SUBSTITUTE(B3,"_","")</f>
        <v>dwaccountid</v>
      </c>
      <c r="J3" s="3" t="str">
        <f t="shared" ref="J3:J26" si="3">SUBSTITUTE(E3,"_","")</f>
        <v>dwaccountid</v>
      </c>
      <c r="L3" s="20">
        <v>3735</v>
      </c>
      <c r="M3" s="20"/>
      <c r="N3" s="23">
        <f>L3-M3</f>
        <v>3735</v>
      </c>
    </row>
    <row r="4" spans="2:15">
      <c r="B4" s="1" t="s">
        <v>85</v>
      </c>
      <c r="C4" s="18" t="s">
        <v>399</v>
      </c>
      <c r="D4" s="12">
        <v>50</v>
      </c>
      <c r="E4" s="1" t="s">
        <v>85</v>
      </c>
      <c r="F4" s="12">
        <v>8</v>
      </c>
      <c r="G4" s="12" t="str">
        <f t="shared" si="0"/>
        <v>Pass</v>
      </c>
      <c r="H4" s="13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>
      <c r="B5" s="1" t="s">
        <v>71</v>
      </c>
      <c r="C5" s="18" t="s">
        <v>399</v>
      </c>
      <c r="D5" s="12">
        <v>50</v>
      </c>
      <c r="E5" s="1" t="s">
        <v>71</v>
      </c>
      <c r="F5" s="12">
        <v>32</v>
      </c>
      <c r="G5" s="12" t="str">
        <f t="shared" si="0"/>
        <v>Pass</v>
      </c>
      <c r="H5" s="13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5" t="s">
        <v>403</v>
      </c>
      <c r="M5" s="35" t="s">
        <v>401</v>
      </c>
    </row>
    <row r="6" spans="2:15">
      <c r="B6" s="1" t="s">
        <v>0</v>
      </c>
      <c r="C6" s="18" t="s">
        <v>399</v>
      </c>
      <c r="D6" s="12">
        <v>20</v>
      </c>
      <c r="E6" s="1" t="s">
        <v>0</v>
      </c>
      <c r="F6" s="12">
        <v>20</v>
      </c>
      <c r="G6" s="12" t="str">
        <f t="shared" si="0"/>
        <v>Pass</v>
      </c>
      <c r="H6" s="13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4" t="s">
        <v>81</v>
      </c>
      <c r="M6" s="12" t="str">
        <f>IF(ISERROR(VLOOKUP($O$1,$G$2:$G$26,1,)),"Pass","Fail")</f>
        <v>Pass</v>
      </c>
    </row>
    <row r="7" spans="2:15">
      <c r="B7" s="1" t="s">
        <v>89</v>
      </c>
      <c r="C7" s="18" t="s">
        <v>399</v>
      </c>
      <c r="D7" s="12">
        <v>50</v>
      </c>
      <c r="E7" s="1" t="s">
        <v>89</v>
      </c>
      <c r="F7" s="12">
        <v>0</v>
      </c>
      <c r="G7" s="12" t="str">
        <f t="shared" si="0"/>
        <v>Pass</v>
      </c>
      <c r="H7" s="13" t="str">
        <f t="shared" si="1"/>
        <v>Pass</v>
      </c>
      <c r="I7" s="3" t="str">
        <f t="shared" si="2"/>
        <v>scoretype</v>
      </c>
      <c r="J7" s="3" t="str">
        <f t="shared" si="3"/>
        <v>scoretype</v>
      </c>
      <c r="L7" s="24" t="s">
        <v>402</v>
      </c>
      <c r="M7" s="12" t="str">
        <f>IF(ISERROR(VLOOKUP($O$1,$H$2:$H$26,1,)),"Pass","Fail")</f>
        <v>Pass</v>
      </c>
    </row>
    <row r="8" spans="2:15">
      <c r="B8" s="1" t="s">
        <v>90</v>
      </c>
      <c r="C8" s="18" t="s">
        <v>400</v>
      </c>
      <c r="D8" s="12"/>
      <c r="E8" s="1" t="s">
        <v>90</v>
      </c>
      <c r="F8" s="12">
        <v>10</v>
      </c>
      <c r="G8" s="12" t="str">
        <f t="shared" si="0"/>
        <v>Pass</v>
      </c>
      <c r="H8" s="13" t="str">
        <f t="shared" si="1"/>
        <v>Pass</v>
      </c>
      <c r="I8" s="3" t="str">
        <f t="shared" si="2"/>
        <v>scorestartdate</v>
      </c>
      <c r="J8" s="3" t="str">
        <f t="shared" si="3"/>
        <v>scorestartdate</v>
      </c>
      <c r="L8" s="24" t="s">
        <v>467</v>
      </c>
      <c r="M8" s="39">
        <f>IF(M3=0,0%,N3/M3)</f>
        <v>0</v>
      </c>
    </row>
    <row r="9" spans="2:15">
      <c r="B9" s="1" t="s">
        <v>91</v>
      </c>
      <c r="C9" s="18" t="s">
        <v>400</v>
      </c>
      <c r="D9" s="12"/>
      <c r="E9" s="1" t="s">
        <v>91</v>
      </c>
      <c r="F9" s="12">
        <v>10</v>
      </c>
      <c r="G9" s="12" t="str">
        <f t="shared" si="0"/>
        <v>Pass</v>
      </c>
      <c r="H9" s="13" t="str">
        <f t="shared" si="1"/>
        <v>Pass</v>
      </c>
      <c r="I9" s="3" t="str">
        <f t="shared" si="2"/>
        <v>scoreenddate</v>
      </c>
      <c r="J9" s="3" t="str">
        <f t="shared" si="3"/>
        <v>scoreenddate</v>
      </c>
      <c r="L9" s="24" t="s">
        <v>466</v>
      </c>
      <c r="M9" s="41">
        <f>File_Size_Comparision!F10</f>
        <v>0</v>
      </c>
    </row>
    <row r="10" spans="2:15">
      <c r="B10" s="1" t="s">
        <v>92</v>
      </c>
      <c r="C10" s="18" t="s">
        <v>399</v>
      </c>
      <c r="D10" s="12">
        <v>50</v>
      </c>
      <c r="E10" s="1" t="s">
        <v>92</v>
      </c>
      <c r="F10" s="12">
        <v>5</v>
      </c>
      <c r="G10" s="12" t="str">
        <f t="shared" si="0"/>
        <v>Pass</v>
      </c>
      <c r="H10" s="13" t="str">
        <f t="shared" si="1"/>
        <v>Pass</v>
      </c>
      <c r="I10" s="3" t="str">
        <f t="shared" si="2"/>
        <v>ipscore</v>
      </c>
      <c r="J10" s="3" t="str">
        <f t="shared" si="3"/>
        <v>ipscore</v>
      </c>
    </row>
    <row r="11" spans="2:15">
      <c r="B11" s="1" t="s">
        <v>93</v>
      </c>
      <c r="C11" s="18" t="s">
        <v>399</v>
      </c>
      <c r="D11" s="12">
        <v>50</v>
      </c>
      <c r="E11" s="1" t="s">
        <v>93</v>
      </c>
      <c r="F11" s="12">
        <v>5</v>
      </c>
      <c r="G11" s="12" t="str">
        <f t="shared" si="0"/>
        <v>Pass</v>
      </c>
      <c r="H11" s="13" t="str">
        <f t="shared" si="1"/>
        <v>Pass</v>
      </c>
      <c r="I11" s="3" t="str">
        <f t="shared" si="2"/>
        <v>opscore</v>
      </c>
      <c r="J11" s="3" t="str">
        <f t="shared" si="3"/>
        <v>opscore</v>
      </c>
    </row>
    <row r="12" spans="2:15">
      <c r="B12" s="1" t="s">
        <v>94</v>
      </c>
      <c r="C12" s="18" t="s">
        <v>399</v>
      </c>
      <c r="D12" s="12">
        <v>50</v>
      </c>
      <c r="E12" s="1" t="s">
        <v>94</v>
      </c>
      <c r="F12" s="12">
        <v>4</v>
      </c>
      <c r="G12" s="12" t="str">
        <f t="shared" si="0"/>
        <v>Pass</v>
      </c>
      <c r="H12" s="13" t="str">
        <f t="shared" si="1"/>
        <v>Pass</v>
      </c>
      <c r="I12" s="3" t="str">
        <f t="shared" si="2"/>
        <v>physcore</v>
      </c>
      <c r="J12" s="3" t="str">
        <f t="shared" si="3"/>
        <v>physcore</v>
      </c>
    </row>
    <row r="13" spans="2:15">
      <c r="B13" s="1" t="s">
        <v>95</v>
      </c>
      <c r="C13" s="18" t="s">
        <v>399</v>
      </c>
      <c r="D13" s="12">
        <v>50</v>
      </c>
      <c r="E13" s="1" t="s">
        <v>95</v>
      </c>
      <c r="F13" s="12">
        <v>4</v>
      </c>
      <c r="G13" s="12" t="str">
        <f t="shared" si="0"/>
        <v>Pass</v>
      </c>
      <c r="H13" s="13" t="str">
        <f t="shared" si="1"/>
        <v>Pass</v>
      </c>
      <c r="I13" s="3" t="str">
        <f t="shared" si="2"/>
        <v>rxscore</v>
      </c>
      <c r="J13" s="3" t="str">
        <f t="shared" si="3"/>
        <v>rxscore</v>
      </c>
    </row>
    <row r="14" spans="2:15">
      <c r="B14" s="1" t="s">
        <v>96</v>
      </c>
      <c r="C14" s="18" t="s">
        <v>399</v>
      </c>
      <c r="D14" s="12">
        <v>50</v>
      </c>
      <c r="E14" s="1" t="s">
        <v>96</v>
      </c>
      <c r="F14" s="12">
        <v>5</v>
      </c>
      <c r="G14" s="12" t="str">
        <f t="shared" si="0"/>
        <v>Pass</v>
      </c>
      <c r="H14" s="13" t="str">
        <f t="shared" si="1"/>
        <v>Pass</v>
      </c>
      <c r="I14" s="3" t="str">
        <f t="shared" si="2"/>
        <v>medscore</v>
      </c>
      <c r="J14" s="3" t="str">
        <f t="shared" si="3"/>
        <v>medscore</v>
      </c>
    </row>
    <row r="15" spans="2:15">
      <c r="B15" s="1" t="s">
        <v>97</v>
      </c>
      <c r="C15" s="18" t="s">
        <v>399</v>
      </c>
      <c r="D15" s="12">
        <v>50</v>
      </c>
      <c r="E15" s="1" t="s">
        <v>97</v>
      </c>
      <c r="F15" s="12">
        <v>5</v>
      </c>
      <c r="G15" s="12" t="str">
        <f t="shared" si="0"/>
        <v>Pass</v>
      </c>
      <c r="H15" s="13" t="str">
        <f t="shared" si="1"/>
        <v>Pass</v>
      </c>
      <c r="I15" s="3" t="str">
        <f t="shared" si="2"/>
        <v>totalscore</v>
      </c>
      <c r="J15" s="3" t="str">
        <f t="shared" si="3"/>
        <v>totalscore</v>
      </c>
    </row>
    <row r="16" spans="2:15">
      <c r="B16" s="1" t="s">
        <v>98</v>
      </c>
      <c r="C16" s="18" t="s">
        <v>399</v>
      </c>
      <c r="D16" s="12">
        <v>50</v>
      </c>
      <c r="E16" s="1" t="s">
        <v>98</v>
      </c>
      <c r="F16" s="12">
        <v>5</v>
      </c>
      <c r="G16" s="12" t="str">
        <f t="shared" si="0"/>
        <v>Pass</v>
      </c>
      <c r="H16" s="13" t="str">
        <f t="shared" si="1"/>
        <v>Pass</v>
      </c>
      <c r="I16" s="3" t="str">
        <f t="shared" si="2"/>
        <v>concurrenttotal</v>
      </c>
      <c r="J16" s="3" t="str">
        <f t="shared" si="3"/>
        <v>concurrenttotal</v>
      </c>
    </row>
    <row r="17" spans="2:10">
      <c r="B17" s="1" t="s">
        <v>99</v>
      </c>
      <c r="C17" s="18" t="s">
        <v>399</v>
      </c>
      <c r="D17" s="12">
        <v>50</v>
      </c>
      <c r="E17" s="1" t="s">
        <v>99</v>
      </c>
      <c r="F17" s="12">
        <v>4</v>
      </c>
      <c r="G17" s="12" t="str">
        <f t="shared" si="0"/>
        <v>Pass</v>
      </c>
      <c r="H17" s="13" t="str">
        <f t="shared" si="1"/>
        <v>Pass</v>
      </c>
      <c r="I17" s="3" t="str">
        <f t="shared" si="2"/>
        <v>erScore</v>
      </c>
      <c r="J17" s="3" t="str">
        <f t="shared" si="3"/>
        <v>erScore</v>
      </c>
    </row>
    <row r="18" spans="2:10">
      <c r="B18" s="1" t="s">
        <v>100</v>
      </c>
      <c r="C18" s="18" t="s">
        <v>399</v>
      </c>
      <c r="D18" s="12">
        <v>50</v>
      </c>
      <c r="E18" s="1" t="s">
        <v>100</v>
      </c>
      <c r="F18" s="12">
        <v>4</v>
      </c>
      <c r="G18" s="12" t="str">
        <f t="shared" si="0"/>
        <v>Pass</v>
      </c>
      <c r="H18" s="13" t="str">
        <f t="shared" si="1"/>
        <v>Pass</v>
      </c>
      <c r="I18" s="3" t="str">
        <f t="shared" si="2"/>
        <v>otherScore</v>
      </c>
      <c r="J18" s="3" t="str">
        <f t="shared" si="3"/>
        <v>otherScore</v>
      </c>
    </row>
    <row r="19" spans="2:10">
      <c r="B19" s="1" t="s">
        <v>101</v>
      </c>
      <c r="C19" s="18" t="s">
        <v>399</v>
      </c>
      <c r="D19" s="12">
        <v>50</v>
      </c>
      <c r="E19" s="1" t="s">
        <v>101</v>
      </c>
      <c r="F19" s="12">
        <v>5</v>
      </c>
      <c r="G19" s="12" t="str">
        <f t="shared" si="0"/>
        <v>Pass</v>
      </c>
      <c r="H19" s="13" t="str">
        <f t="shared" si="1"/>
        <v>Pass</v>
      </c>
      <c r="I19" s="3" t="str">
        <f t="shared" si="2"/>
        <v>concurrentInpatient</v>
      </c>
      <c r="J19" s="3" t="str">
        <f t="shared" si="3"/>
        <v>concurrentInpatient</v>
      </c>
    </row>
    <row r="20" spans="2:10">
      <c r="B20" s="1" t="s">
        <v>102</v>
      </c>
      <c r="C20" s="18" t="s">
        <v>399</v>
      </c>
      <c r="D20" s="12">
        <v>50</v>
      </c>
      <c r="E20" s="1" t="s">
        <v>102</v>
      </c>
      <c r="F20" s="12">
        <v>5</v>
      </c>
      <c r="G20" s="12" t="str">
        <f t="shared" si="0"/>
        <v>Pass</v>
      </c>
      <c r="H20" s="13" t="str">
        <f t="shared" si="1"/>
        <v>Pass</v>
      </c>
      <c r="I20" s="3" t="str">
        <f t="shared" si="2"/>
        <v>concurrentMedical</v>
      </c>
      <c r="J20" s="3" t="str">
        <f t="shared" si="3"/>
        <v>concurrentMedical</v>
      </c>
    </row>
    <row r="21" spans="2:10">
      <c r="B21" s="1" t="s">
        <v>103</v>
      </c>
      <c r="C21" s="18" t="s">
        <v>399</v>
      </c>
      <c r="D21" s="12">
        <v>50</v>
      </c>
      <c r="E21" s="1" t="s">
        <v>103</v>
      </c>
      <c r="F21" s="12">
        <v>5</v>
      </c>
      <c r="G21" s="12" t="str">
        <f t="shared" si="0"/>
        <v>Pass</v>
      </c>
      <c r="H21" s="13" t="str">
        <f t="shared" si="1"/>
        <v>Pass</v>
      </c>
      <c r="I21" s="3" t="str">
        <f t="shared" si="2"/>
        <v>concurrentOutpatient</v>
      </c>
      <c r="J21" s="3" t="str">
        <f t="shared" si="3"/>
        <v>concurrentOutpatient</v>
      </c>
    </row>
    <row r="22" spans="2:10">
      <c r="B22" s="1" t="s">
        <v>104</v>
      </c>
      <c r="C22" s="18" t="s">
        <v>399</v>
      </c>
      <c r="D22" s="12">
        <v>50</v>
      </c>
      <c r="E22" s="1" t="s">
        <v>104</v>
      </c>
      <c r="F22" s="12">
        <v>3</v>
      </c>
      <c r="G22" s="12" t="str">
        <f t="shared" si="0"/>
        <v>Pass</v>
      </c>
      <c r="H22" s="13" t="str">
        <f t="shared" si="1"/>
        <v>Pass</v>
      </c>
      <c r="I22" s="3" t="str">
        <f t="shared" si="2"/>
        <v>concurrentPharmacy</v>
      </c>
      <c r="J22" s="3" t="str">
        <f t="shared" si="3"/>
        <v>concurrentPharmacy</v>
      </c>
    </row>
    <row r="23" spans="2:10">
      <c r="B23" s="1" t="s">
        <v>105</v>
      </c>
      <c r="C23" s="18" t="s">
        <v>399</v>
      </c>
      <c r="D23" s="12">
        <v>50</v>
      </c>
      <c r="E23" s="1" t="s">
        <v>105</v>
      </c>
      <c r="F23" s="12">
        <v>5</v>
      </c>
      <c r="G23" s="12" t="str">
        <f t="shared" si="0"/>
        <v>Pass</v>
      </c>
      <c r="H23" s="13" t="str">
        <f t="shared" si="1"/>
        <v>Pass</v>
      </c>
      <c r="I23" s="3" t="str">
        <f t="shared" si="2"/>
        <v>concurrentPhysician</v>
      </c>
      <c r="J23" s="3" t="str">
        <f t="shared" si="3"/>
        <v>concurrentPhysician</v>
      </c>
    </row>
    <row r="24" spans="2:10">
      <c r="B24" s="1" t="s">
        <v>106</v>
      </c>
      <c r="C24" s="18" t="s">
        <v>399</v>
      </c>
      <c r="D24" s="12">
        <v>50</v>
      </c>
      <c r="E24" s="1" t="s">
        <v>106</v>
      </c>
      <c r="F24" s="12">
        <v>5</v>
      </c>
      <c r="G24" s="12" t="str">
        <f t="shared" si="0"/>
        <v>Pass</v>
      </c>
      <c r="H24" s="13" t="str">
        <f t="shared" si="1"/>
        <v>Pass</v>
      </c>
      <c r="I24" s="3" t="str">
        <f t="shared" si="2"/>
        <v>concurrentIpNormalizedToGroup</v>
      </c>
      <c r="J24" s="3" t="str">
        <f t="shared" si="3"/>
        <v>concurrentIpNormalizedToGroup</v>
      </c>
    </row>
    <row r="25" spans="2:10">
      <c r="B25" s="1" t="s">
        <v>107</v>
      </c>
      <c r="C25" s="18" t="s">
        <v>399</v>
      </c>
      <c r="D25" s="12">
        <v>50</v>
      </c>
      <c r="E25" s="1" t="s">
        <v>107</v>
      </c>
      <c r="F25" s="12">
        <v>5</v>
      </c>
      <c r="G25" s="12" t="str">
        <f t="shared" si="0"/>
        <v>Pass</v>
      </c>
      <c r="H25" s="13" t="str">
        <f t="shared" si="1"/>
        <v>Pass</v>
      </c>
      <c r="I25" s="3" t="str">
        <f t="shared" si="2"/>
        <v>concurrentOpNormalizedToGroup</v>
      </c>
      <c r="J25" s="3" t="str">
        <f t="shared" si="3"/>
        <v>concurrentOpNormalizedToGroup</v>
      </c>
    </row>
    <row r="26" spans="2:10">
      <c r="B26" s="1" t="s">
        <v>108</v>
      </c>
      <c r="C26" s="18" t="s">
        <v>399</v>
      </c>
      <c r="D26" s="12">
        <v>50</v>
      </c>
      <c r="E26" s="1" t="s">
        <v>108</v>
      </c>
      <c r="F26" s="12">
        <v>5</v>
      </c>
      <c r="G26" s="12" t="str">
        <f t="shared" si="0"/>
        <v>Pass</v>
      </c>
      <c r="H26" s="13" t="str">
        <f t="shared" si="1"/>
        <v>Pass</v>
      </c>
      <c r="I26" s="3" t="str">
        <f t="shared" si="2"/>
        <v>concurrentPhyNormalizedToGroup</v>
      </c>
      <c r="J26" s="3" t="str">
        <f t="shared" si="3"/>
        <v>concurrentPhyNormalizedToGroup</v>
      </c>
    </row>
  </sheetData>
  <conditionalFormatting sqref="G2:H26">
    <cfRule type="cellIs" dxfId="45" priority="835" operator="equal">
      <formula>"Fail"</formula>
    </cfRule>
    <cfRule type="cellIs" dxfId="44" priority="836" operator="equal">
      <formula>"Pass"</formula>
    </cfRule>
  </conditionalFormatting>
  <conditionalFormatting sqref="H2:H26">
    <cfRule type="cellIs" dxfId="43" priority="19" operator="equal">
      <formula>"Fail"</formula>
    </cfRule>
    <cfRule type="cellIs" dxfId="42" priority="20" operator="equal">
      <formula>"Pass"</formula>
    </cfRule>
  </conditionalFormatting>
  <conditionalFormatting sqref="H2:H26">
    <cfRule type="cellIs" dxfId="41" priority="17" operator="equal">
      <formula>"Fail"</formula>
    </cfRule>
    <cfRule type="cellIs" dxfId="40" priority="18" operator="equal">
      <formula>"Pass"</formula>
    </cfRule>
  </conditionalFormatting>
  <conditionalFormatting sqref="H2:H26">
    <cfRule type="cellIs" dxfId="39" priority="15" operator="equal">
      <formula>"Fail"</formula>
    </cfRule>
    <cfRule type="cellIs" dxfId="38" priority="16" operator="equal">
      <formula>"Pass"</formula>
    </cfRule>
  </conditionalFormatting>
  <conditionalFormatting sqref="H2:H26">
    <cfRule type="cellIs" dxfId="37" priority="13" operator="equal">
      <formula>"Fail"</formula>
    </cfRule>
    <cfRule type="cellIs" dxfId="36" priority="14" operator="equal">
      <formula>"Pass"</formula>
    </cfRule>
  </conditionalFormatting>
  <conditionalFormatting sqref="H2:H26">
    <cfRule type="cellIs" dxfId="35" priority="11" operator="equal">
      <formula>"Fail"</formula>
    </cfRule>
    <cfRule type="cellIs" dxfId="34" priority="12" operator="equal">
      <formula>"Pass"</formula>
    </cfRule>
  </conditionalFormatting>
  <conditionalFormatting sqref="H2:H26">
    <cfRule type="cellIs" dxfId="33" priority="9" operator="equal">
      <formula>"Fail"</formula>
    </cfRule>
    <cfRule type="cellIs" dxfId="32" priority="10" operator="equal">
      <formula>"Pass"</formula>
    </cfRule>
  </conditionalFormatting>
  <conditionalFormatting sqref="H2:H26">
    <cfRule type="cellIs" dxfId="31" priority="7" operator="equal">
      <formula>"Fail"</formula>
    </cfRule>
    <cfRule type="cellIs" dxfId="30" priority="8" operator="equal">
      <formula>"Pass"</formula>
    </cfRule>
  </conditionalFormatting>
  <conditionalFormatting sqref="H2:H26">
    <cfRule type="cellIs" dxfId="29" priority="5" operator="equal">
      <formula>"Fail"</formula>
    </cfRule>
    <cfRule type="cellIs" dxfId="28" priority="6" operator="equal">
      <formula>"Pass"</formula>
    </cfRule>
  </conditionalFormatting>
  <conditionalFormatting sqref="H2:H26">
    <cfRule type="cellIs" dxfId="27" priority="3" operator="equal">
      <formula>"Fail"</formula>
    </cfRule>
    <cfRule type="cellIs" dxfId="26" priority="4" operator="equal">
      <formula>"Pass"</formula>
    </cfRule>
  </conditionalFormatting>
  <conditionalFormatting sqref="M6:M7">
    <cfRule type="cellIs" dxfId="25" priority="1" operator="equal">
      <formula>"Fail"</formula>
    </cfRule>
    <cfRule type="cellIs" dxfId="24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B1:O13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.140625" customWidth="1"/>
    <col min="2" max="2" width="15.140625" bestFit="1" customWidth="1"/>
    <col min="3" max="3" width="9.7109375" hidden="1" customWidth="1"/>
    <col min="4" max="4" width="12.7109375" bestFit="1" customWidth="1"/>
    <col min="5" max="5" width="18.42578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2" max="12" width="22.140625" bestFit="1" customWidth="1"/>
    <col min="13" max="13" width="21.140625" bestFit="1" customWidth="1"/>
    <col min="14" max="14" width="10.42578125" bestFit="1" customWidth="1"/>
    <col min="15" max="15" width="9.140625" hidden="1" customWidth="1"/>
  </cols>
  <sheetData>
    <row r="1" spans="2:15">
      <c r="B1" s="17" t="s">
        <v>389</v>
      </c>
      <c r="C1" s="17" t="s">
        <v>397</v>
      </c>
      <c r="D1" s="17" t="s">
        <v>390</v>
      </c>
      <c r="E1" s="17" t="s">
        <v>72</v>
      </c>
      <c r="F1" s="17" t="s">
        <v>80</v>
      </c>
      <c r="G1" s="17" t="s">
        <v>81</v>
      </c>
      <c r="H1" s="17" t="s">
        <v>82</v>
      </c>
      <c r="O1" s="27" t="s">
        <v>413</v>
      </c>
    </row>
    <row r="2" spans="2:15">
      <c r="B2" s="1" t="s">
        <v>83</v>
      </c>
      <c r="C2" s="18" t="s">
        <v>398</v>
      </c>
      <c r="D2" s="12"/>
      <c r="E2" s="1" t="s">
        <v>83</v>
      </c>
      <c r="F2" s="12">
        <v>5</v>
      </c>
      <c r="G2" s="12" t="str">
        <f>IF(I2=J2,"Pass","Fail")</f>
        <v>Pass</v>
      </c>
      <c r="H2" s="13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1" t="s">
        <v>460</v>
      </c>
      <c r="M2" s="21" t="s">
        <v>461</v>
      </c>
      <c r="N2" s="21" t="s">
        <v>396</v>
      </c>
    </row>
    <row r="3" spans="2:15">
      <c r="B3" s="1" t="s">
        <v>84</v>
      </c>
      <c r="C3" s="18" t="s">
        <v>399</v>
      </c>
      <c r="D3" s="12">
        <v>50</v>
      </c>
      <c r="E3" s="1" t="s">
        <v>84</v>
      </c>
      <c r="F3" s="12">
        <v>0</v>
      </c>
      <c r="G3" s="12" t="str">
        <f t="shared" ref="G3:G13" si="0">IF(I3=J3,"Pass","Fail")</f>
        <v>Pass</v>
      </c>
      <c r="H3" s="13" t="str">
        <f t="shared" ref="H3:H13" si="1">IF(AND(ISBLANK(D3),F3&gt;=0),"Pass",IF(F3&lt;=D3,"Pass","Fail"))</f>
        <v>Pass</v>
      </c>
      <c r="I3" s="3" t="str">
        <f t="shared" ref="I3:I13" si="2">SUBSTITUTE(B3,"_","")</f>
        <v>dwaccountid</v>
      </c>
      <c r="J3" s="3" t="str">
        <f t="shared" ref="J3:J13" si="3">SUBSTITUTE(E3,"_","")</f>
        <v>dwaccountid</v>
      </c>
      <c r="L3" s="20">
        <v>50983</v>
      </c>
      <c r="M3" s="20"/>
      <c r="N3" s="23">
        <f>L3-M3</f>
        <v>50983</v>
      </c>
    </row>
    <row r="4" spans="2:15">
      <c r="B4" s="1" t="s">
        <v>85</v>
      </c>
      <c r="C4" s="18" t="s">
        <v>399</v>
      </c>
      <c r="D4" s="12">
        <v>50</v>
      </c>
      <c r="E4" s="1" t="s">
        <v>85</v>
      </c>
      <c r="F4" s="12">
        <v>8</v>
      </c>
      <c r="G4" s="12" t="str">
        <f t="shared" si="0"/>
        <v>Pass</v>
      </c>
      <c r="H4" s="13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>
      <c r="B5" s="1" t="s">
        <v>71</v>
      </c>
      <c r="C5" s="18" t="s">
        <v>399</v>
      </c>
      <c r="D5" s="12">
        <v>50</v>
      </c>
      <c r="E5" s="1" t="s">
        <v>71</v>
      </c>
      <c r="F5" s="12">
        <v>32</v>
      </c>
      <c r="G5" s="12" t="str">
        <f t="shared" si="0"/>
        <v>Pass</v>
      </c>
      <c r="H5" s="13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5" t="s">
        <v>403</v>
      </c>
      <c r="M5" s="35" t="s">
        <v>401</v>
      </c>
    </row>
    <row r="6" spans="2:15">
      <c r="B6" s="1" t="s">
        <v>0</v>
      </c>
      <c r="C6" s="18" t="s">
        <v>399</v>
      </c>
      <c r="D6" s="12">
        <v>20</v>
      </c>
      <c r="E6" s="1" t="s">
        <v>0</v>
      </c>
      <c r="F6" s="12">
        <v>20</v>
      </c>
      <c r="G6" s="12" t="str">
        <f t="shared" si="0"/>
        <v>Pass</v>
      </c>
      <c r="H6" s="13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4" t="s">
        <v>81</v>
      </c>
      <c r="M6" s="12" t="str">
        <f>IF(ISERROR(VLOOKUP($O$1,$G$2:$G$13,1,)),"Pass","Fail")</f>
        <v>Pass</v>
      </c>
    </row>
    <row r="7" spans="2:15">
      <c r="B7" s="1" t="s">
        <v>351</v>
      </c>
      <c r="C7" s="18" t="s">
        <v>399</v>
      </c>
      <c r="D7" s="12">
        <v>50</v>
      </c>
      <c r="E7" s="1" t="s">
        <v>351</v>
      </c>
      <c r="F7" s="12">
        <v>38</v>
      </c>
      <c r="G7" s="12" t="str">
        <f t="shared" si="0"/>
        <v>Pass</v>
      </c>
      <c r="H7" s="13" t="str">
        <f t="shared" si="1"/>
        <v>Pass</v>
      </c>
      <c r="I7" s="3" t="str">
        <f t="shared" si="2"/>
        <v>mbrvisittype</v>
      </c>
      <c r="J7" s="3" t="str">
        <f t="shared" si="3"/>
        <v>mbrvisittype</v>
      </c>
      <c r="L7" s="24" t="s">
        <v>402</v>
      </c>
      <c r="M7" s="12" t="str">
        <f>IF(ISERROR(VLOOKUP($O$1,$H$2:$H$13,1,)),"Pass","Fail")</f>
        <v>Pass</v>
      </c>
    </row>
    <row r="8" spans="2:15">
      <c r="B8" s="1" t="s">
        <v>352</v>
      </c>
      <c r="C8" s="18" t="s">
        <v>400</v>
      </c>
      <c r="D8" s="12"/>
      <c r="E8" s="1" t="s">
        <v>352</v>
      </c>
      <c r="F8" s="12">
        <v>10</v>
      </c>
      <c r="G8" s="12" t="str">
        <f t="shared" si="0"/>
        <v>Pass</v>
      </c>
      <c r="H8" s="13" t="str">
        <f t="shared" si="1"/>
        <v>Pass</v>
      </c>
      <c r="I8" s="3" t="str">
        <f t="shared" si="2"/>
        <v>mbrstartdate</v>
      </c>
      <c r="J8" s="3" t="str">
        <f t="shared" si="3"/>
        <v>mbrstartdate</v>
      </c>
      <c r="L8" s="24" t="s">
        <v>467</v>
      </c>
      <c r="M8" s="39">
        <f>IF(M3=0,0%,N3/M3)</f>
        <v>0</v>
      </c>
    </row>
    <row r="9" spans="2:15">
      <c r="B9" s="1" t="s">
        <v>353</v>
      </c>
      <c r="C9" s="18" t="s">
        <v>400</v>
      </c>
      <c r="D9" s="12"/>
      <c r="E9" s="1" t="s">
        <v>353</v>
      </c>
      <c r="F9" s="12">
        <v>10</v>
      </c>
      <c r="G9" s="12" t="str">
        <f t="shared" si="0"/>
        <v>Pass</v>
      </c>
      <c r="H9" s="13" t="str">
        <f t="shared" si="1"/>
        <v>Pass</v>
      </c>
      <c r="I9" s="3" t="str">
        <f t="shared" si="2"/>
        <v>mbrenddate</v>
      </c>
      <c r="J9" s="3" t="str">
        <f t="shared" si="3"/>
        <v>mbrenddate</v>
      </c>
      <c r="L9" s="24" t="s">
        <v>466</v>
      </c>
      <c r="M9" s="41">
        <f>File_Size_Comparision!F14</f>
        <v>0</v>
      </c>
    </row>
    <row r="10" spans="2:15">
      <c r="B10" s="1" t="s">
        <v>354</v>
      </c>
      <c r="C10" s="18" t="s">
        <v>399</v>
      </c>
      <c r="D10" s="12">
        <v>20</v>
      </c>
      <c r="E10" s="1" t="s">
        <v>354</v>
      </c>
      <c r="F10" s="12">
        <v>1</v>
      </c>
      <c r="G10" s="12" t="str">
        <f t="shared" si="0"/>
        <v>Pass</v>
      </c>
      <c r="H10" s="13" t="str">
        <f t="shared" si="1"/>
        <v>Pass</v>
      </c>
      <c r="I10" s="3" t="str">
        <f t="shared" si="2"/>
        <v>value</v>
      </c>
      <c r="J10" s="3" t="str">
        <f t="shared" si="3"/>
        <v>value</v>
      </c>
    </row>
    <row r="11" spans="2:15">
      <c r="B11" s="1" t="s">
        <v>355</v>
      </c>
      <c r="C11" s="18" t="s">
        <v>399</v>
      </c>
      <c r="D11" s="12">
        <v>55</v>
      </c>
      <c r="E11" s="1" t="s">
        <v>355</v>
      </c>
      <c r="F11" s="12">
        <v>43</v>
      </c>
      <c r="G11" s="12" t="str">
        <f t="shared" si="0"/>
        <v>Pass</v>
      </c>
      <c r="H11" s="13" t="str">
        <f t="shared" si="1"/>
        <v>Pass</v>
      </c>
      <c r="I11" s="3" t="str">
        <f t="shared" si="2"/>
        <v>admissiontype</v>
      </c>
      <c r="J11" s="3" t="str">
        <f t="shared" si="3"/>
        <v>admissiontype</v>
      </c>
    </row>
    <row r="12" spans="2:15">
      <c r="B12" s="1" t="s">
        <v>356</v>
      </c>
      <c r="C12" s="18" t="s">
        <v>405</v>
      </c>
      <c r="D12" s="12"/>
      <c r="E12" s="1" t="s">
        <v>356</v>
      </c>
      <c r="F12" s="12">
        <v>3</v>
      </c>
      <c r="G12" s="12" t="str">
        <f t="shared" si="0"/>
        <v>Pass</v>
      </c>
      <c r="H12" s="13" t="str">
        <f t="shared" si="1"/>
        <v>Pass</v>
      </c>
      <c r="I12" s="3" t="str">
        <f t="shared" si="2"/>
        <v>ipdays</v>
      </c>
      <c r="J12" s="3" t="str">
        <f t="shared" si="3"/>
        <v>ipdays</v>
      </c>
    </row>
    <row r="13" spans="2:15">
      <c r="B13" s="32" t="s">
        <v>459</v>
      </c>
      <c r="C13" s="33" t="s">
        <v>399</v>
      </c>
      <c r="D13" s="12">
        <v>1</v>
      </c>
      <c r="E13" s="32" t="s">
        <v>544</v>
      </c>
      <c r="F13" s="12">
        <v>1</v>
      </c>
      <c r="G13" s="12" t="str">
        <f t="shared" si="0"/>
        <v>Pass</v>
      </c>
      <c r="H13" s="13" t="str">
        <f t="shared" si="1"/>
        <v>Pass</v>
      </c>
      <c r="I13" s="3" t="str">
        <f t="shared" si="2"/>
        <v>admissionfromer</v>
      </c>
      <c r="J13" s="3" t="str">
        <f t="shared" si="3"/>
        <v>admissionFromEr</v>
      </c>
    </row>
  </sheetData>
  <conditionalFormatting sqref="G2:H13">
    <cfRule type="cellIs" dxfId="23" priority="1079" operator="equal">
      <formula>"Fail"</formula>
    </cfRule>
    <cfRule type="cellIs" dxfId="22" priority="1080" operator="equal">
      <formula>"Pass"</formula>
    </cfRule>
  </conditionalFormatting>
  <conditionalFormatting sqref="H2:H13">
    <cfRule type="cellIs" dxfId="21" priority="21" operator="equal">
      <formula>"Fail"</formula>
    </cfRule>
    <cfRule type="cellIs" dxfId="20" priority="22" operator="equal">
      <formula>"Pass"</formula>
    </cfRule>
  </conditionalFormatting>
  <conditionalFormatting sqref="H2:H13">
    <cfRule type="cellIs" dxfId="19" priority="19" operator="equal">
      <formula>"Fail"</formula>
    </cfRule>
    <cfRule type="cellIs" dxfId="18" priority="20" operator="equal">
      <formula>"Pass"</formula>
    </cfRule>
  </conditionalFormatting>
  <conditionalFormatting sqref="H2:H13">
    <cfRule type="cellIs" dxfId="17" priority="17" operator="equal">
      <formula>"Fail"</formula>
    </cfRule>
    <cfRule type="cellIs" dxfId="16" priority="18" operator="equal">
      <formula>"Pass"</formula>
    </cfRule>
  </conditionalFormatting>
  <conditionalFormatting sqref="H2:H13">
    <cfRule type="cellIs" dxfId="15" priority="15" operator="equal">
      <formula>"Fail"</formula>
    </cfRule>
    <cfRule type="cellIs" dxfId="14" priority="16" operator="equal">
      <formula>"Pass"</formula>
    </cfRule>
  </conditionalFormatting>
  <conditionalFormatting sqref="H2:H13">
    <cfRule type="cellIs" dxfId="13" priority="13" operator="equal">
      <formula>"Fail"</formula>
    </cfRule>
    <cfRule type="cellIs" dxfId="12" priority="14" operator="equal">
      <formula>"Pass"</formula>
    </cfRule>
  </conditionalFormatting>
  <conditionalFormatting sqref="H2:H13">
    <cfRule type="cellIs" dxfId="11" priority="11" operator="equal">
      <formula>"Fail"</formula>
    </cfRule>
    <cfRule type="cellIs" dxfId="10" priority="12" operator="equal">
      <formula>"Pass"</formula>
    </cfRule>
  </conditionalFormatting>
  <conditionalFormatting sqref="H2:H13">
    <cfRule type="cellIs" dxfId="9" priority="9" operator="equal">
      <formula>"Fail"</formula>
    </cfRule>
    <cfRule type="cellIs" dxfId="8" priority="10" operator="equal">
      <formula>"Pass"</formula>
    </cfRule>
  </conditionalFormatting>
  <conditionalFormatting sqref="H2:H13">
    <cfRule type="cellIs" dxfId="7" priority="7" operator="equal">
      <formula>"Fail"</formula>
    </cfRule>
    <cfRule type="cellIs" dxfId="6" priority="8" operator="equal">
      <formula>"Pass"</formula>
    </cfRule>
  </conditionalFormatting>
  <conditionalFormatting sqref="H2:H13">
    <cfRule type="cellIs" dxfId="5" priority="5" operator="equal">
      <formula>"Fail"</formula>
    </cfRule>
    <cfRule type="cellIs" dxfId="4" priority="6" operator="equal">
      <formula>"Pass"</formula>
    </cfRule>
  </conditionalFormatting>
  <conditionalFormatting sqref="H2:H13">
    <cfRule type="cellIs" dxfId="3" priority="3" operator="equal">
      <formula>"Fail"</formula>
    </cfRule>
    <cfRule type="cellIs" dxfId="2" priority="4" operator="equal">
      <formula>"Pass"</formula>
    </cfRule>
  </conditionalFormatting>
  <conditionalFormatting sqref="M6:M7">
    <cfRule type="cellIs" dxfId="1" priority="1" operator="equal">
      <formula>"Fail"</formula>
    </cfRule>
    <cfRule type="cellIs" dxfId="0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Test_Summary</vt:lpstr>
      <vt:lpstr>File_Size_Comparision</vt:lpstr>
      <vt:lpstr>Care_Alerts</vt:lpstr>
      <vt:lpstr>Demographics</vt:lpstr>
      <vt:lpstr>Eligibility</vt:lpstr>
      <vt:lpstr>High_Cost</vt:lpstr>
      <vt:lpstr>Historical_Scores</vt:lpstr>
      <vt:lpstr>Medical_Claims</vt:lpstr>
      <vt:lpstr>Participation</vt:lpstr>
      <vt:lpstr>Member_PCP</vt:lpstr>
      <vt:lpstr>Pharmacy</vt:lpstr>
      <vt:lpstr>Quality_Metrics</vt:lpstr>
      <vt:lpstr>Scores</vt:lpstr>
      <vt:lpstr>Visit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abhattarai</cp:lastModifiedBy>
  <dcterms:created xsi:type="dcterms:W3CDTF">2013-12-03T07:41:54Z</dcterms:created>
  <dcterms:modified xsi:type="dcterms:W3CDTF">2016-11-27T10:33:14Z</dcterms:modified>
</cp:coreProperties>
</file>