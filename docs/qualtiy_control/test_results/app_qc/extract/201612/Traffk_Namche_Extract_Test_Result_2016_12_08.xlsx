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tics_svn\traffk\docs\qualtiy_control\test_results\app_qc\extract\201612\"/>
    </mc:Choice>
  </mc:AlternateContent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52511"/>
</workbook>
</file>

<file path=xl/calcChain.xml><?xml version="1.0" encoding="utf-8"?>
<calcChain xmlns="http://schemas.openxmlformats.org/spreadsheetml/2006/main">
  <c r="M9" i="12" l="1"/>
  <c r="M9" i="11"/>
  <c r="M11" i="17"/>
  <c r="M10" i="7"/>
  <c r="M9" i="19"/>
  <c r="M8" i="16"/>
  <c r="M10" i="2"/>
  <c r="M8" i="15"/>
  <c r="M8" i="18"/>
  <c r="I7" i="14" l="1"/>
  <c r="H7" i="14"/>
  <c r="I3" i="14"/>
  <c r="H3" i="14"/>
  <c r="F4" i="14"/>
  <c r="F5" i="14"/>
  <c r="F6" i="14"/>
  <c r="F7" i="14"/>
  <c r="F8" i="14"/>
  <c r="F9" i="14"/>
  <c r="F10" i="14"/>
  <c r="F11" i="14"/>
  <c r="G11" i="14" s="1"/>
  <c r="F12" i="14"/>
  <c r="F13" i="14"/>
  <c r="G13" i="14" s="1"/>
  <c r="F14" i="14"/>
  <c r="G14" i="14" s="1"/>
  <c r="J26" i="19"/>
  <c r="I26" i="19"/>
  <c r="H26" i="19"/>
  <c r="J25" i="19"/>
  <c r="I25" i="19"/>
  <c r="H25" i="19"/>
  <c r="J24" i="19"/>
  <c r="I24" i="19"/>
  <c r="H24" i="19"/>
  <c r="J23" i="19"/>
  <c r="I23" i="19"/>
  <c r="H23" i="19"/>
  <c r="J22" i="19"/>
  <c r="I22" i="19"/>
  <c r="H22" i="19"/>
  <c r="J21" i="19"/>
  <c r="I21" i="19"/>
  <c r="H21" i="19"/>
  <c r="J20" i="19"/>
  <c r="I20" i="19"/>
  <c r="H20" i="19"/>
  <c r="J19" i="19"/>
  <c r="I19" i="19"/>
  <c r="H19" i="19"/>
  <c r="J18" i="19"/>
  <c r="I18" i="19"/>
  <c r="H18" i="19"/>
  <c r="J17" i="19"/>
  <c r="I17" i="19"/>
  <c r="H17" i="19"/>
  <c r="J16" i="19"/>
  <c r="I16" i="19"/>
  <c r="H16" i="19"/>
  <c r="J15" i="19"/>
  <c r="I15" i="19"/>
  <c r="H15" i="19"/>
  <c r="J14" i="19"/>
  <c r="I14" i="19"/>
  <c r="H14" i="19"/>
  <c r="J13" i="19"/>
  <c r="I13" i="19"/>
  <c r="H13" i="19"/>
  <c r="J12" i="19"/>
  <c r="I12" i="19"/>
  <c r="H12" i="19"/>
  <c r="J11" i="19"/>
  <c r="I11" i="19"/>
  <c r="H11" i="19"/>
  <c r="J10" i="19"/>
  <c r="I10" i="19"/>
  <c r="H10" i="19"/>
  <c r="J9" i="19"/>
  <c r="I9" i="19"/>
  <c r="H9" i="19"/>
  <c r="J8" i="19"/>
  <c r="I8" i="19"/>
  <c r="H8" i="19"/>
  <c r="J7" i="19"/>
  <c r="I7" i="19"/>
  <c r="H7" i="19"/>
  <c r="J6" i="19"/>
  <c r="I6" i="19"/>
  <c r="H6" i="19"/>
  <c r="J5" i="19"/>
  <c r="I5" i="19"/>
  <c r="H5" i="19"/>
  <c r="J4" i="19"/>
  <c r="I4" i="19"/>
  <c r="H4" i="19"/>
  <c r="N3" i="19"/>
  <c r="M8" i="19" s="1"/>
  <c r="J3" i="19"/>
  <c r="I3" i="19"/>
  <c r="H3" i="19"/>
  <c r="J2" i="19"/>
  <c r="I2" i="19"/>
  <c r="H2" i="19"/>
  <c r="J19" i="18"/>
  <c r="I19" i="18"/>
  <c r="H19" i="18"/>
  <c r="J18" i="18"/>
  <c r="I18" i="18"/>
  <c r="H18" i="18"/>
  <c r="J17" i="18"/>
  <c r="I17" i="18"/>
  <c r="H17" i="18"/>
  <c r="J16" i="18"/>
  <c r="I16" i="18"/>
  <c r="H16" i="18"/>
  <c r="J15" i="18"/>
  <c r="I15" i="18"/>
  <c r="H15" i="18"/>
  <c r="J14" i="18"/>
  <c r="I14" i="18"/>
  <c r="H14" i="18"/>
  <c r="J13" i="18"/>
  <c r="I13" i="18"/>
  <c r="H13" i="18"/>
  <c r="J12" i="18"/>
  <c r="I12" i="18"/>
  <c r="H12" i="18"/>
  <c r="J11" i="18"/>
  <c r="I11" i="18"/>
  <c r="H11" i="18"/>
  <c r="J10" i="18"/>
  <c r="I10" i="18"/>
  <c r="H10" i="18"/>
  <c r="J9" i="18"/>
  <c r="I9" i="18"/>
  <c r="H9" i="18"/>
  <c r="J8" i="18"/>
  <c r="I8" i="18"/>
  <c r="H8" i="18"/>
  <c r="J7" i="18"/>
  <c r="I7" i="18"/>
  <c r="H7" i="18"/>
  <c r="J6" i="18"/>
  <c r="I6" i="18"/>
  <c r="H6" i="18"/>
  <c r="J5" i="18"/>
  <c r="I5" i="18"/>
  <c r="H5" i="18"/>
  <c r="J4" i="18"/>
  <c r="I4" i="18"/>
  <c r="H4" i="18"/>
  <c r="J3" i="18"/>
  <c r="I3" i="18"/>
  <c r="H3" i="18"/>
  <c r="N2" i="18"/>
  <c r="M7" i="18" s="1"/>
  <c r="J2" i="18"/>
  <c r="I2" i="18"/>
  <c r="H2" i="18"/>
  <c r="G5" i="14"/>
  <c r="G7" i="14"/>
  <c r="G8" i="14"/>
  <c r="G9" i="14"/>
  <c r="G10" i="14"/>
  <c r="G12" i="14"/>
  <c r="G6" i="14"/>
  <c r="F3" i="14"/>
  <c r="G3" i="14" s="1"/>
  <c r="G6" i="19" l="1"/>
  <c r="G16" i="19"/>
  <c r="G2" i="19"/>
  <c r="G7" i="19"/>
  <c r="G21" i="19"/>
  <c r="G12" i="19"/>
  <c r="G20" i="19"/>
  <c r="G2" i="18"/>
  <c r="M5" i="18" s="1"/>
  <c r="G15" i="3" s="1"/>
  <c r="G3" i="18"/>
  <c r="G7" i="18"/>
  <c r="G8" i="18"/>
  <c r="G9" i="18"/>
  <c r="G13" i="18"/>
  <c r="G17" i="18"/>
  <c r="G4" i="18"/>
  <c r="G10" i="18"/>
  <c r="G14" i="18"/>
  <c r="G18" i="18"/>
  <c r="G13" i="19"/>
  <c r="G17" i="19"/>
  <c r="G3" i="19"/>
  <c r="G4" i="19"/>
  <c r="G8" i="19"/>
  <c r="G9" i="19"/>
  <c r="G10" i="19"/>
  <c r="G14" i="19"/>
  <c r="G18" i="19"/>
  <c r="G22" i="19"/>
  <c r="G5" i="19"/>
  <c r="G11" i="19"/>
  <c r="G15" i="19"/>
  <c r="G19" i="19"/>
  <c r="G23" i="19"/>
  <c r="G24" i="19"/>
  <c r="M7" i="19"/>
  <c r="G25" i="3" s="1"/>
  <c r="G26" i="19"/>
  <c r="G25" i="19"/>
  <c r="M6" i="18"/>
  <c r="G16" i="3" s="1"/>
  <c r="G5" i="18"/>
  <c r="G11" i="18"/>
  <c r="G15" i="18"/>
  <c r="G19" i="18"/>
  <c r="G6" i="18"/>
  <c r="G12" i="18"/>
  <c r="G16" i="18"/>
  <c r="N2" i="16"/>
  <c r="M7" i="16" s="1"/>
  <c r="N3" i="9"/>
  <c r="M8" i="9" s="1"/>
  <c r="M6" i="19" l="1"/>
  <c r="G24" i="3" s="1"/>
  <c r="N4" i="17"/>
  <c r="M10" i="17" s="1"/>
  <c r="N3" i="17"/>
  <c r="M9" i="17" s="1"/>
  <c r="G31" i="3" s="1"/>
  <c r="N2" i="15"/>
  <c r="M7" i="15" s="1"/>
  <c r="J11" i="17"/>
  <c r="J12" i="17"/>
  <c r="H11" i="17"/>
  <c r="H12" i="17"/>
  <c r="I11" i="17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H12" i="14"/>
  <c r="I12" i="14"/>
  <c r="H13" i="14"/>
  <c r="I13" i="14"/>
  <c r="H14" i="14"/>
  <c r="I14" i="14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M8" i="17" l="1"/>
  <c r="G30" i="3" s="1"/>
  <c r="G11" i="17"/>
  <c r="G6" i="16"/>
  <c r="G12" i="17"/>
  <c r="G6" i="17"/>
  <c r="G10" i="17"/>
  <c r="G5" i="17"/>
  <c r="G9" i="17"/>
  <c r="M6" i="16"/>
  <c r="G23" i="3" s="1"/>
  <c r="G4" i="17"/>
  <c r="G8" i="17"/>
  <c r="G3" i="17"/>
  <c r="G2" i="17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G9" i="15" l="1"/>
  <c r="G17" i="15"/>
  <c r="G25" i="15"/>
  <c r="G5" i="15"/>
  <c r="G13" i="15"/>
  <c r="G21" i="15"/>
  <c r="M7" i="17"/>
  <c r="G29" i="3" s="1"/>
  <c r="G7" i="15"/>
  <c r="M9" i="13"/>
  <c r="M6" i="15"/>
  <c r="G18" i="3" s="1"/>
  <c r="M5" i="16"/>
  <c r="G22" i="3" s="1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G8" i="15"/>
  <c r="M5" i="15" l="1"/>
  <c r="G17" i="3" s="1"/>
  <c r="N3" i="10"/>
  <c r="M9" i="10" s="1"/>
  <c r="N2" i="10"/>
  <c r="M8" i="10" s="1"/>
  <c r="G36" i="3" s="1"/>
  <c r="N3" i="7"/>
  <c r="M9" i="7" s="1"/>
  <c r="N2" i="7"/>
  <c r="M8" i="7" s="1"/>
  <c r="G28" i="3" s="1"/>
  <c r="N2" i="2"/>
  <c r="M8" i="2" s="1"/>
  <c r="G21" i="3" s="1"/>
  <c r="N3" i="2"/>
  <c r="M9" i="2" s="1"/>
  <c r="N3" i="13" l="1"/>
  <c r="M8" i="13" s="1"/>
  <c r="N3" i="12"/>
  <c r="M8" i="12" s="1"/>
  <c r="N3" i="11"/>
  <c r="M8" i="11" s="1"/>
  <c r="H26" i="10" l="1"/>
  <c r="H3" i="13" l="1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 s="1"/>
  <c r="I75" i="2"/>
  <c r="I76" i="2"/>
  <c r="G76" i="2" s="1"/>
  <c r="I77" i="2"/>
  <c r="I78" i="2"/>
  <c r="G78" i="2" s="1"/>
  <c r="I79" i="2"/>
  <c r="I80" i="2"/>
  <c r="G80" i="2" s="1"/>
  <c r="I81" i="2"/>
  <c r="G81" i="2" s="1"/>
  <c r="I82" i="2"/>
  <c r="G82" i="2" s="1"/>
  <c r="I83" i="2"/>
  <c r="I84" i="2"/>
  <c r="G84" i="2" s="1"/>
  <c r="I85" i="2"/>
  <c r="I86" i="2"/>
  <c r="G86" i="2" s="1"/>
  <c r="I87" i="2"/>
  <c r="I88" i="2"/>
  <c r="G88" i="2" s="1"/>
  <c r="I89" i="2"/>
  <c r="G89" i="2" s="1"/>
  <c r="I90" i="2"/>
  <c r="G90" i="2" s="1"/>
  <c r="I91" i="2"/>
  <c r="I92" i="2"/>
  <c r="G92" i="2" s="1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 l="1"/>
  <c r="G42" i="3" s="1"/>
  <c r="M7" i="12"/>
  <c r="G40" i="3" s="1"/>
  <c r="M7" i="11"/>
  <c r="M7" i="10"/>
  <c r="G35" i="3" s="1"/>
  <c r="M7" i="9"/>
  <c r="G33" i="3" s="1"/>
  <c r="M7" i="7"/>
  <c r="G27" i="3" s="1"/>
  <c r="M7" i="2"/>
  <c r="G20" i="3" s="1"/>
  <c r="G38" i="3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 l="1"/>
  <c r="J3" i="13"/>
  <c r="G3" i="13" s="1"/>
  <c r="I4" i="13"/>
  <c r="J4" i="13"/>
  <c r="I5" i="13"/>
  <c r="J5" i="13"/>
  <c r="G5" i="13" s="1"/>
  <c r="I6" i="13"/>
  <c r="J6" i="13"/>
  <c r="I7" i="13"/>
  <c r="J7" i="13"/>
  <c r="G7" i="13" s="1"/>
  <c r="I8" i="13"/>
  <c r="J8" i="13"/>
  <c r="I9" i="13"/>
  <c r="J9" i="13"/>
  <c r="G9" i="13" s="1"/>
  <c r="I10" i="13"/>
  <c r="J10" i="13"/>
  <c r="I11" i="13"/>
  <c r="J11" i="13"/>
  <c r="G11" i="13" s="1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I5" i="14"/>
  <c r="I6" i="14"/>
  <c r="I8" i="14"/>
  <c r="I9" i="14"/>
  <c r="I10" i="14"/>
  <c r="I11" i="14"/>
  <c r="I4" i="14"/>
  <c r="H5" i="14"/>
  <c r="H6" i="14"/>
  <c r="H8" i="14"/>
  <c r="H9" i="14"/>
  <c r="H10" i="14"/>
  <c r="H11" i="14"/>
  <c r="H4" i="14"/>
  <c r="G4" i="14" s="1"/>
  <c r="G12" i="13" l="1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G2" i="13"/>
  <c r="G26" i="12"/>
  <c r="G22" i="12"/>
  <c r="G10" i="12"/>
  <c r="G24" i="12"/>
  <c r="G20" i="12"/>
  <c r="G16" i="12"/>
  <c r="G12" i="12"/>
  <c r="G8" i="12"/>
  <c r="G4" i="12"/>
  <c r="G2" i="12"/>
  <c r="G2" i="7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M6" i="7" l="1"/>
  <c r="G26" i="3" s="1"/>
  <c r="M6" i="2"/>
  <c r="G19" i="3" s="1"/>
  <c r="M10" i="10"/>
  <c r="M9" i="9"/>
  <c r="M6" i="11"/>
  <c r="G37" i="3" s="1"/>
  <c r="M6" i="13"/>
  <c r="G41" i="3" s="1"/>
  <c r="M6" i="12"/>
  <c r="G39" i="3" s="1"/>
  <c r="M6" i="10"/>
  <c r="G34" i="3" s="1"/>
  <c r="M6" i="9"/>
  <c r="G32" i="3" s="1"/>
  <c r="L2" i="14" l="1"/>
  <c r="G14" i="3" s="1"/>
</calcChain>
</file>

<file path=xl/comments1.xml><?xml version="1.0" encoding="utf-8"?>
<comments xmlns="http://schemas.openxmlformats.org/spreadsheetml/2006/main">
  <authors>
    <author>rpathak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mbr_id field length has changed from 20 to 32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mbr_ssn field length has changed from 20 to 22</t>
        </r>
      </text>
    </comment>
  </commentList>
</comments>
</file>

<file path=xl/comments2.xml><?xml version="1.0" encoding="utf-8"?>
<comments xmlns="http://schemas.openxmlformats.org/spreadsheetml/2006/main">
  <authors>
    <author>rpathak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mbr_id field length has changed from 20 t0 32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mbr_ssn field length has changed from 20 t0 22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ins_plan_id field length has changed from 20 t0 56</t>
        </r>
      </text>
    </comment>
    <comment ref="H32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ins_division_id field length has changed from 20 t0 53</t>
        </r>
      </text>
    </comment>
  </commentList>
</comments>
</file>

<file path=xl/comments3.xml><?xml version="1.0" encoding="utf-8"?>
<comments xmlns="http://schemas.openxmlformats.org/spreadsheetml/2006/main">
  <authors>
    <author>rpathak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mbr_id field length has changed from 20 to 32</t>
        </r>
      </text>
    </comment>
  </commentList>
</comments>
</file>

<file path=xl/comments4.xml><?xml version="1.0" encoding="utf-8"?>
<comments xmlns="http://schemas.openxmlformats.org/spreadsheetml/2006/main">
  <authors>
    <author>rpathak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rev_claim_id field length has chaged from 20 to 37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ins_plan_id field length has changed from 20 to 56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ins_division_id field length has changed from 20 to 53</t>
        </r>
      </text>
    </comment>
    <comment ref="H20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mbr_ssn field length has changed from 20 to 22</t>
        </r>
      </text>
    </comment>
    <comment ref="H59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prv_state field length has changed from 2 to 12</t>
        </r>
      </text>
    </comment>
  </commentList>
</comments>
</file>

<file path=xl/comments5.xml><?xml version="1.0" encoding="utf-8"?>
<comments xmlns="http://schemas.openxmlformats.org/spreadsheetml/2006/main">
  <authors>
    <author>rpathak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mbr_id field length has changed from 30 to 32</t>
        </r>
      </text>
    </comment>
    <comment ref="H22" authorId="0" shapeId="0">
      <text>
        <r>
          <rPr>
            <b/>
            <sz val="9"/>
            <color indexed="81"/>
            <rFont val="Tahoma"/>
            <family val="2"/>
          </rPr>
          <t>rpathak:</t>
        </r>
        <r>
          <rPr>
            <sz val="9"/>
            <color indexed="81"/>
            <rFont val="Tahoma"/>
            <family val="2"/>
          </rPr>
          <t xml:space="preserve">
ins_division_id field length has changed from 20 to 53</t>
        </r>
      </text>
    </comment>
  </commentList>
</comments>
</file>

<file path=xl/sharedStrings.xml><?xml version="1.0" encoding="utf-8"?>
<sst xmlns="http://schemas.openxmlformats.org/spreadsheetml/2006/main" count="2321" uniqueCount="558">
  <si>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</si>
  <si>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</si>
  <si>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</si>
  <si>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</si>
  <si>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</si>
  <si>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</si>
  <si>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</si>
  <si>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</si>
  <si>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</si>
  <si>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</si>
  <si>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</si>
  <si>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</si>
  <si>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</si>
  <si>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</si>
  <si>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</si>
  <si>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</si>
  <si>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</si>
  <si>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</si>
  <si>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</si>
  <si>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</si>
  <si>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</si>
  <si>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</si>
  <si>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</si>
  <si>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</si>
  <si>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</si>
  <si>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</si>
  <si>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</si>
  <si>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</si>
  <si>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</si>
  <si>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</si>
  <si>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</si>
  <si>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</si>
  <si>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</si>
  <si>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</si>
  <si>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</si>
  <si>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</si>
  <si>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</si>
  <si>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</si>
  <si>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</si>
  <si>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</si>
  <si>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</si>
  <si>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</si>
  <si>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</si>
  <si>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</si>
  <si>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</si>
  <si>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</si>
  <si>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</si>
  <si>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</si>
  <si>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</si>
  <si>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</si>
  <si>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</si>
  <si>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</si>
  <si>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</si>
  <si>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</si>
  <si>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</si>
  <si>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</si>
  <si>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</si>
  <si>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</si>
  <si>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</si>
  <si>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</si>
  <si>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</si>
  <si>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</si>
  <si>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</si>
  <si>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</si>
  <si>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</si>
  <si>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</si>
  <si>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</si>
  <si>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</si>
  <si>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</si>
  <si>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</si>
  <si>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</si>
  <si>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</si>
  <si>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</si>
  <si>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</si>
  <si>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</si>
  <si>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</si>
  <si>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</si>
  <si>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</si>
  <si>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</si>
  <si>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</si>
  <si>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</si>
  <si>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</si>
  <si>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</si>
  <si>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</si>
  <si>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</si>
  <si>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</si>
  <si>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</si>
  <si>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</si>
  <si>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</si>
  <si>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</si>
  <si>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</si>
  <si>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</si>
  <si>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</si>
  <si>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</si>
  <si>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</si>
  <si>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</si>
  <si>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</si>
  <si>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</si>
  <si>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</si>
  <si>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</si>
  <si>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</si>
  <si>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</si>
  <si>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</si>
  <si>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</si>
  <si>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</si>
  <si>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</si>
  <si>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</si>
  <si>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</si>
  <si>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</si>
  <si>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</si>
  <si>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</si>
  <si>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</si>
  <si>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</si>
  <si>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</si>
  <si>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</si>
  <si>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</si>
  <si>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</si>
  <si>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</si>
  <si>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</si>
  <si>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</si>
  <si>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</si>
  <si>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</si>
  <si>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</si>
  <si>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</si>
  <si>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</si>
  <si>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</si>
  <si>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</si>
  <si>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</si>
  <si>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</si>
  <si>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</si>
  <si>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</si>
  <si>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</si>
  <si>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</si>
  <si>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</si>
  <si>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</si>
  <si>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</si>
  <si>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</si>
  <si>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</si>
  <si>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</si>
  <si>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</si>
  <si>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</si>
  <si>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</si>
  <si>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</si>
  <si>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</si>
  <si>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</si>
  <si>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</si>
  <si>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</si>
  <si>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</si>
  <si>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</si>
  <si>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</si>
  <si>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</si>
  <si>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</si>
  <si>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</si>
  <si>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</si>
  <si>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</si>
  <si>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</si>
  <si>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</si>
  <si>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</si>
  <si>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</si>
  <si>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</si>
  <si>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</si>
  <si>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</si>
  <si>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</si>
  <si>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</si>
  <si>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</si>
  <si>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</si>
  <si>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</si>
  <si>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</si>
  <si>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</si>
  <si>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</si>
  <si>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</si>
  <si>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</si>
  <si>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</si>
  <si>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</si>
  <si>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</si>
  <si>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</si>
  <si>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</si>
  <si>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</si>
  <si>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</si>
  <si>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</si>
  <si>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</si>
  <si>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</si>
  <si>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</si>
  <si>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</si>
  <si>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</si>
  <si>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</si>
  <si>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</si>
  <si>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</si>
  <si>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</si>
  <si>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</si>
  <si>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</si>
  <si>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</si>
  <si>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</si>
  <si>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</si>
  <si>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</si>
  <si>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</si>
  <si>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</si>
  <si>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</si>
  <si>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</si>
  <si>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</si>
  <si>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</si>
  <si>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</si>
  <si>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</si>
  <si>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</si>
  <si>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</si>
  <si>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</si>
  <si>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</si>
  <si>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</si>
  <si>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</si>
  <si>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</si>
  <si>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</si>
  <si>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</si>
  <si>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</si>
  <si>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</si>
  <si>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</si>
  <si>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</si>
  <si>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</si>
  <si>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</si>
  <si>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</si>
  <si>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</si>
  <si>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</si>
  <si>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</si>
  <si>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</si>
  <si>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</si>
  <si>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</si>
  <si>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</si>
  <si>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</si>
  <si>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</si>
  <si>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</si>
  <si>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</si>
  <si>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</si>
  <si>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</si>
  <si>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</si>
  <si>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</si>
  <si>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</si>
  <si>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</si>
  <si>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</si>
  <si>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</si>
  <si>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</si>
  <si>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</si>
  <si>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</si>
  <si>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</si>
  <si>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</si>
  <si>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</si>
  <si>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</si>
  <si>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</si>
  <si>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</si>
  <si>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</si>
  <si>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</si>
  <si>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</si>
  <si>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</si>
  <si>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</si>
  <si>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</si>
  <si>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</si>
  <si>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</si>
  <si>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</si>
  <si>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</si>
  <si>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</si>
  <si>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</si>
  <si>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</si>
  <si>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</si>
  <si>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</si>
  <si>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</si>
  <si>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</si>
  <si>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</si>
  <si>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</si>
  <si>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</si>
  <si>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</si>
  <si>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</si>
  <si>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</si>
  <si>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</si>
  <si>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</si>
  <si>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</si>
  <si>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</si>
  <si>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</si>
  <si>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</si>
  <si>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</si>
  <si>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</si>
  <si>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</si>
  <si>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</si>
  <si>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</si>
  <si>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</si>
  <si>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</si>
  <si>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</si>
  <si>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</si>
  <si>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</si>
  <si>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</si>
  <si>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</si>
  <si>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</si>
  <si>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</si>
  <si>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</si>
  <si>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</si>
  <si>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</si>
  <si>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</si>
  <si>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</si>
  <si>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</si>
  <si>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</si>
  <si>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</si>
  <si>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</si>
  <si>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</si>
  <si>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</si>
  <si>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</si>
  <si>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</si>
  <si>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</si>
  <si>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</si>
  <si>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</si>
  <si>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</si>
  <si>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</si>
  <si>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</si>
  <si>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</si>
  <si>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</si>
  <si>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</si>
  <si>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</si>
  <si>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</si>
  <si>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</si>
  <si>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</si>
  <si>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</si>
  <si>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</si>
  <si>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</si>
  <si>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</si>
  <si>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</si>
  <si>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</si>
  <si>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</si>
  <si>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</si>
  <si>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</si>
  <si>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</si>
  <si>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</si>
  <si>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</si>
  <si>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</si>
  <si>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</si>
  <si>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</si>
  <si>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</si>
  <si>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</si>
  <si>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</si>
  <si>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</si>
  <si>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</si>
  <si>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</si>
  <si>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</si>
  <si>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</si>
  <si>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</si>
  <si>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</si>
  <si>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</si>
  <si>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</si>
  <si>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</si>
  <si>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</si>
  <si>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</si>
  <si>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</si>
  <si>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</si>
  <si>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</si>
  <si>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</si>
  <si>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</si>
  <si>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</si>
  <si>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</si>
  <si>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</si>
  <si>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</si>
  <si>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</si>
  <si>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</si>
  <si>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</si>
  <si>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</si>
  <si>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</si>
  <si>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</si>
  <si>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</si>
  <si>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</si>
  <si>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</si>
  <si>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</si>
  <si>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</si>
  <si>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</si>
  <si>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</si>
  <si>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</si>
  <si>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</si>
  <si>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</si>
  <si>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</si>
  <si>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</si>
  <si>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</si>
  <si>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</si>
  <si>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</si>
  <si>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</si>
  <si>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</si>
  <si>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</si>
  <si>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</si>
  <si>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</si>
  <si>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</si>
  <si>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</si>
  <si>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</si>
  <si>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</si>
  <si>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</si>
  <si>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</si>
  <si>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</si>
  <si>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</si>
  <si>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</si>
  <si>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</si>
  <si>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</si>
  <si>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</si>
  <si>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</si>
  <si>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</si>
  <si>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</si>
  <si>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</si>
  <si>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</si>
  <si>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</si>
  <si>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</si>
  <si>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</si>
  <si>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</si>
  <si>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</si>
  <si>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</si>
  <si>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</si>
  <si>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</si>
  <si>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</si>
  <si>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</si>
  <si>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</si>
  <si>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</si>
  <si>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</si>
  <si>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</si>
  <si>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</si>
  <si>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</si>
  <si>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</si>
  <si>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</si>
  <si>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</si>
  <si>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</si>
  <si>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</si>
  <si>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</si>
  <si>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</si>
  <si>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</si>
  <si>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</si>
  <si>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</si>
  <si>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</si>
  <si>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</si>
  <si>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</si>
  <si>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</si>
  <si>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</si>
  <si>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</si>
  <si>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</si>
  <si>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</si>
  <si>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</si>
  <si>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</si>
  <si>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</si>
  <si>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</si>
  <si>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</si>
  <si>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</si>
  <si>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</si>
  <si>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</si>
  <si>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</si>
  <si>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</si>
  <si>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</si>
  <si>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</si>
  <si>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</si>
  <si>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</si>
  <si>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</si>
  <si>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</si>
  <si>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</si>
  <si>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</si>
  <si>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</si>
  <si>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</si>
  <si>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</si>
  <si>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</si>
  <si>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</si>
  <si>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</si>
  <si>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</si>
  <si>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</si>
  <si>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</si>
  <si>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</si>
  <si>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</si>
  <si>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</si>
  <si>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</si>
  <si>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</si>
  <si>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</si>
  <si>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</si>
  <si>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</si>
  <si>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</si>
  <si>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</si>
  <si>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</si>
  <si>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</si>
  <si>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</si>
  <si>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</si>
  <si>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</si>
  <si>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</si>
  <si>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</si>
  <si>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 xml:space="preserve"> </t>
  </si>
  <si>
    <t xml:space="preserve"> 19,2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</si>
  <si>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</si>
  <si>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</si>
  <si>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</si>
  <si>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</si>
  <si>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</si>
  <si>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</si>
  <si>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</si>
  <si>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</si>
  <si>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</si>
  <si>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</si>
  <si>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</si>
  <si>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</si>
  <si>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</si>
  <si>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</si>
  <si>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</si>
  <si>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</si>
  <si>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</si>
  <si>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</si>
  <si>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</si>
  <si>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</si>
  <si>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</si>
  <si>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</si>
  <si>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</si>
  <si>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</si>
  <si>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</si>
  <si>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</si>
  <si>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</si>
  <si>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</si>
  <si>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Pass</t>
  </si>
  <si>
    <t>CareAlerts.csv</t>
  </si>
  <si>
    <t>3.40 MB</t>
  </si>
  <si>
    <t>1.60 MB</t>
  </si>
  <si>
    <t>64.14 MB</t>
  </si>
  <si>
    <t>HistoricalScores.csv</t>
  </si>
  <si>
    <t>7.36 MB</t>
  </si>
  <si>
    <t>463.96 MB</t>
  </si>
  <si>
    <t>151 B</t>
  </si>
  <si>
    <t>1.52 MB</t>
  </si>
  <si>
    <t>14.30 MB</t>
  </si>
  <si>
    <t>5.78 MB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</si>
  <si>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</si>
  <si>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</si>
  <si>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</si>
  <si>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</si>
  <si>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</si>
  <si>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</si>
  <si>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</si>
  <si>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</si>
  <si>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</si>
  <si>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</si>
  <si>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</si>
  <si>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</si>
  <si>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</si>
  <si>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</si>
  <si>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</si>
  <si>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</si>
  <si>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</si>
  <si>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diagnosis_code</t>
  </si>
  <si>
    <t>paid_amount</t>
  </si>
  <si>
    <t>superGrouperDescription</t>
  </si>
  <si>
    <t>grouperDescription</t>
  </si>
  <si>
    <t>admissionFromEr</t>
  </si>
  <si>
    <t>EX28</t>
  </si>
  <si>
    <t>EX29</t>
  </si>
  <si>
    <t xml:space="preserve">Verify Historical_Scores layout </t>
  </si>
  <si>
    <t>Verify Historical_Scores field length</t>
  </si>
  <si>
    <t>685.35 KB</t>
  </si>
  <si>
    <t>634.43 KB</t>
  </si>
  <si>
    <t>624.74 KB</t>
  </si>
  <si>
    <t>4.18 MB</t>
  </si>
  <si>
    <t>1.50 MB</t>
  </si>
  <si>
    <t>65.59 MB</t>
  </si>
  <si>
    <t>708 KB</t>
  </si>
  <si>
    <t>7.71 MB</t>
  </si>
  <si>
    <t>466.52 MB</t>
  </si>
  <si>
    <t>636 KB</t>
  </si>
  <si>
    <t>46.16 MB</t>
  </si>
  <si>
    <t>16.23 MB</t>
  </si>
  <si>
    <t>630 KB</t>
  </si>
  <si>
    <t>5.79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</si>
</sst>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0" xfId="0" applyFont="1" applyFill="1" applyBorder="1" applyAlignment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showGridLines="0" tabSelected="1" workbookViewId="0"/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61" t="s">
        <v>386</v>
      </c>
      <c r="C1" s="61"/>
      <c r="D1" s="61"/>
      <c r="E1" s="61"/>
      <c r="F1" s="61"/>
      <c r="G1" s="61"/>
    </row>
    <row r="2" spans="2:7" x14ac:dyDescent="0.25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 x14ac:dyDescent="0.25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58" t="s">
        <v>387</v>
      </c>
      <c r="C8" s="59"/>
      <c r="D8" s="59"/>
      <c r="E8" s="59"/>
      <c r="F8" s="59"/>
      <c r="G8" s="60"/>
    </row>
    <row r="9" spans="2:7" x14ac:dyDescent="0.25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 x14ac:dyDescent="0.25">
      <c r="B10" s="9">
        <v>42712</v>
      </c>
      <c r="C10" s="9">
        <v>42712</v>
      </c>
      <c r="D10" s="29" t="s">
        <v>505</v>
      </c>
      <c r="E10" s="7" t="s">
        <v>385</v>
      </c>
      <c r="F10" s="29" t="s">
        <v>506</v>
      </c>
      <c r="G10" s="8"/>
    </row>
    <row r="12" spans="2:7" x14ac:dyDescent="0.25">
      <c r="B12" s="61" t="s">
        <v>388</v>
      </c>
      <c r="C12" s="61"/>
      <c r="D12" s="61"/>
      <c r="E12" s="61"/>
      <c r="F12" s="61"/>
      <c r="G12" s="61"/>
    </row>
    <row r="13" spans="2:7" x14ac:dyDescent="0.25">
      <c r="B13" s="15" t="s">
        <v>361</v>
      </c>
      <c r="C13" s="62" t="s">
        <v>362</v>
      </c>
      <c r="D13" s="62"/>
      <c r="E13" s="62"/>
      <c r="F13" s="62"/>
      <c r="G13" s="15" t="s">
        <v>360</v>
      </c>
    </row>
    <row r="14" spans="2:7" x14ac:dyDescent="0.25">
      <c r="B14" s="1" t="s">
        <v>363</v>
      </c>
      <c r="C14" s="57" t="s">
        <v>373</v>
      </c>
      <c r="D14" s="57"/>
      <c r="E14" s="57"/>
      <c r="F14" s="57"/>
      <c r="G14" s="11" t="str">
        <f>File_Size_Comparision!L2</f>
        <v>Fail</v>
      </c>
    </row>
    <row r="15" spans="2:7" x14ac:dyDescent="0.25">
      <c r="B15" s="50" t="s">
        <v>364</v>
      </c>
      <c r="C15" s="57" t="s">
        <v>531</v>
      </c>
      <c r="D15" s="57"/>
      <c r="E15" s="57"/>
      <c r="F15" s="57"/>
      <c r="G15" s="11" t="str">
        <f>Care_Alerts!M5</f>
        <v>Pass</v>
      </c>
    </row>
    <row r="16" spans="2:7" x14ac:dyDescent="0.25">
      <c r="B16" s="50" t="s">
        <v>365</v>
      </c>
      <c r="C16" s="57" t="s">
        <v>532</v>
      </c>
      <c r="D16" s="57"/>
      <c r="E16" s="57"/>
      <c r="F16" s="57"/>
      <c r="G16" s="11" t="str">
        <f>Care_Alerts!M6</f>
        <v>Pass</v>
      </c>
    </row>
    <row r="17" spans="2:7" x14ac:dyDescent="0.25">
      <c r="B17" s="50" t="s">
        <v>366</v>
      </c>
      <c r="C17" s="57" t="s">
        <v>478</v>
      </c>
      <c r="D17" s="57"/>
      <c r="E17" s="57"/>
      <c r="F17" s="57"/>
      <c r="G17" s="11" t="str">
        <f>Demographics!M5</f>
        <v>Pass</v>
      </c>
    </row>
    <row r="18" spans="2:7" x14ac:dyDescent="0.25">
      <c r="B18" s="50" t="s">
        <v>367</v>
      </c>
      <c r="C18" s="57" t="s">
        <v>479</v>
      </c>
      <c r="D18" s="57"/>
      <c r="E18" s="57"/>
      <c r="F18" s="57"/>
      <c r="G18" s="11" t="str">
        <f>Demographics!M6</f>
        <v>Pass</v>
      </c>
    </row>
    <row r="19" spans="2:7" x14ac:dyDescent="0.25">
      <c r="B19" s="50" t="s">
        <v>368</v>
      </c>
      <c r="C19" s="57" t="s">
        <v>414</v>
      </c>
      <c r="D19" s="57"/>
      <c r="E19" s="57"/>
      <c r="F19" s="57"/>
      <c r="G19" s="11" t="str">
        <f>Eligibility!M6</f>
        <v>Pass</v>
      </c>
    </row>
    <row r="20" spans="2:7" x14ac:dyDescent="0.25">
      <c r="B20" s="50" t="s">
        <v>369</v>
      </c>
      <c r="C20" s="57" t="s">
        <v>415</v>
      </c>
      <c r="D20" s="57"/>
      <c r="E20" s="57"/>
      <c r="F20" s="57"/>
      <c r="G20" s="11" t="str">
        <f>Eligibility!M7</f>
        <v>Pass</v>
      </c>
    </row>
    <row r="21" spans="2:7" x14ac:dyDescent="0.25">
      <c r="B21" s="50" t="s">
        <v>370</v>
      </c>
      <c r="C21" s="57" t="s">
        <v>469</v>
      </c>
      <c r="D21" s="57"/>
      <c r="E21" s="57"/>
      <c r="F21" s="57"/>
      <c r="G21" s="11" t="str">
        <f>Eligibility!M8</f>
        <v>Pass</v>
      </c>
    </row>
    <row r="22" spans="2:7" x14ac:dyDescent="0.25">
      <c r="B22" s="50" t="s">
        <v>371</v>
      </c>
      <c r="C22" s="57" t="s">
        <v>484</v>
      </c>
      <c r="D22" s="57"/>
      <c r="E22" s="57"/>
      <c r="F22" s="57"/>
      <c r="G22" s="11" t="str">
        <f>High_Cost!M5</f>
        <v>Pass</v>
      </c>
    </row>
    <row r="23" spans="2:7" x14ac:dyDescent="0.25">
      <c r="B23" s="50" t="s">
        <v>372</v>
      </c>
      <c r="C23" s="57" t="s">
        <v>485</v>
      </c>
      <c r="D23" s="57"/>
      <c r="E23" s="57"/>
      <c r="F23" s="57"/>
      <c r="G23" s="11" t="str">
        <f>High_Cost!M6</f>
        <v>Pass</v>
      </c>
    </row>
    <row r="24" spans="2:7" x14ac:dyDescent="0.25">
      <c r="B24" s="50" t="s">
        <v>374</v>
      </c>
      <c r="C24" s="57" t="s">
        <v>542</v>
      </c>
      <c r="D24" s="57"/>
      <c r="E24" s="57"/>
      <c r="F24" s="57"/>
      <c r="G24" s="11" t="str">
        <f>Historical_Scores!M6</f>
        <v>Pass</v>
      </c>
    </row>
    <row r="25" spans="2:7" x14ac:dyDescent="0.25">
      <c r="B25" s="50" t="s">
        <v>416</v>
      </c>
      <c r="C25" s="57" t="s">
        <v>543</v>
      </c>
      <c r="D25" s="57"/>
      <c r="E25" s="57"/>
      <c r="F25" s="57"/>
      <c r="G25" s="11" t="str">
        <f>Historical_Scores!M7</f>
        <v>Pass</v>
      </c>
    </row>
    <row r="26" spans="2:7" x14ac:dyDescent="0.25">
      <c r="B26" s="50" t="s">
        <v>417</v>
      </c>
      <c r="C26" s="57" t="s">
        <v>431</v>
      </c>
      <c r="D26" s="57"/>
      <c r="E26" s="57"/>
      <c r="F26" s="57"/>
      <c r="G26" s="11" t="str">
        <f>Medical_Claims!M6</f>
        <v>Pass</v>
      </c>
    </row>
    <row r="27" spans="2:7" x14ac:dyDescent="0.25">
      <c r="B27" s="50" t="s">
        <v>418</v>
      </c>
      <c r="C27" s="57" t="s">
        <v>432</v>
      </c>
      <c r="D27" s="57"/>
      <c r="E27" s="57"/>
      <c r="F27" s="57"/>
      <c r="G27" s="11" t="str">
        <f>Medical_Claims!M7</f>
        <v>Pass</v>
      </c>
    </row>
    <row r="28" spans="2:7" x14ac:dyDescent="0.25">
      <c r="B28" s="50" t="s">
        <v>419</v>
      </c>
      <c r="C28" s="57" t="s">
        <v>470</v>
      </c>
      <c r="D28" s="57"/>
      <c r="E28" s="57"/>
      <c r="F28" s="57"/>
      <c r="G28" s="11" t="str">
        <f>Medical_Claims!M8</f>
        <v>Pass</v>
      </c>
    </row>
    <row r="29" spans="2:7" x14ac:dyDescent="0.25">
      <c r="B29" s="50" t="s">
        <v>472</v>
      </c>
      <c r="C29" s="57" t="s">
        <v>504</v>
      </c>
      <c r="D29" s="57"/>
      <c r="E29" s="57"/>
      <c r="F29" s="57"/>
      <c r="G29" s="11" t="str">
        <f>Participation!M7</f>
        <v>Pass</v>
      </c>
    </row>
    <row r="30" spans="2:7" x14ac:dyDescent="0.25">
      <c r="B30" s="50" t="s">
        <v>473</v>
      </c>
      <c r="C30" s="57" t="s">
        <v>499</v>
      </c>
      <c r="D30" s="57"/>
      <c r="E30" s="57"/>
      <c r="F30" s="57"/>
      <c r="G30" s="11" t="str">
        <f>Participation!M8</f>
        <v>Pass</v>
      </c>
    </row>
    <row r="31" spans="2:7" x14ac:dyDescent="0.25">
      <c r="B31" s="50" t="s">
        <v>474</v>
      </c>
      <c r="C31" s="57" t="s">
        <v>500</v>
      </c>
      <c r="D31" s="57"/>
      <c r="E31" s="57"/>
      <c r="F31" s="57"/>
      <c r="G31" s="39" t="str">
        <f>Participation!M9</f>
        <v>Pass</v>
      </c>
    </row>
    <row r="32" spans="2:7" x14ac:dyDescent="0.25">
      <c r="B32" s="50" t="s">
        <v>486</v>
      </c>
      <c r="C32" s="57" t="s">
        <v>420</v>
      </c>
      <c r="D32" s="57"/>
      <c r="E32" s="57"/>
      <c r="F32" s="57"/>
      <c r="G32" s="11" t="str">
        <f>Member_PCP!M6</f>
        <v>Pass</v>
      </c>
    </row>
    <row r="33" spans="2:7" x14ac:dyDescent="0.25">
      <c r="B33" s="50" t="s">
        <v>487</v>
      </c>
      <c r="C33" s="57" t="s">
        <v>425</v>
      </c>
      <c r="D33" s="57"/>
      <c r="E33" s="57"/>
      <c r="F33" s="57"/>
      <c r="G33" s="11" t="str">
        <f>Member_PCP!M7</f>
        <v>Pass</v>
      </c>
    </row>
    <row r="34" spans="2:7" x14ac:dyDescent="0.25">
      <c r="B34" s="50" t="s">
        <v>488</v>
      </c>
      <c r="C34" s="57" t="s">
        <v>421</v>
      </c>
      <c r="D34" s="57"/>
      <c r="E34" s="57"/>
      <c r="F34" s="57"/>
      <c r="G34" s="11" t="str">
        <f>Pharmacy!M6</f>
        <v>Pass</v>
      </c>
    </row>
    <row r="35" spans="2:7" x14ac:dyDescent="0.25">
      <c r="B35" s="50" t="s">
        <v>489</v>
      </c>
      <c r="C35" s="57" t="s">
        <v>426</v>
      </c>
      <c r="D35" s="57"/>
      <c r="E35" s="57"/>
      <c r="F35" s="57"/>
      <c r="G35" s="11" t="str">
        <f>Pharmacy!M7</f>
        <v>Pass</v>
      </c>
    </row>
    <row r="36" spans="2:7" x14ac:dyDescent="0.25">
      <c r="B36" s="50" t="s">
        <v>501</v>
      </c>
      <c r="C36" s="57" t="s">
        <v>471</v>
      </c>
      <c r="D36" s="57"/>
      <c r="E36" s="57"/>
      <c r="F36" s="57"/>
      <c r="G36" s="11" t="str">
        <f>Pharmacy!M8</f>
        <v>Pass</v>
      </c>
    </row>
    <row r="37" spans="2:7" x14ac:dyDescent="0.25">
      <c r="B37" s="50" t="s">
        <v>502</v>
      </c>
      <c r="C37" s="57" t="s">
        <v>422</v>
      </c>
      <c r="D37" s="57"/>
      <c r="E37" s="57"/>
      <c r="F37" s="57"/>
      <c r="G37" s="11" t="str">
        <f>Quality_Metrics!M6</f>
        <v>Pass</v>
      </c>
    </row>
    <row r="38" spans="2:7" x14ac:dyDescent="0.25">
      <c r="B38" s="50" t="s">
        <v>503</v>
      </c>
      <c r="C38" s="57" t="s">
        <v>427</v>
      </c>
      <c r="D38" s="57"/>
      <c r="E38" s="57"/>
      <c r="F38" s="57"/>
      <c r="G38" s="11" t="str">
        <f>Quality_Metrics!M7</f>
        <v>Pass</v>
      </c>
    </row>
    <row r="39" spans="2:7" x14ac:dyDescent="0.25">
      <c r="B39" s="50" t="s">
        <v>533</v>
      </c>
      <c r="C39" s="57" t="s">
        <v>423</v>
      </c>
      <c r="D39" s="57"/>
      <c r="E39" s="57"/>
      <c r="F39" s="57"/>
      <c r="G39" s="11" t="str">
        <f>Scores!M6</f>
        <v>Pass</v>
      </c>
    </row>
    <row r="40" spans="2:7" x14ac:dyDescent="0.25">
      <c r="B40" s="50" t="s">
        <v>534</v>
      </c>
      <c r="C40" s="57" t="s">
        <v>428</v>
      </c>
      <c r="D40" s="57"/>
      <c r="E40" s="57"/>
      <c r="F40" s="57"/>
      <c r="G40" s="11" t="str">
        <f>Scores!M7</f>
        <v>Pass</v>
      </c>
    </row>
    <row r="41" spans="2:7" x14ac:dyDescent="0.25">
      <c r="B41" s="50" t="s">
        <v>540</v>
      </c>
      <c r="C41" s="57" t="s">
        <v>424</v>
      </c>
      <c r="D41" s="57"/>
      <c r="E41" s="57"/>
      <c r="F41" s="57"/>
      <c r="G41" s="11" t="str">
        <f>Visit!M6</f>
        <v>Pass</v>
      </c>
    </row>
    <row r="42" spans="2:7" x14ac:dyDescent="0.25">
      <c r="B42" s="50" t="s">
        <v>541</v>
      </c>
      <c r="C42" s="57" t="s">
        <v>429</v>
      </c>
      <c r="D42" s="57"/>
      <c r="E42" s="57"/>
      <c r="F42" s="57"/>
      <c r="G42" s="11" t="str">
        <f>Visit!M7</f>
        <v>Pass</v>
      </c>
    </row>
  </sheetData>
  <mergeCells count="33">
    <mergeCell ref="C37:F37"/>
    <mergeCell ref="C20:F20"/>
    <mergeCell ref="C27:F27"/>
    <mergeCell ref="C33:F33"/>
    <mergeCell ref="C35:F35"/>
    <mergeCell ref="C32:F32"/>
    <mergeCell ref="C34:F34"/>
    <mergeCell ref="C26:F26"/>
    <mergeCell ref="C25:F25"/>
    <mergeCell ref="B1:G1"/>
    <mergeCell ref="C14:F14"/>
    <mergeCell ref="C13:F13"/>
    <mergeCell ref="B12:G12"/>
    <mergeCell ref="C19:F19"/>
    <mergeCell ref="C17:F17"/>
    <mergeCell ref="C16:F16"/>
    <mergeCell ref="C18:F18"/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</mergeCells>
  <conditionalFormatting sqref="F10 G14:G42">
    <cfRule type="cellIs" dxfId="209" priority="41" operator="equal">
      <formula>"Fail"</formula>
    </cfRule>
    <cfRule type="cellIs" dxfId="208" priority="42" operator="equal">
      <formula>"Pass"</formula>
    </cfRule>
  </conditionalFormatting>
  <conditionalFormatting sqref="F10 G14:G42">
    <cfRule type="cellIs" dxfId="207" priority="39" operator="equal">
      <formula>"Not Tested"</formula>
    </cfRule>
    <cfRule type="cellIs" dxfId="206" priority="40" operator="equal">
      <formula>"Partially Pass"</formula>
    </cfRule>
  </conditionalFormatting>
  <conditionalFormatting sqref="F10">
    <cfRule type="containsText" dxfId="205" priority="1" operator="containsText" text="Partially Pass">
      <formula>NOT(ISERROR(SEARCH("Partially Pass",F10)))</formula>
    </cfRule>
    <cfRule type="containsText" dxfId="204" priority="2" operator="containsText" text="Pass">
      <formula>NOT(ISERROR(SEARCH("Pass",F10)))</formula>
    </cfRule>
    <cfRule type="cellIs" dxfId="203" priority="25" operator="equal">
      <formula>"Not Tested"</formula>
    </cfRule>
    <cfRule type="cellIs" dxfId="202" priority="26" operator="equal">
      <formula>"Pending"</formula>
    </cfRule>
    <cfRule type="cellIs" dxfId="201" priority="27" operator="equal">
      <formula>"Ongoing"</formula>
    </cfRule>
    <cfRule type="cellIs" dxfId="200" priority="28" operator="equal">
      <formula>"Blocked"</formula>
    </cfRule>
    <cfRule type="cellIs" dxfId="199" priority="29" operator="equal">
      <formula>"Fail"</formula>
    </cfRule>
    <cfRule type="cellIs" dxfId="198" priority="30" operator="equal">
      <formula>"Partially Fail"</formula>
    </cfRule>
    <cfRule type="cellIs" dxfId="197" priority="31" operator="equal">
      <formula>"Pass"</formula>
    </cfRule>
  </conditionalFormatting>
  <conditionalFormatting sqref="F10">
    <cfRule type="cellIs" dxfId="196" priority="32" operator="equal">
      <formula>"Not Tested"</formula>
    </cfRule>
    <cfRule type="cellIs" dxfId="195" priority="33" operator="equal">
      <formula>"Pending"</formula>
    </cfRule>
    <cfRule type="cellIs" dxfId="194" priority="34" operator="equal">
      <formula>"Ongoing"</formula>
    </cfRule>
    <cfRule type="cellIs" dxfId="193" priority="35" operator="equal">
      <formula>"Blocked"</formula>
    </cfRule>
    <cfRule type="cellIs" dxfId="192" priority="36" operator="equal">
      <formula>"Fail"</formula>
    </cfRule>
    <cfRule type="cellIs" dxfId="191" priority="37" operator="equal">
      <formula>"Partially Pass"</formula>
    </cfRule>
    <cfRule type="cellIs" dxfId="190" priority="38" operator="equal">
      <formula>"Pass"</formula>
    </cfRule>
  </conditionalFormatting>
  <conditionalFormatting sqref="G42">
    <cfRule type="cellIs" dxfId="189" priority="5" operator="equal">
      <formula>"Fail"</formula>
    </cfRule>
    <cfRule type="cellIs" dxfId="188" priority="6" operator="equal">
      <formula>"Pass"</formula>
    </cfRule>
  </conditionalFormatting>
  <conditionalFormatting sqref="G42">
    <cfRule type="cellIs" dxfId="187" priority="3" operator="equal">
      <formula>"Not Tested"</formula>
    </cfRule>
    <cfRule type="cellIs" dxfId="186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3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  <col min="20" max="20" width="27.42578125" bestFit="1" customWidth="1"/>
    <col min="22" max="22" width="14.85546875" bestFit="1" customWidth="1"/>
  </cols>
  <sheetData>
    <row r="1" spans="2:22" x14ac:dyDescent="0.25">
      <c r="B1" s="62" t="s">
        <v>391</v>
      </c>
      <c r="C1" s="62"/>
      <c r="D1" s="62" t="s">
        <v>357</v>
      </c>
      <c r="E1" s="62"/>
      <c r="F1" s="63" t="s">
        <v>375</v>
      </c>
      <c r="G1" s="63" t="s">
        <v>360</v>
      </c>
      <c r="M1" s="26" t="s">
        <v>413</v>
      </c>
    </row>
    <row r="2" spans="2:22" x14ac:dyDescent="0.25">
      <c r="B2" s="15" t="s">
        <v>358</v>
      </c>
      <c r="C2" s="15" t="s">
        <v>359</v>
      </c>
      <c r="D2" s="15" t="s">
        <v>358</v>
      </c>
      <c r="E2" s="15" t="s">
        <v>359</v>
      </c>
      <c r="F2" s="63"/>
      <c r="G2" s="63"/>
      <c r="K2" s="24" t="s">
        <v>430</v>
      </c>
      <c r="L2" s="11" t="str">
        <f>IF(ISERROR(VLOOKUP($M$1,$G$2:$G$11,1,)),"Pass","Fail")</f>
        <v>Fail</v>
      </c>
    </row>
    <row r="3" spans="2:22" x14ac:dyDescent="0.25">
      <c r="B3" s="52" t="s">
        <v>507</v>
      </c>
      <c r="C3" s="52" t="s">
        <v>508</v>
      </c>
      <c r="D3" s="52" t="s">
        <v>507</v>
      </c>
      <c r="E3" s="52" t="s">
        <v>547</v>
      </c>
      <c r="F3" s="2">
        <f>IF(I3=0,0%,(I3-H3)/I3)</f>
        <v>0.1866028708133971</v>
      </c>
      <c r="G3" s="11" t="str">
        <f>IF(AND(F3&lt;=10%,F3&gt;=-10%),"Pass","Fail")</f>
        <v>Fail</v>
      </c>
      <c r="H3" s="53" t="str">
        <f>LEFT(C3, SEARCH(" ", C3, 1))</f>
        <v xml:space="preserve">3.40 </v>
      </c>
      <c r="I3" s="53" t="str">
        <f t="shared" ref="I3:I14" si="0">LEFT(E3, SEARCH(" ", E3, 1))</f>
        <v xml:space="preserve">4.18 </v>
      </c>
      <c r="K3" s="54"/>
      <c r="L3" s="37"/>
    </row>
    <row r="4" spans="2:22" x14ac:dyDescent="0.25">
      <c r="B4" s="53" t="s">
        <v>490</v>
      </c>
      <c r="C4" s="52" t="s">
        <v>509</v>
      </c>
      <c r="D4" s="47" t="s">
        <v>490</v>
      </c>
      <c r="E4" s="52" t="s">
        <v>548</v>
      </c>
      <c r="F4" s="2">
        <f t="shared" ref="F4:F14" si="1">IF(I4=0,0%,(I4-H4)/I4)</f>
        <v>-6.6666666666666721E-2</v>
      </c>
      <c r="G4" s="11" t="str">
        <f t="shared" ref="G4:G13" si="2">IF(AND(F4&lt;=10%,F4&gt;=-10%),"Pass","Fail")</f>
        <v>Pass</v>
      </c>
      <c r="H4" s="1" t="str">
        <f>LEFT(C4, SEARCH(" ", C4, 1))</f>
        <v xml:space="preserve">1.60 </v>
      </c>
      <c r="I4" s="1" t="str">
        <f t="shared" si="0"/>
        <v xml:space="preserve">1.50 </v>
      </c>
    </row>
    <row r="5" spans="2:22" x14ac:dyDescent="0.25">
      <c r="B5" s="53" t="s">
        <v>73</v>
      </c>
      <c r="C5" s="52" t="s">
        <v>510</v>
      </c>
      <c r="D5" s="47" t="s">
        <v>73</v>
      </c>
      <c r="E5" s="52" t="s">
        <v>549</v>
      </c>
      <c r="F5" s="2">
        <f t="shared" si="1"/>
        <v>2.2107028510443709E-2</v>
      </c>
      <c r="G5" s="11" t="str">
        <f t="shared" si="2"/>
        <v>Pass</v>
      </c>
      <c r="H5" s="1" t="str">
        <f t="shared" ref="H5:H11" si="3">LEFT(C5, SEARCH(" ", C5, 1))</f>
        <v xml:space="preserve">64.14 </v>
      </c>
      <c r="I5" s="1" t="str">
        <f t="shared" si="0"/>
        <v xml:space="preserve">65.59 </v>
      </c>
    </row>
    <row r="6" spans="2:22" x14ac:dyDescent="0.25">
      <c r="B6" s="53" t="s">
        <v>491</v>
      </c>
      <c r="C6" s="52" t="s">
        <v>544</v>
      </c>
      <c r="D6" s="47" t="s">
        <v>491</v>
      </c>
      <c r="E6" s="52" t="s">
        <v>550</v>
      </c>
      <c r="F6" s="2">
        <f t="shared" si="1"/>
        <v>3.1991525423728781E-2</v>
      </c>
      <c r="G6" s="11" t="str">
        <f t="shared" si="2"/>
        <v>Pass</v>
      </c>
      <c r="H6" s="1" t="str">
        <f t="shared" si="3"/>
        <v xml:space="preserve">685.35 </v>
      </c>
      <c r="I6" s="1" t="str">
        <f t="shared" si="0"/>
        <v xml:space="preserve">708 </v>
      </c>
      <c r="M6" s="28"/>
    </row>
    <row r="7" spans="2:22" x14ac:dyDescent="0.25">
      <c r="B7" s="53" t="s">
        <v>511</v>
      </c>
      <c r="C7" s="52" t="s">
        <v>512</v>
      </c>
      <c r="D7" s="50" t="s">
        <v>511</v>
      </c>
      <c r="E7" s="52" t="s">
        <v>551</v>
      </c>
      <c r="F7" s="2">
        <f t="shared" si="1"/>
        <v>4.5395590142671811E-2</v>
      </c>
      <c r="G7" s="11" t="str">
        <f t="shared" si="2"/>
        <v>Pass</v>
      </c>
      <c r="H7" s="53" t="str">
        <f t="shared" si="3"/>
        <v xml:space="preserve">7.36 </v>
      </c>
      <c r="I7" s="53" t="str">
        <f t="shared" si="0"/>
        <v xml:space="preserve">7.71 </v>
      </c>
      <c r="M7" s="28"/>
    </row>
    <row r="8" spans="2:22" x14ac:dyDescent="0.25">
      <c r="B8" s="53" t="s">
        <v>74</v>
      </c>
      <c r="C8" s="52" t="s">
        <v>513</v>
      </c>
      <c r="D8" s="47" t="s">
        <v>74</v>
      </c>
      <c r="E8" s="52" t="s">
        <v>552</v>
      </c>
      <c r="F8" s="2">
        <f t="shared" si="1"/>
        <v>5.4874389093715215E-3</v>
      </c>
      <c r="G8" s="11" t="str">
        <f t="shared" si="2"/>
        <v>Pass</v>
      </c>
      <c r="H8" s="1" t="str">
        <f t="shared" si="3"/>
        <v xml:space="preserve">463.96 </v>
      </c>
      <c r="I8" s="1" t="str">
        <f t="shared" si="0"/>
        <v xml:space="preserve">466.52 </v>
      </c>
      <c r="M8" s="28"/>
    </row>
    <row r="9" spans="2:22" x14ac:dyDescent="0.25">
      <c r="B9" s="53" t="s">
        <v>492</v>
      </c>
      <c r="C9" s="52" t="s">
        <v>514</v>
      </c>
      <c r="D9" s="47" t="s">
        <v>492</v>
      </c>
      <c r="E9" s="52" t="s">
        <v>514</v>
      </c>
      <c r="F9" s="2">
        <f t="shared" si="1"/>
        <v>0</v>
      </c>
      <c r="G9" s="11" t="str">
        <f t="shared" si="2"/>
        <v>Pass</v>
      </c>
      <c r="H9" s="1" t="str">
        <f t="shared" si="3"/>
        <v xml:space="preserve">151 </v>
      </c>
      <c r="I9" s="1" t="str">
        <f t="shared" si="0"/>
        <v xml:space="preserve">151 </v>
      </c>
      <c r="M9" s="28"/>
      <c r="T9" t="s">
        <v>507</v>
      </c>
      <c r="U9" t="s">
        <v>547</v>
      </c>
      <c r="V9" s="28"/>
    </row>
    <row r="10" spans="2:22" x14ac:dyDescent="0.25">
      <c r="B10" s="53" t="s">
        <v>75</v>
      </c>
      <c r="C10" s="52" t="s">
        <v>545</v>
      </c>
      <c r="D10" s="47" t="s">
        <v>75</v>
      </c>
      <c r="E10" s="52" t="s">
        <v>553</v>
      </c>
      <c r="F10" s="2">
        <f t="shared" si="1"/>
        <v>2.4685534591195753E-3</v>
      </c>
      <c r="G10" s="11" t="str">
        <f t="shared" si="2"/>
        <v>Pass</v>
      </c>
      <c r="H10" s="1" t="str">
        <f t="shared" si="3"/>
        <v xml:space="preserve">634.43 </v>
      </c>
      <c r="I10" s="1" t="str">
        <f t="shared" si="0"/>
        <v xml:space="preserve">636 </v>
      </c>
      <c r="M10" s="28"/>
      <c r="T10" t="s">
        <v>490</v>
      </c>
      <c r="U10" t="s">
        <v>548</v>
      </c>
      <c r="V10" s="28"/>
    </row>
    <row r="11" spans="2:22" x14ac:dyDescent="0.25">
      <c r="B11" s="53" t="s">
        <v>76</v>
      </c>
      <c r="C11" s="52" t="s">
        <v>515</v>
      </c>
      <c r="D11" s="47" t="s">
        <v>76</v>
      </c>
      <c r="E11" s="52" t="s">
        <v>554</v>
      </c>
      <c r="F11" s="2">
        <f t="shared" si="1"/>
        <v>0.96707105719237429</v>
      </c>
      <c r="G11" s="11" t="str">
        <f t="shared" si="2"/>
        <v>Fail</v>
      </c>
      <c r="H11" s="1" t="str">
        <f t="shared" si="3"/>
        <v xml:space="preserve">1.52 </v>
      </c>
      <c r="I11" s="1" t="str">
        <f t="shared" si="0"/>
        <v xml:space="preserve">46.16 </v>
      </c>
      <c r="M11" s="28"/>
      <c r="T11" t="s">
        <v>73</v>
      </c>
      <c r="U11" t="s">
        <v>549</v>
      </c>
      <c r="V11" s="28"/>
    </row>
    <row r="12" spans="2:22" x14ac:dyDescent="0.25">
      <c r="B12" s="53" t="s">
        <v>77</v>
      </c>
      <c r="C12" s="52" t="s">
        <v>516</v>
      </c>
      <c r="D12" s="47" t="s">
        <v>77</v>
      </c>
      <c r="E12" s="52" t="s">
        <v>555</v>
      </c>
      <c r="F12" s="2">
        <f t="shared" si="1"/>
        <v>0.1189155884165126</v>
      </c>
      <c r="G12" s="11" t="str">
        <f t="shared" si="2"/>
        <v>Fail</v>
      </c>
      <c r="H12" s="47" t="str">
        <f t="shared" ref="H12:H14" si="4">LEFT(C12, SEARCH(" ", C12, 1))</f>
        <v xml:space="preserve">14.30 </v>
      </c>
      <c r="I12" s="47" t="str">
        <f t="shared" si="0"/>
        <v xml:space="preserve">16.23 </v>
      </c>
      <c r="M12" s="28"/>
      <c r="T12" t="s">
        <v>491</v>
      </c>
      <c r="U12" t="s">
        <v>550</v>
      </c>
      <c r="V12" s="28"/>
    </row>
    <row r="13" spans="2:22" x14ac:dyDescent="0.25">
      <c r="B13" s="53" t="s">
        <v>78</v>
      </c>
      <c r="C13" s="52" t="s">
        <v>546</v>
      </c>
      <c r="D13" s="47" t="s">
        <v>78</v>
      </c>
      <c r="E13" s="52" t="s">
        <v>556</v>
      </c>
      <c r="F13" s="2">
        <f t="shared" si="1"/>
        <v>8.3492063492063354E-3</v>
      </c>
      <c r="G13" s="11" t="str">
        <f t="shared" si="2"/>
        <v>Pass</v>
      </c>
      <c r="H13" s="47" t="str">
        <f t="shared" si="4"/>
        <v xml:space="preserve">624.74 </v>
      </c>
      <c r="I13" s="47" t="str">
        <f t="shared" si="0"/>
        <v xml:space="preserve">630 </v>
      </c>
      <c r="M13" s="28"/>
      <c r="T13" t="s">
        <v>511</v>
      </c>
      <c r="U13" t="s">
        <v>551</v>
      </c>
      <c r="V13" s="28"/>
    </row>
    <row r="14" spans="2:22" x14ac:dyDescent="0.25">
      <c r="B14" s="53" t="s">
        <v>79</v>
      </c>
      <c r="C14" s="52" t="s">
        <v>517</v>
      </c>
      <c r="D14" s="47" t="s">
        <v>79</v>
      </c>
      <c r="E14" s="52" t="s">
        <v>557</v>
      </c>
      <c r="F14" s="2">
        <f t="shared" si="1"/>
        <v>1.7271157167529857E-3</v>
      </c>
      <c r="G14" s="11" t="str">
        <f>IF(AND(F14&lt;=10%,F14&gt;=-10%),"Pass","Fail")</f>
        <v>Pass</v>
      </c>
      <c r="H14" s="47" t="str">
        <f t="shared" si="4"/>
        <v xml:space="preserve">5.78 </v>
      </c>
      <c r="I14" s="47" t="str">
        <f t="shared" si="0"/>
        <v xml:space="preserve">5.79 </v>
      </c>
      <c r="M14" s="28"/>
      <c r="T14" t="s">
        <v>74</v>
      </c>
      <c r="U14" t="s">
        <v>552</v>
      </c>
      <c r="V14" s="28"/>
    </row>
    <row r="15" spans="2:22" x14ac:dyDescent="0.25">
      <c r="M15" s="28"/>
      <c r="T15" t="s">
        <v>492</v>
      </c>
      <c r="U15" t="s">
        <v>514</v>
      </c>
      <c r="V15" s="28"/>
    </row>
    <row r="16" spans="2:22" x14ac:dyDescent="0.25">
      <c r="M16" s="28"/>
      <c r="T16" t="s">
        <v>75</v>
      </c>
      <c r="U16" t="s">
        <v>553</v>
      </c>
      <c r="V16" s="28"/>
    </row>
    <row r="17" spans="2:22" x14ac:dyDescent="0.25">
      <c r="K17" s="28"/>
      <c r="M17" s="28"/>
      <c r="T17" t="s">
        <v>76</v>
      </c>
      <c r="U17" t="s">
        <v>554</v>
      </c>
      <c r="V17" s="28"/>
    </row>
    <row r="18" spans="2:22" x14ac:dyDescent="0.25">
      <c r="E18" s="28"/>
      <c r="M18" s="28"/>
      <c r="T18" t="s">
        <v>77</v>
      </c>
      <c r="U18" t="s">
        <v>555</v>
      </c>
      <c r="V18" s="28"/>
    </row>
    <row r="19" spans="2:22" x14ac:dyDescent="0.25">
      <c r="M19" s="28"/>
      <c r="T19" t="s">
        <v>78</v>
      </c>
      <c r="U19" t="s">
        <v>556</v>
      </c>
      <c r="V19" s="28"/>
    </row>
    <row r="20" spans="2:22" x14ac:dyDescent="0.25">
      <c r="B20" s="28"/>
      <c r="M20" s="28"/>
      <c r="T20" t="s">
        <v>79</v>
      </c>
      <c r="U20" t="s">
        <v>557</v>
      </c>
      <c r="V20" s="28"/>
    </row>
    <row r="21" spans="2:22" x14ac:dyDescent="0.25">
      <c r="B21" s="28"/>
      <c r="M21" s="28"/>
      <c r="V21" s="28"/>
    </row>
    <row r="22" spans="2:22" x14ac:dyDescent="0.25">
      <c r="B22" s="28"/>
      <c r="M22" s="28"/>
      <c r="V22" s="28"/>
    </row>
    <row r="23" spans="2:22" x14ac:dyDescent="0.25">
      <c r="B23" s="28"/>
      <c r="M23" s="28"/>
      <c r="V23" s="28"/>
    </row>
    <row r="24" spans="2:22" x14ac:dyDescent="0.25">
      <c r="B24" s="28"/>
      <c r="M24" s="28"/>
      <c r="V24" s="28"/>
    </row>
    <row r="25" spans="2:22" x14ac:dyDescent="0.25">
      <c r="B25" s="28"/>
      <c r="M25" s="28"/>
      <c r="V25" s="28"/>
    </row>
    <row r="26" spans="2:22" x14ac:dyDescent="0.25">
      <c r="B26" s="28"/>
      <c r="M26" s="28"/>
      <c r="V26" s="28"/>
    </row>
    <row r="27" spans="2:22" x14ac:dyDescent="0.25">
      <c r="M27" s="28"/>
      <c r="V27" s="28"/>
    </row>
    <row r="28" spans="2:22" x14ac:dyDescent="0.25">
      <c r="M28" s="28"/>
      <c r="V28" s="28"/>
    </row>
    <row r="29" spans="2:22" x14ac:dyDescent="0.25">
      <c r="M29" s="28"/>
      <c r="V29" s="28"/>
    </row>
    <row r="30" spans="2:22" x14ac:dyDescent="0.25">
      <c r="M30" s="28"/>
      <c r="V30" s="28"/>
    </row>
    <row r="31" spans="2:22" x14ac:dyDescent="0.25">
      <c r="M31" s="28"/>
      <c r="V31" s="28"/>
    </row>
    <row r="32" spans="2:22" x14ac:dyDescent="0.25">
      <c r="V32" s="28"/>
    </row>
    <row r="33" spans="22:22" x14ac:dyDescent="0.25">
      <c r="V33" s="28"/>
    </row>
  </sheetData>
  <mergeCells count="4">
    <mergeCell ref="B1:C1"/>
    <mergeCell ref="D1:E1"/>
    <mergeCell ref="G1:G2"/>
    <mergeCell ref="F1:F2"/>
  </mergeCells>
  <conditionalFormatting sqref="G4:G14">
    <cfRule type="cellIs" dxfId="185" priority="11" operator="equal">
      <formula>"Fail"</formula>
    </cfRule>
    <cfRule type="cellIs" dxfId="184" priority="12" operator="equal">
      <formula>"Pass"</formula>
    </cfRule>
  </conditionalFormatting>
  <conditionalFormatting sqref="L3">
    <cfRule type="cellIs" dxfId="183" priority="9" operator="equal">
      <formula>"Fail"</formula>
    </cfRule>
    <cfRule type="cellIs" dxfId="182" priority="10" operator="equal">
      <formula>"Pass"</formula>
    </cfRule>
  </conditionalFormatting>
  <conditionalFormatting sqref="G3:G14">
    <cfRule type="cellIs" dxfId="181" priority="5" operator="equal">
      <formula>"Fail"</formula>
    </cfRule>
    <cfRule type="cellIs" dxfId="180" priority="6" operator="equal">
      <formula>"Pass"</formula>
    </cfRule>
  </conditionalFormatting>
  <conditionalFormatting sqref="L2">
    <cfRule type="cellIs" dxfId="179" priority="3" operator="equal">
      <formula>"Fail"</formula>
    </cfRule>
    <cfRule type="cellIs" dxfId="178" priority="4" operator="equal">
      <formula>"Pass"</formula>
    </cfRule>
  </conditionalFormatting>
  <conditionalFormatting sqref="L2">
    <cfRule type="cellIs" dxfId="177" priority="1" operator="equal">
      <formula>"Fail"</formula>
    </cfRule>
    <cfRule type="cellIs" dxfId="17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9"/>
  <sheetViews>
    <sheetView showGridLines="0" workbookViewId="0">
      <pane ySplit="1" topLeftCell="A2" activePane="bottomLeft" state="frozen"/>
      <selection pane="bottomLeft" activeCell="L18" sqref="L18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50" t="s">
        <v>83</v>
      </c>
      <c r="C2" s="50" t="s">
        <v>399</v>
      </c>
      <c r="D2" s="11"/>
      <c r="E2" s="50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19501</v>
      </c>
      <c r="M2" s="19">
        <v>15557</v>
      </c>
      <c r="N2" s="22">
        <f>L2-M2</f>
        <v>3944</v>
      </c>
    </row>
    <row r="3" spans="2:15" x14ac:dyDescent="0.25">
      <c r="B3" s="50" t="s">
        <v>71</v>
      </c>
      <c r="C3" s="50" t="s">
        <v>399</v>
      </c>
      <c r="D3" s="11"/>
      <c r="E3" s="50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 x14ac:dyDescent="0.25">
      <c r="B4" s="50" t="s">
        <v>0</v>
      </c>
      <c r="C4" s="50" t="s">
        <v>399</v>
      </c>
      <c r="D4" s="11"/>
      <c r="E4" s="50" t="s">
        <v>0</v>
      </c>
      <c r="F4" s="11">
        <v>32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1" t="s">
        <v>401</v>
      </c>
    </row>
    <row r="5" spans="2:15" x14ac:dyDescent="0.25">
      <c r="B5" s="50" t="s">
        <v>518</v>
      </c>
      <c r="C5" s="50" t="s">
        <v>399</v>
      </c>
      <c r="D5" s="11"/>
      <c r="E5" s="50" t="s">
        <v>518</v>
      </c>
      <c r="F5" s="11">
        <v>15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5" x14ac:dyDescent="0.25">
      <c r="B6" s="50" t="s">
        <v>519</v>
      </c>
      <c r="C6" s="50" t="s">
        <v>399</v>
      </c>
      <c r="D6" s="11"/>
      <c r="E6" s="50" t="s">
        <v>519</v>
      </c>
      <c r="F6" s="11">
        <v>16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5" x14ac:dyDescent="0.25">
      <c r="B7" s="50" t="s">
        <v>520</v>
      </c>
      <c r="C7" s="50" t="s">
        <v>399</v>
      </c>
      <c r="D7" s="11"/>
      <c r="E7" s="50" t="s">
        <v>520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0.25351931606350842</v>
      </c>
    </row>
    <row r="8" spans="2:15" x14ac:dyDescent="0.25">
      <c r="B8" s="50" t="s">
        <v>8</v>
      </c>
      <c r="C8" s="50" t="s">
        <v>399</v>
      </c>
      <c r="D8" s="11"/>
      <c r="E8" s="50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0.1866028708133971</v>
      </c>
    </row>
    <row r="9" spans="2:15" x14ac:dyDescent="0.25">
      <c r="B9" s="50" t="s">
        <v>7</v>
      </c>
      <c r="C9" s="50" t="s">
        <v>399</v>
      </c>
      <c r="D9" s="11"/>
      <c r="E9" s="50" t="s">
        <v>7</v>
      </c>
      <c r="F9" s="11">
        <v>7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 x14ac:dyDescent="0.25">
      <c r="B10" s="50" t="s">
        <v>521</v>
      </c>
      <c r="C10" s="50" t="s">
        <v>400</v>
      </c>
      <c r="D10" s="11"/>
      <c r="E10" s="50" t="s">
        <v>521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 x14ac:dyDescent="0.25">
      <c r="B11" s="50" t="s">
        <v>522</v>
      </c>
      <c r="C11" s="50" t="s">
        <v>399</v>
      </c>
      <c r="D11" s="11"/>
      <c r="E11" s="50" t="s">
        <v>522</v>
      </c>
      <c r="F11" s="11">
        <v>16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5" x14ac:dyDescent="0.25">
      <c r="B12" s="50" t="s">
        <v>523</v>
      </c>
      <c r="C12" s="50" t="s">
        <v>399</v>
      </c>
      <c r="D12" s="11"/>
      <c r="E12" s="50" t="s">
        <v>523</v>
      </c>
      <c r="F12" s="11">
        <v>54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 x14ac:dyDescent="0.25">
      <c r="B13" s="50" t="s">
        <v>524</v>
      </c>
      <c r="C13" s="50" t="s">
        <v>399</v>
      </c>
      <c r="D13" s="11"/>
      <c r="E13" s="50" t="s">
        <v>524</v>
      </c>
      <c r="F13" s="11">
        <v>3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 x14ac:dyDescent="0.25">
      <c r="B14" s="50" t="s">
        <v>525</v>
      </c>
      <c r="C14" s="50" t="s">
        <v>399</v>
      </c>
      <c r="D14" s="11"/>
      <c r="E14" s="50" t="s">
        <v>525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 x14ac:dyDescent="0.25">
      <c r="B15" s="50" t="s">
        <v>526</v>
      </c>
      <c r="C15" s="50" t="s">
        <v>399</v>
      </c>
      <c r="D15" s="11"/>
      <c r="E15" s="50" t="s">
        <v>526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 x14ac:dyDescent="0.25">
      <c r="B16" s="50" t="s">
        <v>527</v>
      </c>
      <c r="C16" s="50" t="s">
        <v>399</v>
      </c>
      <c r="D16" s="11"/>
      <c r="E16" s="50" t="s">
        <v>527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50" t="s">
        <v>528</v>
      </c>
      <c r="C17" s="50" t="s">
        <v>399</v>
      </c>
      <c r="D17" s="11"/>
      <c r="E17" s="50" t="s">
        <v>528</v>
      </c>
      <c r="F17" s="11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50" t="s">
        <v>529</v>
      </c>
      <c r="C18" s="50" t="s">
        <v>399</v>
      </c>
      <c r="D18" s="11"/>
      <c r="E18" s="50" t="s">
        <v>529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50" t="s">
        <v>530</v>
      </c>
      <c r="C19" s="50" t="s">
        <v>399</v>
      </c>
      <c r="D19" s="11"/>
      <c r="E19" s="50" t="s">
        <v>530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75" priority="7" operator="equal">
      <formula>"Fail"</formula>
    </cfRule>
    <cfRule type="cellIs" dxfId="174" priority="8" operator="equal">
      <formula>"Pass"</formula>
    </cfRule>
  </conditionalFormatting>
  <conditionalFormatting sqref="G2:H19">
    <cfRule type="cellIs" dxfId="173" priority="5" operator="equal">
      <formula>"Fail"</formula>
    </cfRule>
    <cfRule type="cellIs" dxfId="172" priority="6" operator="equal">
      <formula>"Pass"</formula>
    </cfRule>
  </conditionalFormatting>
  <conditionalFormatting sqref="M5:M6">
    <cfRule type="cellIs" dxfId="171" priority="3" operator="equal">
      <formula>"Fail"</formula>
    </cfRule>
    <cfRule type="cellIs" dxfId="170" priority="4" operator="equal">
      <formula>"Pass"</formula>
    </cfRule>
  </conditionalFormatting>
  <conditionalFormatting sqref="M5:M6">
    <cfRule type="cellIs" dxfId="169" priority="1" operator="equal">
      <formula>"Fail"</formula>
    </cfRule>
    <cfRule type="cellIs" dxfId="16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 activeCell="L12" sqref="L1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4" t="s">
        <v>83</v>
      </c>
      <c r="C2" s="44" t="s">
        <v>399</v>
      </c>
      <c r="D2" s="11"/>
      <c r="E2" s="44" t="s">
        <v>83</v>
      </c>
      <c r="F2" s="11">
        <v>4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5889</v>
      </c>
      <c r="M2" s="19">
        <v>5662</v>
      </c>
      <c r="N2" s="22">
        <f>L2-M2</f>
        <v>227</v>
      </c>
    </row>
    <row r="3" spans="2:15" x14ac:dyDescent="0.2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1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1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 x14ac:dyDescent="0.2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1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 x14ac:dyDescent="0.25">
      <c r="B6" s="44" t="s">
        <v>0</v>
      </c>
      <c r="C6" s="44" t="s">
        <v>399</v>
      </c>
      <c r="D6" s="56">
        <v>32</v>
      </c>
      <c r="E6" s="44" t="s">
        <v>0</v>
      </c>
      <c r="F6" s="11">
        <v>32</v>
      </c>
      <c r="G6" s="11" t="str">
        <f t="shared" si="0"/>
        <v>Pass</v>
      </c>
      <c r="H6" s="11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 x14ac:dyDescent="0.25">
      <c r="B7" s="44" t="s">
        <v>2</v>
      </c>
      <c r="C7" s="44" t="s">
        <v>399</v>
      </c>
      <c r="D7" s="56">
        <v>22</v>
      </c>
      <c r="E7" s="44" t="s">
        <v>2</v>
      </c>
      <c r="F7" s="11">
        <v>22</v>
      </c>
      <c r="G7" s="11" t="str">
        <f t="shared" si="0"/>
        <v>Pass</v>
      </c>
      <c r="H7" s="11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4.0091840339102791E-2</v>
      </c>
    </row>
    <row r="8" spans="2:15" x14ac:dyDescent="0.25">
      <c r="B8" s="44" t="s">
        <v>3</v>
      </c>
      <c r="C8" s="44" t="s">
        <v>399</v>
      </c>
      <c r="D8" s="11">
        <v>100</v>
      </c>
      <c r="E8" s="44" t="s">
        <v>3</v>
      </c>
      <c r="F8" s="11">
        <v>15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-6.6666666666666721E-2</v>
      </c>
    </row>
    <row r="9" spans="2:15" x14ac:dyDescent="0.25">
      <c r="B9" s="44" t="s">
        <v>4</v>
      </c>
      <c r="C9" s="44" t="s">
        <v>399</v>
      </c>
      <c r="D9" s="11">
        <v>100</v>
      </c>
      <c r="E9" s="44" t="s">
        <v>4</v>
      </c>
      <c r="F9" s="11">
        <v>0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4" t="s">
        <v>5</v>
      </c>
      <c r="C10" s="44" t="s">
        <v>400</v>
      </c>
      <c r="D10" s="11">
        <v>100</v>
      </c>
      <c r="E10" s="44" t="s">
        <v>5</v>
      </c>
      <c r="F10" s="11">
        <v>20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 x14ac:dyDescent="0.2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4" t="s">
        <v>8</v>
      </c>
      <c r="C13" s="44" t="s">
        <v>399</v>
      </c>
      <c r="D13" s="11" t="s">
        <v>476</v>
      </c>
      <c r="E13" s="44" t="s">
        <v>8</v>
      </c>
      <c r="F13" s="11">
        <v>10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4" t="s">
        <v>9</v>
      </c>
      <c r="C14" s="44" t="s">
        <v>399</v>
      </c>
      <c r="D14" s="11">
        <v>100</v>
      </c>
      <c r="E14" s="44" t="s">
        <v>9</v>
      </c>
      <c r="F14" s="11">
        <v>30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4" t="s">
        <v>10</v>
      </c>
      <c r="C15" s="44" t="s">
        <v>399</v>
      </c>
      <c r="D15" s="11">
        <v>100</v>
      </c>
      <c r="E15" s="44" t="s">
        <v>10</v>
      </c>
      <c r="F15" s="11">
        <v>22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4" t="s">
        <v>11</v>
      </c>
      <c r="C16" s="44" t="s">
        <v>399</v>
      </c>
      <c r="D16" s="11">
        <v>100</v>
      </c>
      <c r="E16" s="44" t="s">
        <v>11</v>
      </c>
      <c r="F16" s="11">
        <v>19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4" t="s">
        <v>12</v>
      </c>
      <c r="C17" s="44" t="s">
        <v>399</v>
      </c>
      <c r="D17" s="11">
        <v>100</v>
      </c>
      <c r="E17" s="44" t="s">
        <v>12</v>
      </c>
      <c r="F17" s="11">
        <v>5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4" t="s">
        <v>14</v>
      </c>
      <c r="C19" s="44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4" t="s">
        <v>15</v>
      </c>
      <c r="C20" s="44" t="s">
        <v>399</v>
      </c>
      <c r="D20" s="11">
        <v>100</v>
      </c>
      <c r="E20" s="44" t="s">
        <v>15</v>
      </c>
      <c r="F20" s="11">
        <v>10</v>
      </c>
      <c r="G20" s="11" t="str">
        <f t="shared" si="0"/>
        <v>Pass</v>
      </c>
      <c r="H20" s="11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1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1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4" t="s">
        <v>18</v>
      </c>
      <c r="C23" s="44" t="s">
        <v>399</v>
      </c>
      <c r="D23" s="11">
        <v>10</v>
      </c>
      <c r="E23" s="44" t="s">
        <v>18</v>
      </c>
      <c r="F23" s="11">
        <v>1</v>
      </c>
      <c r="G23" s="11" t="str">
        <f t="shared" si="0"/>
        <v>Pass</v>
      </c>
      <c r="H23" s="11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4" t="s">
        <v>19</v>
      </c>
      <c r="C24" s="44" t="s">
        <v>399</v>
      </c>
      <c r="D24" s="11">
        <v>50</v>
      </c>
      <c r="E24" s="44" t="s">
        <v>19</v>
      </c>
      <c r="F24" s="11">
        <v>16</v>
      </c>
      <c r="G24" s="11" t="str">
        <f t="shared" si="0"/>
        <v>Pass</v>
      </c>
      <c r="H24" s="11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4" t="s">
        <v>86</v>
      </c>
      <c r="C25" s="44" t="s">
        <v>399</v>
      </c>
      <c r="D25" s="11">
        <v>100</v>
      </c>
      <c r="E25" s="44" t="s">
        <v>86</v>
      </c>
      <c r="F25" s="11">
        <v>85</v>
      </c>
      <c r="G25" s="11" t="str">
        <f t="shared" si="0"/>
        <v>Pass</v>
      </c>
      <c r="H25" s="11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1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4" t="s">
        <v>88</v>
      </c>
      <c r="C27" s="44" t="s">
        <v>399</v>
      </c>
      <c r="D27" s="11">
        <v>100</v>
      </c>
      <c r="E27" s="44" t="s">
        <v>88</v>
      </c>
      <c r="F27" s="11">
        <v>5</v>
      </c>
      <c r="G27" s="11" t="str">
        <f t="shared" si="0"/>
        <v>Pass</v>
      </c>
      <c r="H27" s="11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67" priority="7" operator="equal">
      <formula>"Fail"</formula>
    </cfRule>
    <cfRule type="cellIs" dxfId="166" priority="8" operator="equal">
      <formula>"Pass"</formula>
    </cfRule>
  </conditionalFormatting>
  <conditionalFormatting sqref="G2:H27">
    <cfRule type="cellIs" dxfId="165" priority="5" operator="equal">
      <formula>"Fail"</formula>
    </cfRule>
    <cfRule type="cellIs" dxfId="164" priority="6" operator="equal">
      <formula>"Pass"</formula>
    </cfRule>
  </conditionalFormatting>
  <conditionalFormatting sqref="M5:M6">
    <cfRule type="cellIs" dxfId="163" priority="3" operator="equal">
      <formula>"Fail"</formula>
    </cfRule>
    <cfRule type="cellIs" dxfId="162" priority="4" operator="equal">
      <formula>"Pass"</formula>
    </cfRule>
  </conditionalFormatting>
  <conditionalFormatting sqref="M5:M6">
    <cfRule type="cellIs" dxfId="161" priority="1" operator="equal">
      <formula>"Fail"</formula>
    </cfRule>
    <cfRule type="cellIs" dxfId="160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2" activePane="bottomLeft" state="frozen"/>
      <selection pane="bottomLeft" activeCell="L17" sqref="L17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0</v>
      </c>
      <c r="C2" s="17" t="s">
        <v>399</v>
      </c>
      <c r="D2" s="56">
        <v>32</v>
      </c>
      <c r="E2" s="1" t="s">
        <v>0</v>
      </c>
      <c r="F2" s="11">
        <v>32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108667</v>
      </c>
      <c r="M2" s="19">
        <v>108667</v>
      </c>
      <c r="N2" s="22">
        <f>L2-M2</f>
        <v>0</v>
      </c>
    </row>
    <row r="3" spans="2:15" x14ac:dyDescent="0.25">
      <c r="B3" s="1" t="s">
        <v>1</v>
      </c>
      <c r="C3" s="17" t="s">
        <v>399</v>
      </c>
      <c r="D3" s="11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104711</v>
      </c>
      <c r="N3" s="22">
        <f>L2-M3</f>
        <v>3956</v>
      </c>
    </row>
    <row r="4" spans="2:15" x14ac:dyDescent="0.25">
      <c r="B4" s="1" t="s">
        <v>2</v>
      </c>
      <c r="C4" s="17" t="s">
        <v>399</v>
      </c>
      <c r="D4" s="56">
        <v>22</v>
      </c>
      <c r="E4" s="1" t="s">
        <v>2</v>
      </c>
      <c r="F4" s="11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  <c r="K4" s="55"/>
    </row>
    <row r="5" spans="2:15" x14ac:dyDescent="0.25">
      <c r="B5" s="1" t="s">
        <v>3</v>
      </c>
      <c r="C5" s="17" t="s">
        <v>399</v>
      </c>
      <c r="D5" s="11">
        <v>30</v>
      </c>
      <c r="E5" s="1" t="s">
        <v>3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 x14ac:dyDescent="0.25">
      <c r="B6" s="1" t="s">
        <v>4</v>
      </c>
      <c r="C6" s="17" t="s">
        <v>399</v>
      </c>
      <c r="D6" s="11">
        <v>30</v>
      </c>
      <c r="E6" s="1" t="s">
        <v>4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 x14ac:dyDescent="0.25">
      <c r="B7" s="1" t="s">
        <v>5</v>
      </c>
      <c r="C7" s="17" t="s">
        <v>399</v>
      </c>
      <c r="D7" s="11">
        <v>30</v>
      </c>
      <c r="E7" s="1" t="s">
        <v>5</v>
      </c>
      <c r="F7" s="11">
        <v>20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 x14ac:dyDescent="0.25">
      <c r="B8" s="1" t="s">
        <v>6</v>
      </c>
      <c r="C8" s="17" t="s">
        <v>399</v>
      </c>
      <c r="D8" s="11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3.7780175912750333E-2</v>
      </c>
    </row>
    <row r="10" spans="2:15" x14ac:dyDescent="0.25">
      <c r="B10" s="1" t="s">
        <v>8</v>
      </c>
      <c r="C10" s="17" t="s">
        <v>400</v>
      </c>
      <c r="D10" s="11" t="s">
        <v>476</v>
      </c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2.2107028510443709E-2</v>
      </c>
    </row>
    <row r="11" spans="2:15" x14ac:dyDescent="0.25">
      <c r="B11" s="1" t="s">
        <v>9</v>
      </c>
      <c r="C11" s="17" t="s">
        <v>399</v>
      </c>
      <c r="D11" s="11">
        <v>50</v>
      </c>
      <c r="E11" s="1" t="s">
        <v>9</v>
      </c>
      <c r="F11" s="11">
        <v>30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 x14ac:dyDescent="0.25">
      <c r="B12" s="1" t="s">
        <v>10</v>
      </c>
      <c r="C12" s="17" t="s">
        <v>399</v>
      </c>
      <c r="D12" s="11">
        <v>50</v>
      </c>
      <c r="E12" s="1" t="s">
        <v>10</v>
      </c>
      <c r="F12" s="11">
        <v>22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7" t="s">
        <v>399</v>
      </c>
      <c r="D13" s="11">
        <v>100</v>
      </c>
      <c r="E13" s="1" t="s">
        <v>11</v>
      </c>
      <c r="F13" s="11">
        <v>19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7" t="s">
        <v>399</v>
      </c>
      <c r="D14" s="11">
        <v>20</v>
      </c>
      <c r="E14" s="1" t="s">
        <v>12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7" t="s">
        <v>399</v>
      </c>
      <c r="D15" s="11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7" t="s">
        <v>399</v>
      </c>
      <c r="D16" s="11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7" t="s">
        <v>399</v>
      </c>
      <c r="D17" s="11">
        <v>15</v>
      </c>
      <c r="E17" s="1" t="s">
        <v>15</v>
      </c>
      <c r="F17" s="11">
        <v>10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7" t="s">
        <v>399</v>
      </c>
      <c r="D18" s="11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7" t="s">
        <v>399</v>
      </c>
      <c r="D19" s="11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7" t="s">
        <v>399</v>
      </c>
      <c r="D20" s="11">
        <v>5</v>
      </c>
      <c r="E20" s="1" t="s">
        <v>18</v>
      </c>
      <c r="F20" s="11">
        <v>1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1" t="s">
        <v>19</v>
      </c>
      <c r="C21" s="17" t="s">
        <v>399</v>
      </c>
      <c r="D21" s="45">
        <v>20</v>
      </c>
      <c r="E21" s="1" t="s">
        <v>19</v>
      </c>
      <c r="F21" s="11">
        <v>16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7" t="s">
        <v>399</v>
      </c>
      <c r="D22" s="11">
        <v>20</v>
      </c>
      <c r="E22" s="1" t="s">
        <v>20</v>
      </c>
      <c r="F22" s="11">
        <v>2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7" t="s">
        <v>399</v>
      </c>
      <c r="D23" s="11">
        <v>255</v>
      </c>
      <c r="E23" s="1" t="s">
        <v>21</v>
      </c>
      <c r="F23" s="11">
        <v>2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7" t="s">
        <v>399</v>
      </c>
      <c r="D24" s="11">
        <v>20</v>
      </c>
      <c r="E24" s="1" t="s">
        <v>22</v>
      </c>
      <c r="F24" s="11">
        <v>12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7" t="s">
        <v>399</v>
      </c>
      <c r="D25" s="11">
        <v>50</v>
      </c>
      <c r="E25" s="1" t="s">
        <v>23</v>
      </c>
      <c r="F25" s="11">
        <v>12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7" t="s">
        <v>399</v>
      </c>
      <c r="D26" s="11">
        <v>20</v>
      </c>
      <c r="E26" s="1" t="s">
        <v>24</v>
      </c>
      <c r="F26" s="11">
        <v>1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7" t="s">
        <v>399</v>
      </c>
      <c r="D27" s="11">
        <v>50</v>
      </c>
      <c r="E27" s="1" t="s">
        <v>25</v>
      </c>
      <c r="F27" s="11">
        <v>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1" t="s">
        <v>26</v>
      </c>
      <c r="C28" s="17" t="s">
        <v>399</v>
      </c>
      <c r="D28" s="11">
        <v>56</v>
      </c>
      <c r="E28" s="1" t="s">
        <v>26</v>
      </c>
      <c r="F28" s="11">
        <v>56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7" t="s">
        <v>399</v>
      </c>
      <c r="D29" s="11">
        <v>100</v>
      </c>
      <c r="E29" s="1" t="s">
        <v>27</v>
      </c>
      <c r="F29" s="11">
        <v>69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7" t="s">
        <v>399</v>
      </c>
      <c r="D30" s="11">
        <v>20</v>
      </c>
      <c r="E30" s="1" t="s">
        <v>28</v>
      </c>
      <c r="F30" s="11">
        <v>15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7" t="s">
        <v>399</v>
      </c>
      <c r="D31" s="11">
        <v>50</v>
      </c>
      <c r="E31" s="1" t="s">
        <v>29</v>
      </c>
      <c r="F31" s="11">
        <v>12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1" t="s">
        <v>30</v>
      </c>
      <c r="C32" s="17" t="s">
        <v>399</v>
      </c>
      <c r="D32" s="11">
        <v>53</v>
      </c>
      <c r="E32" s="1" t="s">
        <v>30</v>
      </c>
      <c r="F32" s="11">
        <v>53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7" t="s">
        <v>399</v>
      </c>
      <c r="D33" s="11">
        <v>100</v>
      </c>
      <c r="E33" s="1" t="s">
        <v>31</v>
      </c>
      <c r="F33" s="11">
        <v>68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7" t="s">
        <v>399</v>
      </c>
      <c r="D34" s="11">
        <v>2</v>
      </c>
      <c r="E34" s="1" t="s">
        <v>32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7" t="s">
        <v>399</v>
      </c>
      <c r="D35" s="11">
        <v>30</v>
      </c>
      <c r="E35" s="1" t="s">
        <v>33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7" t="s">
        <v>400</v>
      </c>
      <c r="D36" s="11" t="s">
        <v>476</v>
      </c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7" t="s">
        <v>400</v>
      </c>
      <c r="D37" s="11" t="s">
        <v>476</v>
      </c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7" t="s">
        <v>400</v>
      </c>
      <c r="D38" s="11" t="s">
        <v>476</v>
      </c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7" t="s">
        <v>400</v>
      </c>
      <c r="D39" s="11" t="s">
        <v>476</v>
      </c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7" t="s">
        <v>400</v>
      </c>
      <c r="D40" s="11" t="s">
        <v>476</v>
      </c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7" t="s">
        <v>400</v>
      </c>
      <c r="D41" s="11" t="s">
        <v>476</v>
      </c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7" t="s">
        <v>400</v>
      </c>
      <c r="D42" s="11" t="s">
        <v>476</v>
      </c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7" t="s">
        <v>400</v>
      </c>
      <c r="D43" s="11" t="s">
        <v>476</v>
      </c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7" t="s">
        <v>400</v>
      </c>
      <c r="D44" s="11" t="s">
        <v>476</v>
      </c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7" t="s">
        <v>400</v>
      </c>
      <c r="D45" s="11" t="s">
        <v>476</v>
      </c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7" t="s">
        <v>400</v>
      </c>
      <c r="D46" s="11" t="s">
        <v>476</v>
      </c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7" t="s">
        <v>400</v>
      </c>
      <c r="D47" s="11" t="s">
        <v>476</v>
      </c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7" t="s">
        <v>399</v>
      </c>
      <c r="D48" s="11">
        <v>50</v>
      </c>
      <c r="E48" s="1" t="s">
        <v>46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7" t="s">
        <v>399</v>
      </c>
      <c r="D49" s="11">
        <v>100</v>
      </c>
      <c r="E49" s="1" t="s">
        <v>47</v>
      </c>
      <c r="F49" s="11">
        <v>54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7" t="s">
        <v>399</v>
      </c>
      <c r="D50" s="11">
        <v>30</v>
      </c>
      <c r="E50" s="1" t="s">
        <v>48</v>
      </c>
      <c r="F50" s="11">
        <v>14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7" t="s">
        <v>399</v>
      </c>
      <c r="D51" s="11">
        <v>30</v>
      </c>
      <c r="E51" s="1" t="s">
        <v>49</v>
      </c>
      <c r="F51" s="11">
        <v>23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7" t="s">
        <v>399</v>
      </c>
      <c r="D52" s="11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7" t="s">
        <v>399</v>
      </c>
      <c r="D53" s="11">
        <v>100</v>
      </c>
      <c r="E53" s="1" t="s">
        <v>51</v>
      </c>
      <c r="F53" s="11">
        <v>34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7" t="s">
        <v>399</v>
      </c>
      <c r="D54" s="11">
        <v>100</v>
      </c>
      <c r="E54" s="1" t="s">
        <v>52</v>
      </c>
      <c r="F54" s="11">
        <v>35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7" t="s">
        <v>399</v>
      </c>
      <c r="D55" s="11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7" t="s">
        <v>399</v>
      </c>
      <c r="D56" s="11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7" t="s">
        <v>399</v>
      </c>
      <c r="D57" s="11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7" t="s">
        <v>399</v>
      </c>
      <c r="D58" s="11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7" t="s">
        <v>399</v>
      </c>
      <c r="D59" s="11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7" t="s">
        <v>399</v>
      </c>
      <c r="D60" s="11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7" t="s">
        <v>399</v>
      </c>
      <c r="D61" s="11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7" t="s">
        <v>399</v>
      </c>
      <c r="D62" s="11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7" t="s">
        <v>399</v>
      </c>
      <c r="D63" s="11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7" t="s">
        <v>399</v>
      </c>
      <c r="D64" s="11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7" t="s">
        <v>399</v>
      </c>
      <c r="D65" s="11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7" t="s">
        <v>399</v>
      </c>
      <c r="D66" s="11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7" t="s">
        <v>399</v>
      </c>
      <c r="D67" s="11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7" t="s">
        <v>399</v>
      </c>
      <c r="D68" s="11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7" t="s">
        <v>399</v>
      </c>
      <c r="D69" s="11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7" t="s">
        <v>399</v>
      </c>
      <c r="D70" s="11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7" t="s">
        <v>399</v>
      </c>
      <c r="D71" s="11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7" t="s">
        <v>399</v>
      </c>
      <c r="D72" s="11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7" t="s">
        <v>399</v>
      </c>
      <c r="D73" s="11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1" t="s">
        <v>86</v>
      </c>
      <c r="C74" s="31" t="s">
        <v>399</v>
      </c>
      <c r="D74" s="11">
        <v>500</v>
      </c>
      <c r="E74" s="31" t="s">
        <v>86</v>
      </c>
      <c r="F74" s="11">
        <v>85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1" t="s">
        <v>436</v>
      </c>
      <c r="C75" s="31" t="s">
        <v>399</v>
      </c>
      <c r="D75" s="11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1" t="s">
        <v>437</v>
      </c>
      <c r="C76" s="31" t="s">
        <v>399</v>
      </c>
      <c r="D76" s="11">
        <v>100</v>
      </c>
      <c r="E76" s="31" t="s">
        <v>437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1" t="s">
        <v>438</v>
      </c>
      <c r="C77" s="31" t="s">
        <v>399</v>
      </c>
      <c r="D77" s="11">
        <v>100</v>
      </c>
      <c r="E77" s="31" t="s">
        <v>438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1" t="s">
        <v>439</v>
      </c>
      <c r="C78" s="31" t="s">
        <v>399</v>
      </c>
      <c r="D78" s="11">
        <v>100</v>
      </c>
      <c r="E78" s="31" t="s">
        <v>439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1" t="s">
        <v>440</v>
      </c>
      <c r="C79" s="31" t="s">
        <v>399</v>
      </c>
      <c r="D79" s="11">
        <v>100</v>
      </c>
      <c r="E79" s="31" t="s">
        <v>440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1" t="s">
        <v>441</v>
      </c>
      <c r="C80" s="31" t="s">
        <v>399</v>
      </c>
      <c r="D80" s="11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1" t="s">
        <v>442</v>
      </c>
      <c r="C81" s="31" t="s">
        <v>399</v>
      </c>
      <c r="D81" s="11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1" t="s">
        <v>443</v>
      </c>
      <c r="C82" s="31" t="s">
        <v>399</v>
      </c>
      <c r="D82" s="11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1" t="s">
        <v>444</v>
      </c>
      <c r="C83" s="31" t="s">
        <v>399</v>
      </c>
      <c r="D83" s="11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1" t="s">
        <v>445</v>
      </c>
      <c r="C84" s="31" t="s">
        <v>399</v>
      </c>
      <c r="D84" s="11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1" t="s">
        <v>446</v>
      </c>
      <c r="C85" s="31" t="s">
        <v>399</v>
      </c>
      <c r="D85" s="11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1" t="s">
        <v>447</v>
      </c>
      <c r="C86" s="31" t="s">
        <v>399</v>
      </c>
      <c r="D86" s="11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1" t="s">
        <v>448</v>
      </c>
      <c r="C87" s="31" t="s">
        <v>399</v>
      </c>
      <c r="D87" s="11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1" t="s">
        <v>449</v>
      </c>
      <c r="C88" s="31" t="s">
        <v>399</v>
      </c>
      <c r="D88" s="11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1" t="s">
        <v>450</v>
      </c>
      <c r="C89" s="31" t="s">
        <v>399</v>
      </c>
      <c r="D89" s="11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1" t="s">
        <v>451</v>
      </c>
      <c r="C90" s="31" t="s">
        <v>399</v>
      </c>
      <c r="D90" s="11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1" t="s">
        <v>452</v>
      </c>
      <c r="C91" s="31" t="s">
        <v>399</v>
      </c>
      <c r="D91" s="11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1" t="s">
        <v>453</v>
      </c>
      <c r="C92" s="31" t="s">
        <v>399</v>
      </c>
      <c r="D92" s="11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1" t="s">
        <v>454</v>
      </c>
      <c r="C93" s="31" t="s">
        <v>399</v>
      </c>
      <c r="D93" s="11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1" t="s">
        <v>455</v>
      </c>
      <c r="C94" s="31" t="s">
        <v>399</v>
      </c>
      <c r="D94" s="11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59" priority="27" operator="equal">
      <formula>"Fail"</formula>
    </cfRule>
    <cfRule type="cellIs" dxfId="158" priority="28" operator="equal">
      <formula>"Pass"</formula>
    </cfRule>
  </conditionalFormatting>
  <conditionalFormatting sqref="N6:N7">
    <cfRule type="cellIs" dxfId="157" priority="9" operator="equal">
      <formula>"Fail"</formula>
    </cfRule>
    <cfRule type="cellIs" dxfId="156" priority="10" operator="equal">
      <formula>"Pass"</formula>
    </cfRule>
  </conditionalFormatting>
  <conditionalFormatting sqref="M8">
    <cfRule type="containsText" dxfId="155" priority="5" operator="containsText" text="Pass">
      <formula>NOT(ISERROR(SEARCH("Pass",M8)))</formula>
    </cfRule>
    <cfRule type="containsText" dxfId="154" priority="6" operator="containsText" text="Fail">
      <formula>NOT(ISERROR(SEARCH("Fail",M8)))</formula>
    </cfRule>
  </conditionalFormatting>
  <conditionalFormatting sqref="M7">
    <cfRule type="cellIs" dxfId="153" priority="3" operator="equal">
      <formula>"Fail"</formula>
    </cfRule>
    <cfRule type="cellIs" dxfId="152" priority="4" operator="equal">
      <formula>"Pass"</formula>
    </cfRule>
  </conditionalFormatting>
  <conditionalFormatting sqref="M6">
    <cfRule type="cellIs" dxfId="151" priority="1" operator="equal">
      <formula>"Fail"</formula>
    </cfRule>
    <cfRule type="cellIs" dxfId="150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 activeCell="L16" sqref="L16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7" t="s">
        <v>83</v>
      </c>
      <c r="C2" s="47" t="s">
        <v>399</v>
      </c>
      <c r="D2" s="11"/>
      <c r="E2" s="47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5889</v>
      </c>
      <c r="M2" s="19">
        <v>5662</v>
      </c>
      <c r="N2" s="22">
        <f>L2-M2</f>
        <v>227</v>
      </c>
    </row>
    <row r="3" spans="2:15" x14ac:dyDescent="0.25">
      <c r="B3" s="47" t="s">
        <v>84</v>
      </c>
      <c r="C3" s="47" t="s">
        <v>399</v>
      </c>
      <c r="D3" s="11">
        <v>50</v>
      </c>
      <c r="E3" s="47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7" t="s">
        <v>85</v>
      </c>
      <c r="C4" s="47" t="s">
        <v>399</v>
      </c>
      <c r="D4" s="11">
        <v>50</v>
      </c>
      <c r="E4" s="4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9" t="s">
        <v>401</v>
      </c>
    </row>
    <row r="5" spans="2:15" x14ac:dyDescent="0.25">
      <c r="B5" s="47" t="s">
        <v>71</v>
      </c>
      <c r="C5" s="47" t="s">
        <v>399</v>
      </c>
      <c r="D5" s="11">
        <v>50</v>
      </c>
      <c r="E5" s="4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 x14ac:dyDescent="0.25">
      <c r="B6" s="47" t="s">
        <v>0</v>
      </c>
      <c r="C6" s="47" t="s">
        <v>399</v>
      </c>
      <c r="D6" s="56">
        <v>32</v>
      </c>
      <c r="E6" s="47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 x14ac:dyDescent="0.25">
      <c r="B7" s="47" t="s">
        <v>480</v>
      </c>
      <c r="C7" s="47" t="s">
        <v>399</v>
      </c>
      <c r="D7" s="11">
        <v>10</v>
      </c>
      <c r="E7" s="47" t="s">
        <v>535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4.0091840339102791E-2</v>
      </c>
    </row>
    <row r="8" spans="2:15" x14ac:dyDescent="0.25">
      <c r="B8" s="47" t="s">
        <v>481</v>
      </c>
      <c r="C8" s="47" t="s">
        <v>399</v>
      </c>
      <c r="D8" s="11">
        <v>50</v>
      </c>
      <c r="E8" s="47" t="s">
        <v>536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File_Size_Comparision!F6</f>
        <v>3.1991525423728781E-2</v>
      </c>
    </row>
    <row r="9" spans="2:15" x14ac:dyDescent="0.25">
      <c r="B9" s="47" t="s">
        <v>482</v>
      </c>
      <c r="C9" s="47" t="s">
        <v>399</v>
      </c>
      <c r="D9" s="11">
        <v>50</v>
      </c>
      <c r="E9" s="47" t="s">
        <v>537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7" t="s">
        <v>483</v>
      </c>
      <c r="C10" s="47" t="s">
        <v>400</v>
      </c>
      <c r="D10" s="11">
        <v>50</v>
      </c>
      <c r="E10" s="47" t="s">
        <v>538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49" priority="9" operator="equal">
      <formula>"Fail"</formula>
    </cfRule>
    <cfRule type="cellIs" dxfId="148" priority="10" operator="equal">
      <formula>"Pass"</formula>
    </cfRule>
  </conditionalFormatting>
  <conditionalFormatting sqref="M5:M6">
    <cfRule type="cellIs" dxfId="147" priority="1" operator="equal">
      <formula>"Fail"</formula>
    </cfRule>
    <cfRule type="cellIs" dxfId="146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workbookViewId="0">
      <pane ySplit="1" topLeftCell="A2" activePane="bottomLeft" state="frozen"/>
      <selection pane="bottomLeft" activeCell="M10" sqref="M10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50" t="s">
        <v>84</v>
      </c>
      <c r="C3" s="50" t="s">
        <v>399</v>
      </c>
      <c r="D3" s="11"/>
      <c r="E3" s="50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46946</v>
      </c>
      <c r="M3" s="19">
        <v>44820</v>
      </c>
      <c r="N3" s="22">
        <f>L3-M3</f>
        <v>2126</v>
      </c>
    </row>
    <row r="4" spans="2:15" x14ac:dyDescent="0.25">
      <c r="B4" s="50" t="s">
        <v>85</v>
      </c>
      <c r="C4" s="50" t="s">
        <v>399</v>
      </c>
      <c r="D4" s="11"/>
      <c r="E4" s="5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50" t="s">
        <v>71</v>
      </c>
      <c r="C5" s="50" t="s">
        <v>399</v>
      </c>
      <c r="D5" s="11"/>
      <c r="E5" s="5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1" t="s">
        <v>401</v>
      </c>
    </row>
    <row r="6" spans="2:15" x14ac:dyDescent="0.25">
      <c r="B6" s="50" t="s">
        <v>0</v>
      </c>
      <c r="C6" s="50" t="s">
        <v>399</v>
      </c>
      <c r="D6" s="11"/>
      <c r="E6" s="50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50" t="s">
        <v>89</v>
      </c>
      <c r="C7" s="50" t="s">
        <v>399</v>
      </c>
      <c r="D7" s="11"/>
      <c r="E7" s="50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50" t="s">
        <v>90</v>
      </c>
      <c r="C8" s="50" t="s">
        <v>400</v>
      </c>
      <c r="D8" s="11"/>
      <c r="E8" s="50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4.7434181169120931E-2</v>
      </c>
    </row>
    <row r="9" spans="2:15" x14ac:dyDescent="0.25">
      <c r="B9" s="50" t="s">
        <v>91</v>
      </c>
      <c r="C9" s="50" t="s">
        <v>400</v>
      </c>
      <c r="D9" s="11"/>
      <c r="E9" s="50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File_Size_Comparision!F7</f>
        <v>4.5395590142671811E-2</v>
      </c>
    </row>
    <row r="10" spans="2:15" x14ac:dyDescent="0.25">
      <c r="B10" s="50" t="s">
        <v>92</v>
      </c>
      <c r="C10" s="50" t="s">
        <v>399</v>
      </c>
      <c r="D10" s="11"/>
      <c r="E10" s="50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50" t="s">
        <v>93</v>
      </c>
      <c r="C11" s="50" t="s">
        <v>399</v>
      </c>
      <c r="D11" s="11"/>
      <c r="E11" s="50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50" t="s">
        <v>94</v>
      </c>
      <c r="C12" s="50" t="s">
        <v>399</v>
      </c>
      <c r="D12" s="11"/>
      <c r="E12" s="50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50" t="s">
        <v>95</v>
      </c>
      <c r="C13" s="50" t="s">
        <v>399</v>
      </c>
      <c r="D13" s="11"/>
      <c r="E13" s="50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50" t="s">
        <v>96</v>
      </c>
      <c r="C14" s="50" t="s">
        <v>399</v>
      </c>
      <c r="D14" s="11"/>
      <c r="E14" s="50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50" t="s">
        <v>97</v>
      </c>
      <c r="C15" s="50" t="s">
        <v>399</v>
      </c>
      <c r="D15" s="11"/>
      <c r="E15" s="50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50" t="s">
        <v>98</v>
      </c>
      <c r="C16" s="50" t="s">
        <v>399</v>
      </c>
      <c r="D16" s="11"/>
      <c r="E16" s="50" t="s">
        <v>98</v>
      </c>
      <c r="F16" s="11">
        <v>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50" t="s">
        <v>99</v>
      </c>
      <c r="C17" s="50" t="s">
        <v>399</v>
      </c>
      <c r="D17" s="11"/>
      <c r="E17" s="50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50" t="s">
        <v>100</v>
      </c>
      <c r="C18" s="50" t="s">
        <v>399</v>
      </c>
      <c r="D18" s="11"/>
      <c r="E18" s="50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50" t="s">
        <v>101</v>
      </c>
      <c r="C19" s="50" t="s">
        <v>399</v>
      </c>
      <c r="D19" s="11"/>
      <c r="E19" s="50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50" t="s">
        <v>102</v>
      </c>
      <c r="C20" s="50" t="s">
        <v>399</v>
      </c>
      <c r="D20" s="11"/>
      <c r="E20" s="50" t="s">
        <v>102</v>
      </c>
      <c r="F20" s="11">
        <v>6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50" t="s">
        <v>103</v>
      </c>
      <c r="C21" s="50" t="s">
        <v>399</v>
      </c>
      <c r="D21" s="11"/>
      <c r="E21" s="50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50" t="s">
        <v>104</v>
      </c>
      <c r="C22" s="50" t="s">
        <v>399</v>
      </c>
      <c r="D22" s="11"/>
      <c r="E22" s="50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50" t="s">
        <v>105</v>
      </c>
      <c r="C23" s="50" t="s">
        <v>399</v>
      </c>
      <c r="D23" s="11"/>
      <c r="E23" s="50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50" t="s">
        <v>106</v>
      </c>
      <c r="C24" s="50" t="s">
        <v>399</v>
      </c>
      <c r="D24" s="11"/>
      <c r="E24" s="50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50" t="s">
        <v>107</v>
      </c>
      <c r="C25" s="50" t="s">
        <v>399</v>
      </c>
      <c r="D25" s="11"/>
      <c r="E25" s="50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50" t="s">
        <v>108</v>
      </c>
      <c r="C26" s="50" t="s">
        <v>399</v>
      </c>
      <c r="D26" s="11"/>
      <c r="E26" s="50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45" priority="23" operator="equal">
      <formula>"Fail"</formula>
    </cfRule>
    <cfRule type="cellIs" dxfId="144" priority="24" operator="equal">
      <formula>"Pass"</formula>
    </cfRule>
  </conditionalFormatting>
  <conditionalFormatting sqref="H2:H26">
    <cfRule type="cellIs" dxfId="143" priority="21" operator="equal">
      <formula>"Fail"</formula>
    </cfRule>
    <cfRule type="cellIs" dxfId="142" priority="22" operator="equal">
      <formula>"Pass"</formula>
    </cfRule>
  </conditionalFormatting>
  <conditionalFormatting sqref="H2:H26">
    <cfRule type="cellIs" dxfId="141" priority="19" operator="equal">
      <formula>"Fail"</formula>
    </cfRule>
    <cfRule type="cellIs" dxfId="140" priority="20" operator="equal">
      <formula>"Pass"</formula>
    </cfRule>
  </conditionalFormatting>
  <conditionalFormatting sqref="H2:H26">
    <cfRule type="cellIs" dxfId="139" priority="17" operator="equal">
      <formula>"Fail"</formula>
    </cfRule>
    <cfRule type="cellIs" dxfId="138" priority="18" operator="equal">
      <formula>"Pass"</formula>
    </cfRule>
  </conditionalFormatting>
  <conditionalFormatting sqref="H2:H26">
    <cfRule type="cellIs" dxfId="137" priority="15" operator="equal">
      <formula>"Fail"</formula>
    </cfRule>
    <cfRule type="cellIs" dxfId="136" priority="16" operator="equal">
      <formula>"Pass"</formula>
    </cfRule>
  </conditionalFormatting>
  <conditionalFormatting sqref="H2:H26">
    <cfRule type="cellIs" dxfId="135" priority="13" operator="equal">
      <formula>"Fail"</formula>
    </cfRule>
    <cfRule type="cellIs" dxfId="134" priority="14" operator="equal">
      <formula>"Pass"</formula>
    </cfRule>
  </conditionalFormatting>
  <conditionalFormatting sqref="H2:H26">
    <cfRule type="cellIs" dxfId="133" priority="11" operator="equal">
      <formula>"Fail"</formula>
    </cfRule>
    <cfRule type="cellIs" dxfId="132" priority="12" operator="equal">
      <formula>"Pass"</formula>
    </cfRule>
  </conditionalFormatting>
  <conditionalFormatting sqref="H2:H26">
    <cfRule type="cellIs" dxfId="131" priority="9" operator="equal">
      <formula>"Fail"</formula>
    </cfRule>
    <cfRule type="cellIs" dxfId="130" priority="10" operator="equal">
      <formula>"Pass"</formula>
    </cfRule>
  </conditionalFormatting>
  <conditionalFormatting sqref="H2:H26">
    <cfRule type="cellIs" dxfId="129" priority="7" operator="equal">
      <formula>"Fail"</formula>
    </cfRule>
    <cfRule type="cellIs" dxfId="128" priority="8" operator="equal">
      <formula>"Pass"</formula>
    </cfRule>
  </conditionalFormatting>
  <conditionalFormatting sqref="H2:H26">
    <cfRule type="cellIs" dxfId="127" priority="5" operator="equal">
      <formula>"Fail"</formula>
    </cfRule>
    <cfRule type="cellIs" dxfId="126" priority="6" operator="equal">
      <formula>"Pass"</formula>
    </cfRule>
  </conditionalFormatting>
  <conditionalFormatting sqref="M6:M7">
    <cfRule type="cellIs" dxfId="125" priority="1" operator="equal">
      <formula>"Fail"</formula>
    </cfRule>
    <cfRule type="cellIs" dxfId="124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109</v>
      </c>
      <c r="C2" s="17" t="s">
        <v>399</v>
      </c>
      <c r="D2" s="56">
        <v>37</v>
      </c>
      <c r="E2" s="1" t="s">
        <v>109</v>
      </c>
      <c r="F2" s="11">
        <v>37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276701</v>
      </c>
      <c r="M2" s="19">
        <v>276701</v>
      </c>
      <c r="N2" s="22">
        <f>L2-M2</f>
        <v>0</v>
      </c>
    </row>
    <row r="3" spans="2:15" x14ac:dyDescent="0.25">
      <c r="B3" s="1" t="s">
        <v>110</v>
      </c>
      <c r="C3" s="17" t="s">
        <v>399</v>
      </c>
      <c r="D3" s="11">
        <v>25</v>
      </c>
      <c r="E3" s="1" t="s">
        <v>110</v>
      </c>
      <c r="F3" s="11">
        <v>6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275996</v>
      </c>
      <c r="N3" s="22">
        <f>L2-M3</f>
        <v>705</v>
      </c>
    </row>
    <row r="4" spans="2:15" x14ac:dyDescent="0.25">
      <c r="B4" s="1" t="s">
        <v>111</v>
      </c>
      <c r="C4" s="17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7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 x14ac:dyDescent="0.25">
      <c r="B6" s="1" t="s">
        <v>20</v>
      </c>
      <c r="C6" s="17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1" t="s">
        <v>21</v>
      </c>
      <c r="C7" s="17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1" t="s">
        <v>22</v>
      </c>
      <c r="C8" s="17" t="s">
        <v>399</v>
      </c>
      <c r="D8" s="11">
        <v>20</v>
      </c>
      <c r="E8" s="1" t="s">
        <v>22</v>
      </c>
      <c r="F8" s="11">
        <v>12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23</v>
      </c>
      <c r="C9" s="17" t="s">
        <v>399</v>
      </c>
      <c r="D9" s="11">
        <v>50</v>
      </c>
      <c r="E9" s="1" t="s">
        <v>23</v>
      </c>
      <c r="F9" s="11">
        <v>12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2.5543848461571906E-3</v>
      </c>
    </row>
    <row r="10" spans="2:15" x14ac:dyDescent="0.25">
      <c r="B10" s="1" t="s">
        <v>24</v>
      </c>
      <c r="C10" s="17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File_Size_Comparision!F8</f>
        <v>5.4874389093715215E-3</v>
      </c>
    </row>
    <row r="11" spans="2:15" x14ac:dyDescent="0.25">
      <c r="B11" s="1" t="s">
        <v>25</v>
      </c>
      <c r="C11" s="17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1" t="s">
        <v>26</v>
      </c>
      <c r="C12" s="17" t="s">
        <v>399</v>
      </c>
      <c r="D12" s="56">
        <v>56</v>
      </c>
      <c r="E12" s="1" t="s">
        <v>26</v>
      </c>
      <c r="F12" s="11">
        <v>56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7" t="s">
        <v>399</v>
      </c>
      <c r="D13" s="11">
        <v>20</v>
      </c>
      <c r="E13" s="1" t="s">
        <v>28</v>
      </c>
      <c r="F13" s="11">
        <v>15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7" t="s">
        <v>399</v>
      </c>
      <c r="D14" s="11">
        <v>50</v>
      </c>
      <c r="E14" s="1" t="s">
        <v>29</v>
      </c>
      <c r="F14" s="11">
        <v>12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1" t="s">
        <v>30</v>
      </c>
      <c r="C15" s="17" t="s">
        <v>399</v>
      </c>
      <c r="D15" s="56">
        <v>53</v>
      </c>
      <c r="E15" s="1" t="s">
        <v>30</v>
      </c>
      <c r="F15" s="11">
        <v>53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7" t="s">
        <v>399</v>
      </c>
      <c r="D16" s="11">
        <v>100</v>
      </c>
      <c r="E16" s="1" t="s">
        <v>31</v>
      </c>
      <c r="F16" s="11">
        <v>68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7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7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7" t="s">
        <v>399</v>
      </c>
      <c r="D19" s="11">
        <v>22</v>
      </c>
      <c r="E19" s="1" t="s">
        <v>0</v>
      </c>
      <c r="F19" s="11">
        <v>20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1" t="s">
        <v>2</v>
      </c>
      <c r="C20" s="17" t="s">
        <v>399</v>
      </c>
      <c r="D20" s="56">
        <v>22</v>
      </c>
      <c r="E20" s="1" t="s">
        <v>2</v>
      </c>
      <c r="F20" s="11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7" t="s">
        <v>399</v>
      </c>
      <c r="D21" s="11">
        <v>30</v>
      </c>
      <c r="E21" s="1" t="s">
        <v>3</v>
      </c>
      <c r="F21" s="11">
        <v>13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7" t="s">
        <v>399</v>
      </c>
      <c r="D22" s="11">
        <v>30</v>
      </c>
      <c r="E22" s="1" t="s">
        <v>4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7" t="s">
        <v>399</v>
      </c>
      <c r="D23" s="11">
        <v>30</v>
      </c>
      <c r="E23" s="1" t="s">
        <v>5</v>
      </c>
      <c r="F23" s="11">
        <v>16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7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7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7" t="s">
        <v>399</v>
      </c>
      <c r="D26" s="11">
        <v>50</v>
      </c>
      <c r="E26" s="1" t="s">
        <v>9</v>
      </c>
      <c r="F26" s="11">
        <v>30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7" t="s">
        <v>399</v>
      </c>
      <c r="D27" s="11">
        <v>50</v>
      </c>
      <c r="E27" s="1" t="s">
        <v>10</v>
      </c>
      <c r="F27" s="11">
        <v>22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7" t="s">
        <v>399</v>
      </c>
      <c r="D28" s="11">
        <v>50</v>
      </c>
      <c r="E28" s="1" t="s">
        <v>11</v>
      </c>
      <c r="F28" s="11">
        <v>19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7" t="s">
        <v>399</v>
      </c>
      <c r="D29" s="11">
        <v>20</v>
      </c>
      <c r="E29" s="1" t="s">
        <v>12</v>
      </c>
      <c r="F29" s="11">
        <v>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7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7" t="s">
        <v>399</v>
      </c>
      <c r="D31" s="11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7" t="s">
        <v>399</v>
      </c>
      <c r="D32" s="11">
        <v>15</v>
      </c>
      <c r="E32" s="1" t="s">
        <v>15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7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7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7" t="s">
        <v>399</v>
      </c>
      <c r="D35" s="11">
        <v>10</v>
      </c>
      <c r="E35" s="1" t="s">
        <v>18</v>
      </c>
      <c r="F35" s="11">
        <v>1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1" t="s">
        <v>19</v>
      </c>
      <c r="C36" s="17" t="s">
        <v>399</v>
      </c>
      <c r="D36" s="45">
        <v>20</v>
      </c>
      <c r="E36" s="1" t="s">
        <v>19</v>
      </c>
      <c r="F36" s="11">
        <v>16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7" t="s">
        <v>399</v>
      </c>
      <c r="D37" s="11">
        <v>36</v>
      </c>
      <c r="E37" s="1" t="s">
        <v>113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7" t="s">
        <v>399</v>
      </c>
      <c r="D38" s="11">
        <v>30</v>
      </c>
      <c r="E38" s="1" t="s">
        <v>114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7" t="s">
        <v>399</v>
      </c>
      <c r="D39" s="11">
        <v>30</v>
      </c>
      <c r="E39" s="1" t="s">
        <v>115</v>
      </c>
      <c r="F39" s="11">
        <v>9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7" t="s">
        <v>399</v>
      </c>
      <c r="D40" s="11">
        <v>70</v>
      </c>
      <c r="E40" s="1" t="s">
        <v>116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7" t="s">
        <v>399</v>
      </c>
      <c r="D41" s="11">
        <v>100</v>
      </c>
      <c r="E41" s="1" t="s">
        <v>117</v>
      </c>
      <c r="F41" s="11">
        <v>70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7" t="s">
        <v>399</v>
      </c>
      <c r="D42" s="11">
        <v>30</v>
      </c>
      <c r="E42" s="1" t="s">
        <v>118</v>
      </c>
      <c r="F42" s="11">
        <v>16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7" t="s">
        <v>399</v>
      </c>
      <c r="D43" s="11">
        <v>40</v>
      </c>
      <c r="E43" s="1" t="s">
        <v>119</v>
      </c>
      <c r="F43" s="11">
        <v>23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7" t="s">
        <v>399</v>
      </c>
      <c r="D44" s="11">
        <v>2</v>
      </c>
      <c r="E44" s="1" t="s">
        <v>120</v>
      </c>
      <c r="F44" s="11">
        <v>1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7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7" t="s">
        <v>399</v>
      </c>
      <c r="D46" s="11">
        <v>10</v>
      </c>
      <c r="E46" s="1" t="s">
        <v>122</v>
      </c>
      <c r="F46" s="11">
        <v>5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7" t="s">
        <v>399</v>
      </c>
      <c r="D47" s="11">
        <v>50</v>
      </c>
      <c r="E47" s="1" t="s">
        <v>123</v>
      </c>
      <c r="F47" s="11">
        <v>25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7" t="s">
        <v>399</v>
      </c>
      <c r="D48" s="11">
        <v>20</v>
      </c>
      <c r="E48" s="1" t="s">
        <v>124</v>
      </c>
      <c r="F48" s="11">
        <v>15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7" t="s">
        <v>399</v>
      </c>
      <c r="D49" s="11">
        <v>10</v>
      </c>
      <c r="E49" s="1" t="s">
        <v>125</v>
      </c>
      <c r="F49" s="11">
        <v>6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7" t="s">
        <v>399</v>
      </c>
      <c r="D50" s="11">
        <v>100</v>
      </c>
      <c r="E50" s="1" t="s">
        <v>126</v>
      </c>
      <c r="F50" s="11">
        <v>74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7" t="s">
        <v>399</v>
      </c>
      <c r="D51" s="11">
        <v>10</v>
      </c>
      <c r="E51" s="1" t="s">
        <v>127</v>
      </c>
      <c r="F51" s="11">
        <v>7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7" t="s">
        <v>399</v>
      </c>
      <c r="D52" s="11">
        <v>100</v>
      </c>
      <c r="E52" s="1" t="s">
        <v>128</v>
      </c>
      <c r="F52" s="11">
        <v>64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7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7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7" t="s">
        <v>399</v>
      </c>
      <c r="D55" s="11">
        <v>128</v>
      </c>
      <c r="E55" s="1" t="s">
        <v>131</v>
      </c>
      <c r="F55" s="11">
        <v>54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7" t="s">
        <v>399</v>
      </c>
      <c r="D56" s="11">
        <v>128</v>
      </c>
      <c r="E56" s="1" t="s">
        <v>132</v>
      </c>
      <c r="F56" s="11">
        <v>55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7" t="s">
        <v>399</v>
      </c>
      <c r="D57" s="11">
        <v>32</v>
      </c>
      <c r="E57" s="1" t="s">
        <v>133</v>
      </c>
      <c r="F57" s="11">
        <v>22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7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1" t="s">
        <v>135</v>
      </c>
      <c r="C59" s="17" t="s">
        <v>399</v>
      </c>
      <c r="D59" s="56">
        <v>12</v>
      </c>
      <c r="E59" s="1" t="s">
        <v>135</v>
      </c>
      <c r="F59" s="11">
        <v>12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7" t="s">
        <v>399</v>
      </c>
      <c r="D60" s="11">
        <v>10</v>
      </c>
      <c r="E60" s="1" t="s">
        <v>136</v>
      </c>
      <c r="F60" s="11">
        <v>5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7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7" t="s">
        <v>399</v>
      </c>
      <c r="D62" s="11">
        <v>30</v>
      </c>
      <c r="E62" s="1" t="s">
        <v>46</v>
      </c>
      <c r="F62" s="11">
        <v>9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7" t="s">
        <v>399</v>
      </c>
      <c r="D63" s="11">
        <v>100</v>
      </c>
      <c r="E63" s="1" t="s">
        <v>47</v>
      </c>
      <c r="F63" s="11">
        <v>33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7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7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7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7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7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7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7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7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7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7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7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7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7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7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7" t="s">
        <v>399</v>
      </c>
      <c r="D78" s="11">
        <v>30</v>
      </c>
      <c r="E78" s="1" t="s">
        <v>150</v>
      </c>
      <c r="F78" s="11">
        <v>8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7" t="s">
        <v>399</v>
      </c>
      <c r="D79" s="11">
        <v>100</v>
      </c>
      <c r="E79" s="1" t="s">
        <v>151</v>
      </c>
      <c r="F79" s="11">
        <v>60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7" t="s">
        <v>399</v>
      </c>
      <c r="D80" s="11">
        <v>30</v>
      </c>
      <c r="E80" s="1" t="s">
        <v>152</v>
      </c>
      <c r="F80" s="11">
        <v>8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7" t="s">
        <v>399</v>
      </c>
      <c r="D81" s="11">
        <v>100</v>
      </c>
      <c r="E81" s="1" t="s">
        <v>153</v>
      </c>
      <c r="F81" s="11">
        <v>60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7" t="s">
        <v>399</v>
      </c>
      <c r="D82" s="11">
        <v>30</v>
      </c>
      <c r="E82" s="1" t="s">
        <v>154</v>
      </c>
      <c r="F82" s="11">
        <v>8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7" t="s">
        <v>399</v>
      </c>
      <c r="D83" s="11">
        <v>100</v>
      </c>
      <c r="E83" s="1" t="s">
        <v>155</v>
      </c>
      <c r="F83" s="11">
        <v>60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7" t="s">
        <v>399</v>
      </c>
      <c r="D84" s="11">
        <v>30</v>
      </c>
      <c r="E84" s="1" t="s">
        <v>156</v>
      </c>
      <c r="F84" s="11">
        <v>8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7" t="s">
        <v>399</v>
      </c>
      <c r="D85" s="11">
        <v>100</v>
      </c>
      <c r="E85" s="1" t="s">
        <v>157</v>
      </c>
      <c r="F85" s="11">
        <v>60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7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7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7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7" t="s">
        <v>399</v>
      </c>
      <c r="D89" s="11">
        <v>5</v>
      </c>
      <c r="E89" s="1" t="s">
        <v>161</v>
      </c>
      <c r="F89" s="11">
        <v>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7" t="s">
        <v>399</v>
      </c>
      <c r="D90" s="11">
        <v>100</v>
      </c>
      <c r="E90" s="1" t="s">
        <v>162</v>
      </c>
      <c r="F90" s="11">
        <v>60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7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7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7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7" t="s">
        <v>399</v>
      </c>
      <c r="D94" s="11">
        <v>100</v>
      </c>
      <c r="E94" s="1" t="s">
        <v>166</v>
      </c>
      <c r="F94" s="11">
        <v>24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1" t="s">
        <v>167</v>
      </c>
      <c r="C95" s="17" t="s">
        <v>399</v>
      </c>
      <c r="D95" s="11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7" t="s">
        <v>399</v>
      </c>
      <c r="D96" s="11">
        <v>100</v>
      </c>
      <c r="E96" s="1" t="s">
        <v>168</v>
      </c>
      <c r="F96" s="11">
        <v>24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7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7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7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7" t="s">
        <v>399</v>
      </c>
      <c r="D100" s="11">
        <v>100</v>
      </c>
      <c r="E100" s="1" t="s">
        <v>172</v>
      </c>
      <c r="F100" s="11">
        <v>67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7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1" t="s">
        <v>174</v>
      </c>
      <c r="C102" s="17" t="s">
        <v>399</v>
      </c>
      <c r="D102" s="11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7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7" t="s">
        <v>399</v>
      </c>
      <c r="D104" s="11">
        <v>100</v>
      </c>
      <c r="E104" s="1" t="s">
        <v>176</v>
      </c>
      <c r="F104" s="11">
        <v>2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7" t="s">
        <v>399</v>
      </c>
      <c r="D105" s="11">
        <v>8</v>
      </c>
      <c r="E105" s="1" t="s">
        <v>177</v>
      </c>
      <c r="F105" s="11">
        <v>2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7" t="s">
        <v>399</v>
      </c>
      <c r="D106" s="11">
        <v>100</v>
      </c>
      <c r="E106" s="1" t="s">
        <v>178</v>
      </c>
      <c r="F106" s="11">
        <v>2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7" t="s">
        <v>399</v>
      </c>
      <c r="D107" s="11">
        <v>8</v>
      </c>
      <c r="E107" s="1" t="s">
        <v>179</v>
      </c>
      <c r="F107" s="11">
        <v>2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7" t="s">
        <v>399</v>
      </c>
      <c r="D108" s="11">
        <v>100</v>
      </c>
      <c r="E108" s="1" t="s">
        <v>180</v>
      </c>
      <c r="F108" s="11">
        <v>2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7" t="s">
        <v>399</v>
      </c>
      <c r="D109" s="11">
        <v>5</v>
      </c>
      <c r="E109" s="33" t="s">
        <v>181</v>
      </c>
      <c r="F109" s="11">
        <v>2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7" t="s">
        <v>399</v>
      </c>
      <c r="D110" s="11">
        <v>100</v>
      </c>
      <c r="E110" s="1" t="s">
        <v>182</v>
      </c>
      <c r="F110" s="11">
        <v>26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7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31" t="s">
        <v>184</v>
      </c>
      <c r="C112" s="17" t="s">
        <v>399</v>
      </c>
      <c r="D112" s="11">
        <v>200</v>
      </c>
      <c r="E112" s="31" t="s">
        <v>184</v>
      </c>
      <c r="F112" s="11">
        <v>119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7" t="s">
        <v>398</v>
      </c>
      <c r="D113" s="11"/>
      <c r="E113" s="1" t="s">
        <v>185</v>
      </c>
      <c r="F113" s="11">
        <v>4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7" t="s">
        <v>398</v>
      </c>
      <c r="D114" s="11"/>
      <c r="E114" s="1" t="s">
        <v>186</v>
      </c>
      <c r="F114" s="11">
        <v>1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7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7" t="s">
        <v>399</v>
      </c>
      <c r="D116" s="11">
        <v>6</v>
      </c>
      <c r="E116" s="1" t="s">
        <v>188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7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7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7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7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7" t="s">
        <v>399</v>
      </c>
      <c r="D121" s="11">
        <v>10</v>
      </c>
      <c r="E121" s="1" t="s">
        <v>193</v>
      </c>
      <c r="F121" s="11">
        <v>3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7" t="s">
        <v>399</v>
      </c>
      <c r="D122" s="11">
        <v>100</v>
      </c>
      <c r="E122" s="1" t="s">
        <v>194</v>
      </c>
      <c r="F122" s="11">
        <v>3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7" t="s">
        <v>405</v>
      </c>
      <c r="D123" s="11" t="s">
        <v>456</v>
      </c>
      <c r="E123" s="1" t="s">
        <v>195</v>
      </c>
      <c r="F123" s="11">
        <v>9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7" t="s">
        <v>405</v>
      </c>
      <c r="D124" s="11" t="s">
        <v>456</v>
      </c>
      <c r="E124" s="1" t="s">
        <v>196</v>
      </c>
      <c r="F124" s="11">
        <v>9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7" t="s">
        <v>405</v>
      </c>
      <c r="D125" s="11" t="s">
        <v>456</v>
      </c>
      <c r="E125" s="1" t="s">
        <v>197</v>
      </c>
      <c r="F125" s="11">
        <v>9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7" t="s">
        <v>405</v>
      </c>
      <c r="D126" s="11" t="s">
        <v>456</v>
      </c>
      <c r="E126" s="1" t="s">
        <v>198</v>
      </c>
      <c r="F126" s="11">
        <v>8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7" t="s">
        <v>405</v>
      </c>
      <c r="D127" s="11" t="s">
        <v>457</v>
      </c>
      <c r="E127" s="1" t="s">
        <v>199</v>
      </c>
      <c r="F127" s="11">
        <v>7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7" t="s">
        <v>405</v>
      </c>
      <c r="D128" s="11" t="s">
        <v>456</v>
      </c>
      <c r="E128" s="1" t="s">
        <v>200</v>
      </c>
      <c r="F128" s="11">
        <v>9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7" t="s">
        <v>405</v>
      </c>
      <c r="D129" s="11" t="s">
        <v>456</v>
      </c>
      <c r="E129" s="1" t="s">
        <v>201</v>
      </c>
      <c r="F129" s="11">
        <v>8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7" t="s">
        <v>405</v>
      </c>
      <c r="D130" s="11" t="s">
        <v>298</v>
      </c>
      <c r="E130" s="1" t="s">
        <v>202</v>
      </c>
      <c r="F130" s="11">
        <v>9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7" t="s">
        <v>405</v>
      </c>
      <c r="D131" s="11" t="s">
        <v>456</v>
      </c>
      <c r="E131" s="1" t="s">
        <v>203</v>
      </c>
      <c r="F131" s="11">
        <v>4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7" t="s">
        <v>405</v>
      </c>
      <c r="D132" s="11" t="s">
        <v>456</v>
      </c>
      <c r="E132" s="1" t="s">
        <v>204</v>
      </c>
      <c r="F132" s="11">
        <v>4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7" t="s">
        <v>405</v>
      </c>
      <c r="D133" s="11" t="s">
        <v>456</v>
      </c>
      <c r="E133" s="1" t="s">
        <v>205</v>
      </c>
      <c r="F133" s="11">
        <v>9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7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7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7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7" t="s">
        <v>399</v>
      </c>
      <c r="D137" s="11">
        <v>8</v>
      </c>
      <c r="E137" s="1" t="s">
        <v>209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7" t="s">
        <v>399</v>
      </c>
      <c r="D138" s="11">
        <v>50</v>
      </c>
      <c r="E138" s="1" t="s">
        <v>210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7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7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7" t="s">
        <v>399</v>
      </c>
      <c r="D141" s="45">
        <v>3</v>
      </c>
      <c r="E141" s="1" t="s">
        <v>211</v>
      </c>
      <c r="F141" s="11">
        <v>3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7" t="s">
        <v>399</v>
      </c>
      <c r="D142" s="11">
        <v>100</v>
      </c>
      <c r="E142" s="1" t="s">
        <v>212</v>
      </c>
      <c r="F142" s="11">
        <v>97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7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7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7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7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7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7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7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7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7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7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7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7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7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7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7" t="s">
        <v>399</v>
      </c>
      <c r="D157" s="11">
        <v>100</v>
      </c>
      <c r="E157" s="1" t="s">
        <v>65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7" t="s">
        <v>399</v>
      </c>
      <c r="D158" s="11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7" t="s">
        <v>399</v>
      </c>
      <c r="D159" s="11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7" t="s">
        <v>399</v>
      </c>
      <c r="D160" s="11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7" t="s">
        <v>399</v>
      </c>
      <c r="D161" s="11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7" t="s">
        <v>399</v>
      </c>
      <c r="D162" s="11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1" t="s">
        <v>88</v>
      </c>
      <c r="C163" s="17" t="s">
        <v>399</v>
      </c>
      <c r="D163" s="11">
        <v>20</v>
      </c>
      <c r="E163" s="1" t="s">
        <v>88</v>
      </c>
      <c r="F163" s="11">
        <v>5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7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7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7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7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7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7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7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7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7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7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7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7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7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7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7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7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7" t="s">
        <v>399</v>
      </c>
      <c r="D180" s="11">
        <v>100</v>
      </c>
      <c r="E180" s="1" t="s">
        <v>227</v>
      </c>
      <c r="F180" s="11">
        <v>44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7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7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7" t="s">
        <v>399</v>
      </c>
      <c r="D183" s="11">
        <v>100</v>
      </c>
      <c r="E183" s="1" t="s">
        <v>230</v>
      </c>
      <c r="F183" s="11">
        <v>11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7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7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7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7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7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7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7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7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7" t="s">
        <v>399</v>
      </c>
      <c r="D192" s="11">
        <v>100</v>
      </c>
      <c r="E192" s="1" t="s">
        <v>239</v>
      </c>
      <c r="F192" s="11">
        <v>40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7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7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7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7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7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7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7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7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7" t="s">
        <v>399</v>
      </c>
      <c r="D201" s="11">
        <v>100</v>
      </c>
      <c r="E201" s="1" t="s">
        <v>248</v>
      </c>
      <c r="F201" s="11">
        <v>6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7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7" t="s">
        <v>399</v>
      </c>
      <c r="D203" s="11">
        <v>100</v>
      </c>
      <c r="E203" s="1" t="s">
        <v>250</v>
      </c>
      <c r="F203" s="11">
        <v>6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7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7" t="s">
        <v>399</v>
      </c>
      <c r="D205" s="11">
        <v>100</v>
      </c>
      <c r="E205" s="1" t="s">
        <v>252</v>
      </c>
      <c r="F205" s="11">
        <v>6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7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7" t="s">
        <v>399</v>
      </c>
      <c r="D207" s="11">
        <v>100</v>
      </c>
      <c r="E207" s="1" t="s">
        <v>254</v>
      </c>
      <c r="F207" s="11">
        <v>6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7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7" t="s">
        <v>399</v>
      </c>
      <c r="D209" s="11">
        <v>100</v>
      </c>
      <c r="E209" s="1" t="s">
        <v>256</v>
      </c>
      <c r="F209" s="11">
        <v>6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7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7" t="s">
        <v>399</v>
      </c>
      <c r="D211" s="11">
        <v>100</v>
      </c>
      <c r="E211" s="1" t="s">
        <v>258</v>
      </c>
      <c r="F211" s="11">
        <v>6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7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7" t="s">
        <v>399</v>
      </c>
      <c r="D213" s="11">
        <v>100</v>
      </c>
      <c r="E213" s="1" t="s">
        <v>260</v>
      </c>
      <c r="F213" s="11">
        <v>6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7" t="s">
        <v>399</v>
      </c>
      <c r="D214" s="11">
        <v>100</v>
      </c>
      <c r="E214" s="1" t="s">
        <v>261</v>
      </c>
      <c r="F214" s="11">
        <v>40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7" t="s">
        <v>399</v>
      </c>
      <c r="D215" s="11">
        <v>100</v>
      </c>
      <c r="E215" s="1" t="s">
        <v>262</v>
      </c>
      <c r="F215" s="11">
        <v>6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7" t="s">
        <v>399</v>
      </c>
      <c r="D216" s="11">
        <v>100</v>
      </c>
      <c r="E216" s="1" t="s">
        <v>263</v>
      </c>
      <c r="F216" s="11">
        <v>29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7" t="s">
        <v>399</v>
      </c>
      <c r="D217" s="11">
        <v>100</v>
      </c>
      <c r="E217" s="1" t="s">
        <v>264</v>
      </c>
      <c r="F217" s="11">
        <v>6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7" t="s">
        <v>399</v>
      </c>
      <c r="D218" s="11">
        <v>100</v>
      </c>
      <c r="E218" s="1" t="s">
        <v>265</v>
      </c>
      <c r="F218" s="11">
        <v>40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7" t="s">
        <v>399</v>
      </c>
      <c r="D219" s="11">
        <v>100</v>
      </c>
      <c r="E219" s="1" t="s">
        <v>266</v>
      </c>
      <c r="F219" s="11">
        <v>6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7" t="s">
        <v>399</v>
      </c>
      <c r="D220" s="11">
        <v>100</v>
      </c>
      <c r="E220" s="1" t="s">
        <v>267</v>
      </c>
      <c r="F220" s="11">
        <v>29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7" t="s">
        <v>399</v>
      </c>
      <c r="D221" s="11">
        <v>100</v>
      </c>
      <c r="E221" s="1" t="s">
        <v>268</v>
      </c>
      <c r="F221" s="11">
        <v>6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7" t="s">
        <v>399</v>
      </c>
      <c r="D222" s="11">
        <v>100</v>
      </c>
      <c r="E222" s="1" t="s">
        <v>269</v>
      </c>
      <c r="F222" s="11">
        <v>40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7" t="s">
        <v>399</v>
      </c>
      <c r="D223" s="11">
        <v>100</v>
      </c>
      <c r="E223" s="1" t="s">
        <v>270</v>
      </c>
      <c r="F223" s="11">
        <v>6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7" t="s">
        <v>399</v>
      </c>
      <c r="D224" s="11">
        <v>100</v>
      </c>
      <c r="E224" s="1" t="s">
        <v>271</v>
      </c>
      <c r="F224" s="11">
        <v>29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7" t="s">
        <v>399</v>
      </c>
      <c r="D225" s="11">
        <v>100</v>
      </c>
      <c r="E225" s="1" t="s">
        <v>272</v>
      </c>
      <c r="F225" s="11">
        <v>6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7" t="s">
        <v>399</v>
      </c>
      <c r="D226" s="11">
        <v>100</v>
      </c>
      <c r="E226" s="1" t="s">
        <v>273</v>
      </c>
      <c r="F226" s="11">
        <v>40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7" t="s">
        <v>399</v>
      </c>
      <c r="D227" s="11">
        <v>100</v>
      </c>
      <c r="E227" s="1" t="s">
        <v>274</v>
      </c>
      <c r="F227" s="11">
        <v>6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7" t="s">
        <v>399</v>
      </c>
      <c r="D228" s="11">
        <v>100</v>
      </c>
      <c r="E228" s="1" t="s">
        <v>275</v>
      </c>
      <c r="F228" s="11">
        <v>29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1" t="s">
        <v>279</v>
      </c>
      <c r="C229" s="17" t="s">
        <v>399</v>
      </c>
      <c r="D229" s="11">
        <v>11</v>
      </c>
      <c r="E229" s="1" t="s">
        <v>279</v>
      </c>
      <c r="F229" s="11">
        <v>3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7" t="s">
        <v>399</v>
      </c>
      <c r="D230" s="11">
        <v>100</v>
      </c>
      <c r="E230" s="1" t="s">
        <v>280</v>
      </c>
      <c r="F230" s="11">
        <v>12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7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7" t="s">
        <v>399</v>
      </c>
      <c r="D232" s="11">
        <v>100</v>
      </c>
      <c r="E232" s="1" t="s">
        <v>291</v>
      </c>
      <c r="F232" s="11">
        <v>3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7" t="s">
        <v>399</v>
      </c>
      <c r="D233" s="11">
        <v>100</v>
      </c>
      <c r="E233" s="1" t="s">
        <v>292</v>
      </c>
      <c r="F233" s="11">
        <v>25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7" t="s">
        <v>399</v>
      </c>
      <c r="D234" s="11">
        <v>100</v>
      </c>
      <c r="E234" s="1" t="s">
        <v>293</v>
      </c>
      <c r="F234" s="11">
        <v>52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7" t="s">
        <v>399</v>
      </c>
      <c r="D235" s="11">
        <v>100</v>
      </c>
      <c r="E235" s="1" t="s">
        <v>276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7" t="s">
        <v>399</v>
      </c>
      <c r="D236" s="11">
        <v>100</v>
      </c>
      <c r="E236" s="1" t="s">
        <v>277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7" t="s">
        <v>399</v>
      </c>
      <c r="D237" s="11">
        <v>100</v>
      </c>
      <c r="E237" s="1" t="s">
        <v>278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7" t="s">
        <v>399</v>
      </c>
      <c r="D238" s="11">
        <v>100</v>
      </c>
      <c r="E238" s="1" t="s">
        <v>282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7" t="s">
        <v>399</v>
      </c>
      <c r="D239" s="11">
        <v>100</v>
      </c>
      <c r="E239" s="1" t="s">
        <v>283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7" t="s">
        <v>399</v>
      </c>
      <c r="D240" s="11">
        <v>100</v>
      </c>
      <c r="E240" s="1" t="s">
        <v>284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7" t="s">
        <v>399</v>
      </c>
      <c r="D241" s="11">
        <v>100</v>
      </c>
      <c r="E241" s="1" t="s">
        <v>285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7" t="s">
        <v>399</v>
      </c>
      <c r="D242" s="11">
        <v>100</v>
      </c>
      <c r="E242" s="1" t="s">
        <v>286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7" t="s">
        <v>399</v>
      </c>
      <c r="D243" s="11">
        <v>100</v>
      </c>
      <c r="E243" s="1" t="s">
        <v>287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7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7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7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7" t="s">
        <v>399</v>
      </c>
      <c r="D247" s="11">
        <v>100</v>
      </c>
      <c r="E247" s="1" t="s">
        <v>410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7" t="s">
        <v>399</v>
      </c>
      <c r="D248" s="11">
        <v>100</v>
      </c>
      <c r="E248" s="1" t="s">
        <v>411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7" t="s">
        <v>399</v>
      </c>
      <c r="D249" s="11">
        <v>100</v>
      </c>
      <c r="E249" s="1" t="s">
        <v>412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7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7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7" t="s">
        <v>399</v>
      </c>
      <c r="D252" s="11">
        <v>255</v>
      </c>
      <c r="E252" s="1" t="s">
        <v>86</v>
      </c>
      <c r="F252" s="11">
        <v>81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7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7" t="s">
        <v>398</v>
      </c>
      <c r="D254" s="11"/>
      <c r="E254" s="1" t="s">
        <v>296</v>
      </c>
      <c r="F254" s="11">
        <v>5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7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7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0" t="s">
        <v>436</v>
      </c>
      <c r="C257" s="30" t="s">
        <v>458</v>
      </c>
      <c r="D257" s="11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0" t="s">
        <v>437</v>
      </c>
      <c r="C258" s="30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0" t="s">
        <v>438</v>
      </c>
      <c r="C259" s="30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0" t="s">
        <v>439</v>
      </c>
      <c r="C260" s="30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0" t="s">
        <v>440</v>
      </c>
      <c r="C261" s="30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0" t="s">
        <v>441</v>
      </c>
      <c r="C262" s="30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0" t="s">
        <v>442</v>
      </c>
      <c r="C263" s="30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0" t="s">
        <v>443</v>
      </c>
      <c r="C264" s="30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0" t="s">
        <v>444</v>
      </c>
      <c r="C265" s="30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0" t="s">
        <v>445</v>
      </c>
      <c r="C266" s="30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0" t="s">
        <v>446</v>
      </c>
      <c r="C267" s="30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0" t="s">
        <v>447</v>
      </c>
      <c r="C268" s="30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0" t="s">
        <v>448</v>
      </c>
      <c r="C269" s="30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0" t="s">
        <v>449</v>
      </c>
      <c r="C270" s="30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0" t="s">
        <v>450</v>
      </c>
      <c r="C271" s="30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0" t="s">
        <v>451</v>
      </c>
      <c r="C272" s="30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0" t="s">
        <v>452</v>
      </c>
      <c r="C273" s="30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0" t="s">
        <v>453</v>
      </c>
      <c r="C274" s="30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0" t="s">
        <v>454</v>
      </c>
      <c r="C275" s="30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0" t="s">
        <v>455</v>
      </c>
      <c r="C276" s="30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3" priority="123" operator="equal">
      <formula>"Fail"</formula>
    </cfRule>
    <cfRule type="cellIs" dxfId="122" priority="124" operator="equal">
      <formula>"Pass"</formula>
    </cfRule>
  </conditionalFormatting>
  <conditionalFormatting sqref="N6:N7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M6:M8">
    <cfRule type="cellIs" dxfId="119" priority="1" operator="equal">
      <formula>"Fail"</formula>
    </cfRule>
    <cfRule type="cellIs" dxfId="118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M12" sqref="M12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7" t="s">
        <v>83</v>
      </c>
      <c r="C2" s="47" t="s">
        <v>398</v>
      </c>
      <c r="D2" s="11" t="s">
        <v>476</v>
      </c>
      <c r="E2" s="47" t="s">
        <v>83</v>
      </c>
      <c r="F2" s="11">
        <v>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394</v>
      </c>
      <c r="M2" s="20" t="s">
        <v>395</v>
      </c>
      <c r="N2" s="20" t="s">
        <v>396</v>
      </c>
    </row>
    <row r="3" spans="2:15" x14ac:dyDescent="0.25">
      <c r="B3" s="47" t="s">
        <v>84</v>
      </c>
      <c r="C3" s="47" t="s">
        <v>399</v>
      </c>
      <c r="D3" s="11">
        <v>50</v>
      </c>
      <c r="E3" s="47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19">
        <v>0</v>
      </c>
      <c r="M3" s="19"/>
      <c r="N3" s="22">
        <f>L3-M3</f>
        <v>0</v>
      </c>
    </row>
    <row r="4" spans="2:15" x14ac:dyDescent="0.25">
      <c r="B4" s="47" t="s">
        <v>85</v>
      </c>
      <c r="C4" s="47" t="s">
        <v>399</v>
      </c>
      <c r="D4" s="11">
        <v>50</v>
      </c>
      <c r="E4" s="47" t="s">
        <v>85</v>
      </c>
      <c r="F4" s="1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0" t="s">
        <v>468</v>
      </c>
      <c r="M4" s="19"/>
      <c r="N4" s="22">
        <f>L3-M4</f>
        <v>0</v>
      </c>
    </row>
    <row r="5" spans="2:15" x14ac:dyDescent="0.25">
      <c r="B5" s="47" t="s">
        <v>71</v>
      </c>
      <c r="C5" s="47" t="s">
        <v>399</v>
      </c>
      <c r="D5" s="11">
        <v>50</v>
      </c>
      <c r="E5" s="47" t="s">
        <v>71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 x14ac:dyDescent="0.25">
      <c r="B6" s="47" t="s">
        <v>0</v>
      </c>
      <c r="C6" s="47" t="s">
        <v>399</v>
      </c>
      <c r="D6" s="11">
        <v>20</v>
      </c>
      <c r="E6" s="47" t="s">
        <v>0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403</v>
      </c>
      <c r="M6" s="48" t="s">
        <v>401</v>
      </c>
      <c r="N6" s="41"/>
    </row>
    <row r="7" spans="2:15" x14ac:dyDescent="0.25">
      <c r="B7" s="47" t="s">
        <v>493</v>
      </c>
      <c r="C7" s="47" t="s">
        <v>399</v>
      </c>
      <c r="D7" s="11">
        <v>50</v>
      </c>
      <c r="E7" s="47" t="s">
        <v>493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3" t="s">
        <v>81</v>
      </c>
      <c r="M7" s="11" t="str">
        <f>IF(ISERROR(VLOOKUP($O$1,$G$2:$G$12,1,)),"Pass","Fail")</f>
        <v>Pass</v>
      </c>
      <c r="N7" s="37"/>
    </row>
    <row r="8" spans="2:15" x14ac:dyDescent="0.25">
      <c r="B8" s="47" t="s">
        <v>494</v>
      </c>
      <c r="C8" s="47" t="s">
        <v>399</v>
      </c>
      <c r="D8" s="11">
        <v>20</v>
      </c>
      <c r="E8" s="47" t="s">
        <v>494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3" t="s">
        <v>402</v>
      </c>
      <c r="M8" s="11" t="str">
        <f>IF(ISERROR(VLOOKUP($O$1,$H$2:$H$12,1,)),"Pass","Fail")</f>
        <v>Pass</v>
      </c>
      <c r="N8" s="37"/>
    </row>
    <row r="9" spans="2:15" x14ac:dyDescent="0.25">
      <c r="B9" s="47" t="s">
        <v>495</v>
      </c>
      <c r="C9" s="47" t="s">
        <v>400</v>
      </c>
      <c r="D9" s="11">
        <v>50</v>
      </c>
      <c r="E9" s="47" t="s">
        <v>495</v>
      </c>
      <c r="F9" s="11">
        <v>0</v>
      </c>
      <c r="G9" s="11" t="str">
        <f t="shared" si="0"/>
        <v>Pass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3" t="s">
        <v>465</v>
      </c>
      <c r="M9" s="11" t="str">
        <f>IF(N3=0,"Pass","Fail")</f>
        <v>Pass</v>
      </c>
    </row>
    <row r="10" spans="2:15" x14ac:dyDescent="0.25">
      <c r="B10" s="47" t="s">
        <v>496</v>
      </c>
      <c r="C10" s="47" t="s">
        <v>400</v>
      </c>
      <c r="D10" s="11">
        <v>20</v>
      </c>
      <c r="E10" s="47" t="s">
        <v>496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3" t="s">
        <v>467</v>
      </c>
      <c r="M10" s="40">
        <f>IF(M4=0,0%,N4/M4)</f>
        <v>0</v>
      </c>
    </row>
    <row r="11" spans="2:15" x14ac:dyDescent="0.25">
      <c r="B11" s="47" t="s">
        <v>497</v>
      </c>
      <c r="C11" s="47"/>
      <c r="D11" s="47" t="s">
        <v>476</v>
      </c>
      <c r="E11" s="47" t="s">
        <v>497</v>
      </c>
      <c r="F11" s="11">
        <v>0</v>
      </c>
      <c r="G11" s="11" t="str">
        <f t="shared" ref="G11:G12" si="4">IF(I11=J11,"Pass","Fail")</f>
        <v>Pass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3" t="s">
        <v>466</v>
      </c>
      <c r="M11" s="40">
        <f>File_Size_Comparision!F9</f>
        <v>0</v>
      </c>
    </row>
    <row r="12" spans="2:15" x14ac:dyDescent="0.25">
      <c r="B12" s="47" t="s">
        <v>498</v>
      </c>
      <c r="C12" s="47"/>
      <c r="D12" s="47" t="s">
        <v>476</v>
      </c>
      <c r="E12" s="47" t="s">
        <v>498</v>
      </c>
      <c r="F12" s="11">
        <v>0</v>
      </c>
      <c r="G12" s="11" t="str">
        <f t="shared" si="4"/>
        <v>Pass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 x14ac:dyDescent="0.25">
      <c r="N13" s="43"/>
    </row>
  </sheetData>
  <conditionalFormatting sqref="G2:H12">
    <cfRule type="cellIs" dxfId="117" priority="21" operator="equal">
      <formula>"Fail"</formula>
    </cfRule>
    <cfRule type="cellIs" dxfId="116" priority="22" operator="equal">
      <formula>"Pass"</formula>
    </cfRule>
  </conditionalFormatting>
  <conditionalFormatting sqref="H2:H12">
    <cfRule type="cellIs" dxfId="115" priority="19" operator="equal">
      <formula>"Fail"</formula>
    </cfRule>
    <cfRule type="cellIs" dxfId="114" priority="20" operator="equal">
      <formula>"Pass"</formula>
    </cfRule>
  </conditionalFormatting>
  <conditionalFormatting sqref="H2:H12">
    <cfRule type="cellIs" dxfId="113" priority="17" operator="equal">
      <formula>"Fail"</formula>
    </cfRule>
    <cfRule type="cellIs" dxfId="112" priority="18" operator="equal">
      <formula>"Pass"</formula>
    </cfRule>
  </conditionalFormatting>
  <conditionalFormatting sqref="H2:H12">
    <cfRule type="cellIs" dxfId="111" priority="15" operator="equal">
      <formula>"Fail"</formula>
    </cfRule>
    <cfRule type="cellIs" dxfId="110" priority="16" operator="equal">
      <formula>"Pass"</formula>
    </cfRule>
  </conditionalFormatting>
  <conditionalFormatting sqref="H2:H12">
    <cfRule type="cellIs" dxfId="109" priority="13" operator="equal">
      <formula>"Fail"</formula>
    </cfRule>
    <cfRule type="cellIs" dxfId="108" priority="14" operator="equal">
      <formula>"Pass"</formula>
    </cfRule>
  </conditionalFormatting>
  <conditionalFormatting sqref="H2:H12">
    <cfRule type="cellIs" dxfId="107" priority="11" operator="equal">
      <formula>"Fail"</formula>
    </cfRule>
    <cfRule type="cellIs" dxfId="106" priority="12" operator="equal">
      <formula>"Pass"</formula>
    </cfRule>
  </conditionalFormatting>
  <conditionalFormatting sqref="H2:H12">
    <cfRule type="cellIs" dxfId="105" priority="9" operator="equal">
      <formula>"Fail"</formula>
    </cfRule>
    <cfRule type="cellIs" dxfId="104" priority="10" operator="equal">
      <formula>"Pass"</formula>
    </cfRule>
  </conditionalFormatting>
  <conditionalFormatting sqref="N7:N8">
    <cfRule type="cellIs" dxfId="103" priority="5" operator="equal">
      <formula>"Fail"</formula>
    </cfRule>
    <cfRule type="cellIs" dxfId="102" priority="6" operator="equal">
      <formula>"Pass"</formula>
    </cfRule>
  </conditionalFormatting>
  <conditionalFormatting sqref="M7:M9">
    <cfRule type="cellIs" dxfId="101" priority="1" operator="equal">
      <formula>"Fail"</formula>
    </cfRule>
    <cfRule type="cellIs" dxfId="10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M10" sqref="M10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5674</v>
      </c>
      <c r="M3" s="19">
        <v>5662</v>
      </c>
      <c r="N3" s="22">
        <f>L3-M3</f>
        <v>12</v>
      </c>
    </row>
    <row r="4" spans="2:15" x14ac:dyDescent="0.2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2" t="str">
        <f>IF(ISERROR(VLOOKUP($O$1,$G$2:$G$10,1,)),"Pass","Fail")</f>
        <v>Pass</v>
      </c>
    </row>
    <row r="7" spans="2:15" x14ac:dyDescent="0.25">
      <c r="B7" s="1" t="s">
        <v>299</v>
      </c>
      <c r="C7" s="17" t="s">
        <v>399</v>
      </c>
      <c r="D7" s="11">
        <v>100</v>
      </c>
      <c r="E7" s="1" t="s">
        <v>299</v>
      </c>
      <c r="F7" s="11">
        <v>54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2" t="str">
        <f>IF(ISERROR(VLOOKUP($O$1,$H$2:$H$10,1,)),"Pass","Fail")</f>
        <v>Pass</v>
      </c>
    </row>
    <row r="8" spans="2:15" x14ac:dyDescent="0.25">
      <c r="B8" s="1" t="s">
        <v>300</v>
      </c>
      <c r="C8" s="17" t="s">
        <v>399</v>
      </c>
      <c r="D8" s="11">
        <v>100</v>
      </c>
      <c r="E8" s="1" t="s">
        <v>300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2.1193924408336277E-3</v>
      </c>
    </row>
    <row r="9" spans="2:15" x14ac:dyDescent="0.2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File_Size_Comparision!F10</f>
        <v>2.4685534591195753E-3</v>
      </c>
    </row>
    <row r="10" spans="2:15" x14ac:dyDescent="0.2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3"/>
    </row>
  </sheetData>
  <conditionalFormatting sqref="G2:H10">
    <cfRule type="cellIs" dxfId="99" priority="325" operator="equal">
      <formula>"Fail"</formula>
    </cfRule>
    <cfRule type="cellIs" dxfId="98" priority="326" operator="equal">
      <formula>"Pass"</formula>
    </cfRule>
  </conditionalFormatting>
  <conditionalFormatting sqref="H2:H10">
    <cfRule type="cellIs" dxfId="97" priority="27" operator="equal">
      <formula>"Fail"</formula>
    </cfRule>
    <cfRule type="cellIs" dxfId="96" priority="28" operator="equal">
      <formula>"Pass"</formula>
    </cfRule>
  </conditionalFormatting>
  <conditionalFormatting sqref="H2:H10">
    <cfRule type="cellIs" dxfId="95" priority="25" operator="equal">
      <formula>"Fail"</formula>
    </cfRule>
    <cfRule type="cellIs" dxfId="94" priority="26" operator="equal">
      <formula>"Pass"</formula>
    </cfRule>
  </conditionalFormatting>
  <conditionalFormatting sqref="H2:H10">
    <cfRule type="cellIs" dxfId="93" priority="23" operator="equal">
      <formula>"Fail"</formula>
    </cfRule>
    <cfRule type="cellIs" dxfId="92" priority="24" operator="equal">
      <formula>"Pass"</formula>
    </cfRule>
  </conditionalFormatting>
  <conditionalFormatting sqref="H2:H10">
    <cfRule type="cellIs" dxfId="91" priority="21" operator="equal">
      <formula>"Fail"</formula>
    </cfRule>
    <cfRule type="cellIs" dxfId="90" priority="22" operator="equal">
      <formula>"Pass"</formula>
    </cfRule>
  </conditionalFormatting>
  <conditionalFormatting sqref="H2:H10">
    <cfRule type="cellIs" dxfId="89" priority="19" operator="equal">
      <formula>"Fail"</formula>
    </cfRule>
    <cfRule type="cellIs" dxfId="88" priority="20" operator="equal">
      <formula>"Pass"</formula>
    </cfRule>
  </conditionalFormatting>
  <conditionalFormatting sqref="H2:H10">
    <cfRule type="cellIs" dxfId="87" priority="17" operator="equal">
      <formula>"Fail"</formula>
    </cfRule>
    <cfRule type="cellIs" dxfId="86" priority="18" operator="equal">
      <formula>"Pass"</formula>
    </cfRule>
  </conditionalFormatting>
  <conditionalFormatting sqref="M6:M7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M6:M7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M6:M7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M6:M7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M6:M7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M6:M7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 activeCell="M18" sqref="M18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303</v>
      </c>
      <c r="C2" s="17" t="s">
        <v>399</v>
      </c>
      <c r="D2" s="1">
        <v>80</v>
      </c>
      <c r="E2" s="1" t="s">
        <v>303</v>
      </c>
      <c r="F2" s="1">
        <v>18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72928</v>
      </c>
      <c r="M2" s="19">
        <v>72928</v>
      </c>
      <c r="N2" s="22">
        <f>L2-M2</f>
        <v>0</v>
      </c>
    </row>
    <row r="3" spans="2:15" x14ac:dyDescent="0.25">
      <c r="B3" s="1" t="s">
        <v>20</v>
      </c>
      <c r="C3" s="17" t="s">
        <v>399</v>
      </c>
      <c r="D3" s="1">
        <v>20</v>
      </c>
      <c r="E3" s="1" t="s">
        <v>20</v>
      </c>
      <c r="F3" s="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19">
        <v>2624</v>
      </c>
      <c r="N3" s="22">
        <f>L2-M3</f>
        <v>70304</v>
      </c>
    </row>
    <row r="4" spans="2:15" x14ac:dyDescent="0.25">
      <c r="B4" s="1" t="s">
        <v>21</v>
      </c>
      <c r="C4" s="17" t="s">
        <v>399</v>
      </c>
      <c r="D4" s="1">
        <v>255</v>
      </c>
      <c r="E4" s="1" t="s">
        <v>21</v>
      </c>
      <c r="F4" s="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1" t="s">
        <v>0</v>
      </c>
      <c r="C5" s="17" t="s">
        <v>399</v>
      </c>
      <c r="D5" s="32">
        <v>32</v>
      </c>
      <c r="E5" s="1" t="s">
        <v>0</v>
      </c>
      <c r="F5" s="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 x14ac:dyDescent="0.25">
      <c r="B6" s="1" t="s">
        <v>3</v>
      </c>
      <c r="C6" s="17" t="s">
        <v>399</v>
      </c>
      <c r="D6" s="1">
        <v>30</v>
      </c>
      <c r="E6" s="1" t="s">
        <v>3</v>
      </c>
      <c r="F6" s="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 x14ac:dyDescent="0.25">
      <c r="B7" s="1" t="s">
        <v>4</v>
      </c>
      <c r="C7" s="17" t="s">
        <v>399</v>
      </c>
      <c r="D7" s="1">
        <v>30</v>
      </c>
      <c r="E7" s="1" t="s">
        <v>4</v>
      </c>
      <c r="F7" s="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 x14ac:dyDescent="0.25">
      <c r="B8" s="1" t="s">
        <v>5</v>
      </c>
      <c r="C8" s="17" t="s">
        <v>399</v>
      </c>
      <c r="D8" s="1">
        <v>30</v>
      </c>
      <c r="E8" s="1" t="s">
        <v>5</v>
      </c>
      <c r="F8" s="1">
        <v>15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">
        <v>2</v>
      </c>
      <c r="E9" s="1" t="s">
        <v>7</v>
      </c>
      <c r="F9" s="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26.792682926829269</v>
      </c>
    </row>
    <row r="10" spans="2:15" x14ac:dyDescent="0.25">
      <c r="B10" s="1" t="s">
        <v>8</v>
      </c>
      <c r="C10" s="17" t="s">
        <v>400</v>
      </c>
      <c r="D10" s="1" t="s">
        <v>476</v>
      </c>
      <c r="E10" s="1" t="s">
        <v>8</v>
      </c>
      <c r="F10" s="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File_Size_Comparision!F11</f>
        <v>0.96707105719237429</v>
      </c>
    </row>
    <row r="11" spans="2:15" x14ac:dyDescent="0.25">
      <c r="B11" s="31" t="s">
        <v>11</v>
      </c>
      <c r="C11" s="17" t="s">
        <v>399</v>
      </c>
      <c r="D11" s="1">
        <v>20</v>
      </c>
      <c r="E11" s="31" t="s">
        <v>11</v>
      </c>
      <c r="F11" s="1">
        <v>19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7" t="s">
        <v>399</v>
      </c>
      <c r="D12" s="1">
        <v>20</v>
      </c>
      <c r="E12" s="1" t="s">
        <v>12</v>
      </c>
      <c r="F12" s="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7" t="s">
        <v>399</v>
      </c>
      <c r="D13" s="1">
        <v>10</v>
      </c>
      <c r="E13" s="1" t="s">
        <v>14</v>
      </c>
      <c r="F13" s="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7" t="s">
        <v>399</v>
      </c>
      <c r="D14" s="1">
        <v>5</v>
      </c>
      <c r="E14" s="1" t="s">
        <v>18</v>
      </c>
      <c r="F14" s="1">
        <v>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1" t="s">
        <v>19</v>
      </c>
      <c r="C15" s="17" t="s">
        <v>399</v>
      </c>
      <c r="D15" s="46">
        <v>20</v>
      </c>
      <c r="E15" s="1" t="s">
        <v>19</v>
      </c>
      <c r="F15" s="1">
        <v>16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7" t="s">
        <v>399</v>
      </c>
      <c r="D16" s="1">
        <v>20</v>
      </c>
      <c r="E16" s="1" t="s">
        <v>22</v>
      </c>
      <c r="F16" s="1">
        <v>12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7" t="s">
        <v>399</v>
      </c>
      <c r="D17" s="1">
        <v>50</v>
      </c>
      <c r="E17" s="1" t="s">
        <v>23</v>
      </c>
      <c r="F17" s="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7" t="s">
        <v>399</v>
      </c>
      <c r="D18" s="1">
        <v>20</v>
      </c>
      <c r="E18" s="1" t="s">
        <v>24</v>
      </c>
      <c r="F18" s="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7" t="s">
        <v>399</v>
      </c>
      <c r="D19" s="1">
        <v>50</v>
      </c>
      <c r="E19" s="1" t="s">
        <v>25</v>
      </c>
      <c r="F19" s="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7" t="s">
        <v>399</v>
      </c>
      <c r="D20" s="1">
        <v>20</v>
      </c>
      <c r="E20" s="1" t="s">
        <v>28</v>
      </c>
      <c r="F20" s="1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7" t="s">
        <v>399</v>
      </c>
      <c r="D21" s="1">
        <v>100</v>
      </c>
      <c r="E21" s="1" t="s">
        <v>29</v>
      </c>
      <c r="F21" s="1">
        <v>12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1" t="s">
        <v>30</v>
      </c>
      <c r="C22" s="17" t="s">
        <v>399</v>
      </c>
      <c r="D22" s="32">
        <v>53</v>
      </c>
      <c r="E22" s="1" t="s">
        <v>30</v>
      </c>
      <c r="F22" s="1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7" t="s">
        <v>399</v>
      </c>
      <c r="D23" s="1">
        <v>100</v>
      </c>
      <c r="E23" s="1" t="s">
        <v>31</v>
      </c>
      <c r="F23" s="1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7" t="s">
        <v>399</v>
      </c>
      <c r="D24" s="1">
        <v>2</v>
      </c>
      <c r="E24" s="1" t="s">
        <v>32</v>
      </c>
      <c r="F24" s="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7" t="s">
        <v>399</v>
      </c>
      <c r="D25" s="1">
        <v>30</v>
      </c>
      <c r="E25" s="1" t="s">
        <v>33</v>
      </c>
      <c r="F25" s="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7" t="s">
        <v>399</v>
      </c>
      <c r="D26" s="1">
        <v>20</v>
      </c>
      <c r="E26" s="33" t="s">
        <v>304</v>
      </c>
      <c r="F26" s="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7" t="s">
        <v>399</v>
      </c>
      <c r="D27" s="1">
        <v>70</v>
      </c>
      <c r="E27" s="1" t="s">
        <v>305</v>
      </c>
      <c r="F27" s="1">
        <v>61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7" t="s">
        <v>399</v>
      </c>
      <c r="D28" s="1">
        <v>30</v>
      </c>
      <c r="E28" s="1" t="s">
        <v>306</v>
      </c>
      <c r="F28" s="1">
        <v>16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7" t="s">
        <v>399</v>
      </c>
      <c r="D29" s="1">
        <v>40</v>
      </c>
      <c r="E29" s="1" t="s">
        <v>307</v>
      </c>
      <c r="F29" s="1">
        <v>23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7" t="s">
        <v>399</v>
      </c>
      <c r="D30" s="46">
        <v>10</v>
      </c>
      <c r="E30" s="1" t="s">
        <v>308</v>
      </c>
      <c r="F30" s="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7" t="s">
        <v>399</v>
      </c>
      <c r="D31" s="1">
        <v>50</v>
      </c>
      <c r="E31" s="1" t="s">
        <v>309</v>
      </c>
      <c r="F31" s="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7" t="s">
        <v>399</v>
      </c>
      <c r="D32" s="1">
        <v>30</v>
      </c>
      <c r="E32" s="1" t="s">
        <v>310</v>
      </c>
      <c r="F32" s="1">
        <v>9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7" t="s">
        <v>399</v>
      </c>
      <c r="D33" s="1">
        <v>30</v>
      </c>
      <c r="E33" s="1" t="s">
        <v>114</v>
      </c>
      <c r="F33" s="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7" t="s">
        <v>399</v>
      </c>
      <c r="D34" s="1">
        <v>30</v>
      </c>
      <c r="E34" s="1" t="s">
        <v>311</v>
      </c>
      <c r="F34" s="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7" t="s">
        <v>399</v>
      </c>
      <c r="D35" s="1">
        <v>10</v>
      </c>
      <c r="E35" s="1" t="s">
        <v>312</v>
      </c>
      <c r="F35" s="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7" t="s">
        <v>400</v>
      </c>
      <c r="D36" s="1" t="s">
        <v>476</v>
      </c>
      <c r="E36" s="1" t="s">
        <v>313</v>
      </c>
      <c r="F36" s="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7" t="s">
        <v>400</v>
      </c>
      <c r="D37" s="1" t="s">
        <v>476</v>
      </c>
      <c r="E37" s="1" t="s">
        <v>314</v>
      </c>
      <c r="F37" s="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7" t="s">
        <v>400</v>
      </c>
      <c r="D38" s="1" t="s">
        <v>476</v>
      </c>
      <c r="E38" s="1" t="s">
        <v>315</v>
      </c>
      <c r="F38" s="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7" t="s">
        <v>400</v>
      </c>
      <c r="D39" s="1" t="s">
        <v>476</v>
      </c>
      <c r="E39" s="1" t="s">
        <v>192</v>
      </c>
      <c r="F39" s="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7" t="s">
        <v>399</v>
      </c>
      <c r="D40" s="1">
        <v>11</v>
      </c>
      <c r="E40" s="1" t="s">
        <v>316</v>
      </c>
      <c r="F40" s="1">
        <v>11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7" t="s">
        <v>399</v>
      </c>
      <c r="D41" s="1">
        <v>256</v>
      </c>
      <c r="E41" s="1" t="s">
        <v>317</v>
      </c>
      <c r="F41" s="1">
        <v>37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7" t="s">
        <v>399</v>
      </c>
      <c r="D42" s="1">
        <v>12</v>
      </c>
      <c r="E42" s="1" t="s">
        <v>318</v>
      </c>
      <c r="F42" s="1">
        <v>4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7" t="s">
        <v>399</v>
      </c>
      <c r="D43" s="1">
        <v>200</v>
      </c>
      <c r="E43" s="1" t="s">
        <v>319</v>
      </c>
      <c r="F43" s="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7" t="s">
        <v>399</v>
      </c>
      <c r="D44" s="1">
        <v>200</v>
      </c>
      <c r="E44" s="1" t="s">
        <v>320</v>
      </c>
      <c r="F44" s="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7" t="s">
        <v>399</v>
      </c>
      <c r="D45" s="1">
        <v>10</v>
      </c>
      <c r="E45" s="1" t="s">
        <v>321</v>
      </c>
      <c r="F45" s="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7" t="s">
        <v>399</v>
      </c>
      <c r="D46" s="1">
        <v>100</v>
      </c>
      <c r="E46" s="1" t="s">
        <v>322</v>
      </c>
      <c r="F46" s="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7" t="s">
        <v>398</v>
      </c>
      <c r="D47" s="1" t="s">
        <v>476</v>
      </c>
      <c r="E47" s="1" t="s">
        <v>323</v>
      </c>
      <c r="F47" s="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7" t="s">
        <v>398</v>
      </c>
      <c r="D48" s="1" t="s">
        <v>476</v>
      </c>
      <c r="E48" s="1" t="s">
        <v>324</v>
      </c>
      <c r="F48" s="1">
        <v>4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 x14ac:dyDescent="0.25">
      <c r="B49" s="1" t="s">
        <v>325</v>
      </c>
      <c r="C49" s="17" t="s">
        <v>399</v>
      </c>
      <c r="D49" s="1">
        <v>200</v>
      </c>
      <c r="E49" s="1" t="s">
        <v>325</v>
      </c>
      <c r="F49" s="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 x14ac:dyDescent="0.25">
      <c r="B50" s="1" t="s">
        <v>326</v>
      </c>
      <c r="C50" s="17" t="s">
        <v>399</v>
      </c>
      <c r="D50" s="1">
        <v>10</v>
      </c>
      <c r="E50" s="1" t="s">
        <v>326</v>
      </c>
      <c r="F50" s="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 x14ac:dyDescent="0.25">
      <c r="B51" s="1" t="s">
        <v>327</v>
      </c>
      <c r="C51" s="17" t="s">
        <v>399</v>
      </c>
      <c r="D51" s="1">
        <v>1</v>
      </c>
      <c r="E51" s="1" t="s">
        <v>327</v>
      </c>
      <c r="F51" s="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 x14ac:dyDescent="0.25">
      <c r="B52" s="1" t="s">
        <v>328</v>
      </c>
      <c r="C52" s="17" t="s">
        <v>399</v>
      </c>
      <c r="D52" s="1">
        <v>1</v>
      </c>
      <c r="E52" s="1" t="s">
        <v>328</v>
      </c>
      <c r="F52" s="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 x14ac:dyDescent="0.25">
      <c r="B53" s="1" t="s">
        <v>329</v>
      </c>
      <c r="C53" s="17" t="s">
        <v>399</v>
      </c>
      <c r="D53" s="1">
        <v>1</v>
      </c>
      <c r="E53" s="1" t="s">
        <v>329</v>
      </c>
      <c r="F53" s="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 x14ac:dyDescent="0.25">
      <c r="B54" s="1" t="s">
        <v>330</v>
      </c>
      <c r="C54" s="17" t="s">
        <v>398</v>
      </c>
      <c r="D54" s="1" t="s">
        <v>476</v>
      </c>
      <c r="E54" s="1" t="s">
        <v>330</v>
      </c>
      <c r="F54" s="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 x14ac:dyDescent="0.25">
      <c r="B55" s="1" t="s">
        <v>331</v>
      </c>
      <c r="C55" s="17" t="s">
        <v>398</v>
      </c>
      <c r="D55" s="1" t="s">
        <v>476</v>
      </c>
      <c r="E55" s="1" t="s">
        <v>331</v>
      </c>
      <c r="F55" s="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 x14ac:dyDescent="0.25">
      <c r="B56" s="1" t="s">
        <v>332</v>
      </c>
      <c r="C56" s="17" t="s">
        <v>398</v>
      </c>
      <c r="D56" s="1" t="s">
        <v>476</v>
      </c>
      <c r="E56" s="1" t="s">
        <v>332</v>
      </c>
      <c r="F56" s="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 x14ac:dyDescent="0.25">
      <c r="B57" s="1" t="s">
        <v>333</v>
      </c>
      <c r="C57" s="17" t="s">
        <v>399</v>
      </c>
      <c r="D57" s="1">
        <v>10</v>
      </c>
      <c r="E57" s="1" t="s">
        <v>333</v>
      </c>
      <c r="F57" s="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 x14ac:dyDescent="0.25">
      <c r="B58" s="1" t="s">
        <v>334</v>
      </c>
      <c r="C58" s="17" t="s">
        <v>399</v>
      </c>
      <c r="D58" s="1">
        <v>50</v>
      </c>
      <c r="E58" s="1" t="s">
        <v>334</v>
      </c>
      <c r="F58" s="1">
        <v>36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 x14ac:dyDescent="0.25">
      <c r="B59" s="1" t="s">
        <v>195</v>
      </c>
      <c r="C59" s="17" t="s">
        <v>405</v>
      </c>
      <c r="D59" s="31" t="s">
        <v>477</v>
      </c>
      <c r="E59" s="1" t="s">
        <v>195</v>
      </c>
      <c r="F59" s="1">
        <v>8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 x14ac:dyDescent="0.25">
      <c r="B60" s="1" t="s">
        <v>196</v>
      </c>
      <c r="C60" s="17" t="s">
        <v>405</v>
      </c>
      <c r="D60" s="31" t="s">
        <v>298</v>
      </c>
      <c r="E60" s="1" t="s">
        <v>196</v>
      </c>
      <c r="F60" s="1">
        <v>8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 x14ac:dyDescent="0.25">
      <c r="B61" s="1" t="s">
        <v>198</v>
      </c>
      <c r="C61" s="17" t="s">
        <v>405</v>
      </c>
      <c r="D61" s="31" t="s">
        <v>298</v>
      </c>
      <c r="E61" s="1" t="s">
        <v>198</v>
      </c>
      <c r="F61" s="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 x14ac:dyDescent="0.25">
      <c r="B62" s="1" t="s">
        <v>199</v>
      </c>
      <c r="C62" s="17" t="s">
        <v>405</v>
      </c>
      <c r="D62" s="31" t="s">
        <v>298</v>
      </c>
      <c r="E62" s="1" t="s">
        <v>199</v>
      </c>
      <c r="F62" s="1">
        <v>7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 x14ac:dyDescent="0.25">
      <c r="B63" s="1" t="s">
        <v>201</v>
      </c>
      <c r="C63" s="17" t="s">
        <v>405</v>
      </c>
      <c r="D63" s="31" t="s">
        <v>298</v>
      </c>
      <c r="E63" s="1" t="s">
        <v>201</v>
      </c>
      <c r="F63" s="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 x14ac:dyDescent="0.25">
      <c r="B64" s="1" t="s">
        <v>335</v>
      </c>
      <c r="C64" s="17" t="s">
        <v>405</v>
      </c>
      <c r="D64" s="31" t="s">
        <v>298</v>
      </c>
      <c r="E64" s="1" t="s">
        <v>335</v>
      </c>
      <c r="F64" s="1">
        <v>6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7" t="s">
        <v>405</v>
      </c>
      <c r="D65" s="31" t="s">
        <v>477</v>
      </c>
      <c r="E65" s="1" t="s">
        <v>336</v>
      </c>
      <c r="F65" s="1">
        <v>8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7" t="s">
        <v>405</v>
      </c>
      <c r="D66" s="31" t="s">
        <v>298</v>
      </c>
      <c r="E66" s="1" t="s">
        <v>337</v>
      </c>
      <c r="F66" s="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7" t="s">
        <v>405</v>
      </c>
      <c r="D67" s="31" t="s">
        <v>477</v>
      </c>
      <c r="E67" s="1" t="s">
        <v>338</v>
      </c>
      <c r="F67" s="1">
        <v>8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7" t="s">
        <v>405</v>
      </c>
      <c r="D68" s="31" t="s">
        <v>477</v>
      </c>
      <c r="E68" s="1" t="s">
        <v>205</v>
      </c>
      <c r="F68" s="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7" t="s">
        <v>399</v>
      </c>
      <c r="D69" s="1">
        <v>8</v>
      </c>
      <c r="E69" s="1" t="s">
        <v>209</v>
      </c>
      <c r="F69" s="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7" t="s">
        <v>399</v>
      </c>
      <c r="D70" s="1">
        <v>50</v>
      </c>
      <c r="E70" s="1" t="s">
        <v>210</v>
      </c>
      <c r="F70" s="1">
        <v>10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7" t="s">
        <v>399</v>
      </c>
      <c r="D71" s="1">
        <v>100</v>
      </c>
      <c r="E71" s="1" t="s">
        <v>51</v>
      </c>
      <c r="F71" s="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7" t="s">
        <v>399</v>
      </c>
      <c r="D72" s="1">
        <v>100</v>
      </c>
      <c r="E72" s="1" t="s">
        <v>52</v>
      </c>
      <c r="F72" s="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7" t="s">
        <v>399</v>
      </c>
      <c r="D73" s="1">
        <v>100</v>
      </c>
      <c r="E73" s="1" t="s">
        <v>53</v>
      </c>
      <c r="F73" s="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7" t="s">
        <v>399</v>
      </c>
      <c r="D74" s="1">
        <v>100</v>
      </c>
      <c r="E74" s="1" t="s">
        <v>54</v>
      </c>
      <c r="F74" s="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7" t="s">
        <v>399</v>
      </c>
      <c r="D75" s="1">
        <v>100</v>
      </c>
      <c r="E75" s="1" t="s">
        <v>55</v>
      </c>
      <c r="F75" s="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7" t="s">
        <v>399</v>
      </c>
      <c r="D76" s="1">
        <v>100</v>
      </c>
      <c r="E76" s="1" t="s">
        <v>56</v>
      </c>
      <c r="F76" s="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7" t="s">
        <v>399</v>
      </c>
      <c r="D77" s="1">
        <v>100</v>
      </c>
      <c r="E77" s="1" t="s">
        <v>57</v>
      </c>
      <c r="F77" s="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7" t="s">
        <v>399</v>
      </c>
      <c r="D78" s="1">
        <v>100</v>
      </c>
      <c r="E78" s="1" t="s">
        <v>58</v>
      </c>
      <c r="F78" s="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7" t="s">
        <v>399</v>
      </c>
      <c r="D79" s="1">
        <v>100</v>
      </c>
      <c r="E79" s="1" t="s">
        <v>59</v>
      </c>
      <c r="F79" s="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7" t="s">
        <v>399</v>
      </c>
      <c r="D80" s="1">
        <v>100</v>
      </c>
      <c r="E80" s="1" t="s">
        <v>60</v>
      </c>
      <c r="F80" s="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7" t="s">
        <v>399</v>
      </c>
      <c r="D81" s="1">
        <v>100</v>
      </c>
      <c r="E81" s="1" t="s">
        <v>61</v>
      </c>
      <c r="F81" s="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7" t="s">
        <v>399</v>
      </c>
      <c r="D82" s="1">
        <v>100</v>
      </c>
      <c r="E82" s="1" t="s">
        <v>62</v>
      </c>
      <c r="F82" s="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7" t="s">
        <v>399</v>
      </c>
      <c r="D83" s="1">
        <v>100</v>
      </c>
      <c r="E83" s="1" t="s">
        <v>63</v>
      </c>
      <c r="F83" s="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7" t="s">
        <v>399</v>
      </c>
      <c r="D84" s="1">
        <v>100</v>
      </c>
      <c r="E84" s="1" t="s">
        <v>64</v>
      </c>
      <c r="F84" s="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7" t="s">
        <v>399</v>
      </c>
      <c r="D85" s="1">
        <v>100</v>
      </c>
      <c r="E85" s="1" t="s">
        <v>65</v>
      </c>
      <c r="F85" s="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7" t="s">
        <v>399</v>
      </c>
      <c r="D86" s="1">
        <v>100</v>
      </c>
      <c r="E86" s="1" t="s">
        <v>66</v>
      </c>
      <c r="F86" s="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7" t="s">
        <v>399</v>
      </c>
      <c r="D87" s="1">
        <v>100</v>
      </c>
      <c r="E87" s="1" t="s">
        <v>67</v>
      </c>
      <c r="F87" s="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7" t="s">
        <v>399</v>
      </c>
      <c r="D88" s="1">
        <v>100</v>
      </c>
      <c r="E88" s="1" t="s">
        <v>68</v>
      </c>
      <c r="F88" s="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7" t="s">
        <v>399</v>
      </c>
      <c r="D89" s="1">
        <v>100</v>
      </c>
      <c r="E89" s="1" t="s">
        <v>69</v>
      </c>
      <c r="F89" s="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7" t="s">
        <v>399</v>
      </c>
      <c r="D90" s="1">
        <v>100</v>
      </c>
      <c r="E90" s="1" t="s">
        <v>70</v>
      </c>
      <c r="F90" s="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7" t="s">
        <v>399</v>
      </c>
      <c r="D91" s="1">
        <v>50</v>
      </c>
      <c r="E91" s="1" t="s">
        <v>71</v>
      </c>
      <c r="F91" s="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7" t="s">
        <v>399</v>
      </c>
      <c r="D92" s="1">
        <v>20</v>
      </c>
      <c r="E92" s="1" t="s">
        <v>297</v>
      </c>
      <c r="F92" s="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1" t="s">
        <v>86</v>
      </c>
      <c r="C93" s="36" t="s">
        <v>399</v>
      </c>
      <c r="D93" s="31">
        <v>500</v>
      </c>
      <c r="E93" s="31" t="s">
        <v>86</v>
      </c>
      <c r="F93" s="31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1" t="s">
        <v>436</v>
      </c>
      <c r="C94" s="36" t="s">
        <v>399</v>
      </c>
      <c r="D94" s="31">
        <v>100</v>
      </c>
      <c r="E94" s="31" t="s">
        <v>436</v>
      </c>
      <c r="F94" s="3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1" t="s">
        <v>437</v>
      </c>
      <c r="C95" s="36" t="s">
        <v>399</v>
      </c>
      <c r="D95" s="31">
        <v>100</v>
      </c>
      <c r="E95" s="31" t="s">
        <v>437</v>
      </c>
      <c r="F95" s="31">
        <v>0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1" t="s">
        <v>438</v>
      </c>
      <c r="C96" s="36" t="s">
        <v>399</v>
      </c>
      <c r="D96" s="31">
        <v>100</v>
      </c>
      <c r="E96" s="31" t="s">
        <v>438</v>
      </c>
      <c r="F96" s="31">
        <v>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1" t="s">
        <v>439</v>
      </c>
      <c r="C97" s="36" t="s">
        <v>399</v>
      </c>
      <c r="D97" s="31">
        <v>100</v>
      </c>
      <c r="E97" s="31" t="s">
        <v>439</v>
      </c>
      <c r="F97" s="3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1" t="s">
        <v>440</v>
      </c>
      <c r="C98" s="36" t="s">
        <v>399</v>
      </c>
      <c r="D98" s="31">
        <v>100</v>
      </c>
      <c r="E98" s="31" t="s">
        <v>440</v>
      </c>
      <c r="F98" s="3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1" t="s">
        <v>441</v>
      </c>
      <c r="C99" s="36" t="s">
        <v>399</v>
      </c>
      <c r="D99" s="31">
        <v>100</v>
      </c>
      <c r="E99" s="31" t="s">
        <v>441</v>
      </c>
      <c r="F99" s="3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1" t="s">
        <v>442</v>
      </c>
      <c r="C100" s="36" t="s">
        <v>399</v>
      </c>
      <c r="D100" s="31">
        <v>100</v>
      </c>
      <c r="E100" s="31" t="s">
        <v>442</v>
      </c>
      <c r="F100" s="3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1" t="s">
        <v>443</v>
      </c>
      <c r="C101" s="36" t="s">
        <v>399</v>
      </c>
      <c r="D101" s="31">
        <v>100</v>
      </c>
      <c r="E101" s="31" t="s">
        <v>443</v>
      </c>
      <c r="F101" s="3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1" t="s">
        <v>444</v>
      </c>
      <c r="C102" s="36" t="s">
        <v>399</v>
      </c>
      <c r="D102" s="31">
        <v>100</v>
      </c>
      <c r="E102" s="31" t="s">
        <v>444</v>
      </c>
      <c r="F102" s="3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1" t="s">
        <v>445</v>
      </c>
      <c r="C103" s="36" t="s">
        <v>399</v>
      </c>
      <c r="D103" s="31">
        <v>100</v>
      </c>
      <c r="E103" s="31" t="s">
        <v>445</v>
      </c>
      <c r="F103" s="3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1" t="s">
        <v>446</v>
      </c>
      <c r="C104" s="36" t="s">
        <v>399</v>
      </c>
      <c r="D104" s="31">
        <v>100</v>
      </c>
      <c r="E104" s="31" t="s">
        <v>446</v>
      </c>
      <c r="F104" s="3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1" t="s">
        <v>447</v>
      </c>
      <c r="C105" s="36" t="s">
        <v>399</v>
      </c>
      <c r="D105" s="31">
        <v>100</v>
      </c>
      <c r="E105" s="31" t="s">
        <v>447</v>
      </c>
      <c r="F105" s="3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1" t="s">
        <v>448</v>
      </c>
      <c r="C106" s="36" t="s">
        <v>399</v>
      </c>
      <c r="D106" s="31">
        <v>100</v>
      </c>
      <c r="E106" s="31" t="s">
        <v>448</v>
      </c>
      <c r="F106" s="3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1" t="s">
        <v>449</v>
      </c>
      <c r="C107" s="36" t="s">
        <v>399</v>
      </c>
      <c r="D107" s="31">
        <v>100</v>
      </c>
      <c r="E107" s="31" t="s">
        <v>449</v>
      </c>
      <c r="F107" s="3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1" t="s">
        <v>450</v>
      </c>
      <c r="C108" s="36" t="s">
        <v>399</v>
      </c>
      <c r="D108" s="31">
        <v>100</v>
      </c>
      <c r="E108" s="31" t="s">
        <v>450</v>
      </c>
      <c r="F108" s="3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1" t="s">
        <v>451</v>
      </c>
      <c r="C109" s="36" t="s">
        <v>399</v>
      </c>
      <c r="D109" s="31">
        <v>100</v>
      </c>
      <c r="E109" s="31" t="s">
        <v>451</v>
      </c>
      <c r="F109" s="3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1" t="s">
        <v>452</v>
      </c>
      <c r="C110" s="36" t="s">
        <v>399</v>
      </c>
      <c r="D110" s="31">
        <v>100</v>
      </c>
      <c r="E110" s="31" t="s">
        <v>452</v>
      </c>
      <c r="F110" s="3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1" t="s">
        <v>453</v>
      </c>
      <c r="C111" s="36" t="s">
        <v>399</v>
      </c>
      <c r="D111" s="31">
        <v>100</v>
      </c>
      <c r="E111" s="31" t="s">
        <v>453</v>
      </c>
      <c r="F111" s="3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1" t="s">
        <v>454</v>
      </c>
      <c r="C112" s="36" t="s">
        <v>399</v>
      </c>
      <c r="D112" s="31">
        <v>100</v>
      </c>
      <c r="E112" s="31" t="s">
        <v>454</v>
      </c>
      <c r="F112" s="3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1" t="s">
        <v>455</v>
      </c>
      <c r="C113" s="36" t="s">
        <v>399</v>
      </c>
      <c r="D113" s="31">
        <v>100</v>
      </c>
      <c r="E113" s="31" t="s">
        <v>455</v>
      </c>
      <c r="F113" s="3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61" operator="equal">
      <formula>"Fail"</formula>
    </cfRule>
    <cfRule type="cellIs" dxfId="70" priority="462" operator="equal">
      <formula>"Pass"</formula>
    </cfRule>
  </conditionalFormatting>
  <conditionalFormatting sqref="N6:N7">
    <cfRule type="cellIs" dxfId="69" priority="9" operator="equal">
      <formula>"Fail"</formula>
    </cfRule>
    <cfRule type="cellIs" dxfId="68" priority="10" operator="equal">
      <formula>"Pass"</formula>
    </cfRule>
  </conditionalFormatting>
  <conditionalFormatting sqref="M6:M8">
    <cfRule type="cellIs" dxfId="67" priority="1" operator="equal">
      <formula>"Fail"</formula>
    </cfRule>
    <cfRule type="cellIs" dxfId="66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 activeCell="M10" sqref="M10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 t="s">
        <v>476</v>
      </c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94954</v>
      </c>
      <c r="M3" s="19"/>
      <c r="N3" s="22">
        <f>L3-M3</f>
        <v>94954</v>
      </c>
    </row>
    <row r="4" spans="2:15" x14ac:dyDescent="0.25">
      <c r="B4" s="1" t="s">
        <v>339</v>
      </c>
      <c r="C4" s="17" t="s">
        <v>399</v>
      </c>
      <c r="D4" s="11">
        <v>30</v>
      </c>
      <c r="E4" s="1" t="s">
        <v>339</v>
      </c>
      <c r="F4" s="11">
        <v>15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7" t="s">
        <v>399</v>
      </c>
      <c r="D5" s="11">
        <v>30</v>
      </c>
      <c r="E5" s="1" t="s">
        <v>340</v>
      </c>
      <c r="F5" s="11">
        <v>20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 x14ac:dyDescent="0.2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1" t="s">
        <v>342</v>
      </c>
      <c r="C7" s="17" t="s">
        <v>400</v>
      </c>
      <c r="D7" s="11" t="s">
        <v>476</v>
      </c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0</v>
      </c>
    </row>
    <row r="9" spans="2:15" x14ac:dyDescent="0.2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File_Size_Comparision!F12</f>
        <v>0.1189155884165126</v>
      </c>
    </row>
    <row r="10" spans="2:15" x14ac:dyDescent="0.2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7" t="s">
        <v>400</v>
      </c>
      <c r="D12" s="11" t="s">
        <v>476</v>
      </c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7" t="s">
        <v>400</v>
      </c>
      <c r="D13" s="11" t="s">
        <v>476</v>
      </c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9" operator="equal">
      <formula>"Fail"</formula>
    </cfRule>
    <cfRule type="cellIs" dxfId="64" priority="630" operator="equal">
      <formula>"Pass"</formula>
    </cfRule>
  </conditionalFormatting>
  <conditionalFormatting sqref="H2:H15">
    <cfRule type="cellIs" dxfId="63" priority="19" operator="equal">
      <formula>"Fail"</formula>
    </cfRule>
    <cfRule type="cellIs" dxfId="62" priority="20" operator="equal">
      <formula>"Pass"</formula>
    </cfRule>
  </conditionalFormatting>
  <conditionalFormatting sqref="H2:H15">
    <cfRule type="cellIs" dxfId="61" priority="17" operator="equal">
      <formula>"Fail"</formula>
    </cfRule>
    <cfRule type="cellIs" dxfId="60" priority="18" operator="equal">
      <formula>"Pass"</formula>
    </cfRule>
  </conditionalFormatting>
  <conditionalFormatting sqref="H2:H15">
    <cfRule type="cellIs" dxfId="59" priority="15" operator="equal">
      <formula>"Fail"</formula>
    </cfRule>
    <cfRule type="cellIs" dxfId="58" priority="16" operator="equal">
      <formula>"Pass"</formula>
    </cfRule>
  </conditionalFormatting>
  <conditionalFormatting sqref="H2:H15">
    <cfRule type="cellIs" dxfId="57" priority="13" operator="equal">
      <formula>"Fail"</formula>
    </cfRule>
    <cfRule type="cellIs" dxfId="56" priority="14" operator="equal">
      <formula>"Pass"</formula>
    </cfRule>
  </conditionalFormatting>
  <conditionalFormatting sqref="H2:H15">
    <cfRule type="cellIs" dxfId="55" priority="11" operator="equal">
      <formula>"Fail"</formula>
    </cfRule>
    <cfRule type="cellIs" dxfId="54" priority="12" operator="equal">
      <formula>"Pass"</formula>
    </cfRule>
  </conditionalFormatting>
  <conditionalFormatting sqref="H2:H15">
    <cfRule type="cellIs" dxfId="53" priority="9" operator="equal">
      <formula>"Fail"</formula>
    </cfRule>
    <cfRule type="cellIs" dxfId="52" priority="10" operator="equal">
      <formula>"Pass"</formula>
    </cfRule>
  </conditionalFormatting>
  <conditionalFormatting sqref="H2:H15">
    <cfRule type="cellIs" dxfId="51" priority="7" operator="equal">
      <formula>"Fail"</formula>
    </cfRule>
    <cfRule type="cellIs" dxfId="50" priority="8" operator="equal">
      <formula>"Pass"</formula>
    </cfRule>
  </conditionalFormatting>
  <conditionalFormatting sqref="H2:H15">
    <cfRule type="cellIs" dxfId="49" priority="5" operator="equal">
      <formula>"Fail"</formula>
    </cfRule>
    <cfRule type="cellIs" dxfId="48" priority="6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 activeCell="M10" sqref="M10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3735</v>
      </c>
      <c r="M3" s="19"/>
      <c r="N3" s="22">
        <f>L3-M3</f>
        <v>3735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0</v>
      </c>
    </row>
    <row r="9" spans="2:15" x14ac:dyDescent="0.2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File_Size_Comparision!F13</f>
        <v>8.3492063492063354E-3</v>
      </c>
    </row>
    <row r="10" spans="2:15" x14ac:dyDescent="0.2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7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7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7" t="s">
        <v>399</v>
      </c>
      <c r="D23" s="11">
        <v>50</v>
      </c>
      <c r="E23" s="1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7" t="s">
        <v>399</v>
      </c>
      <c r="D26" s="11">
        <v>50</v>
      </c>
      <c r="E26" s="1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7" operator="equal">
      <formula>"Fail"</formula>
    </cfRule>
    <cfRule type="cellIs" dxfId="44" priority="838" operator="equal">
      <formula>"Pass"</formula>
    </cfRule>
  </conditionalFormatting>
  <conditionalFormatting sqref="H2:H26">
    <cfRule type="cellIs" dxfId="43" priority="21" operator="equal">
      <formula>"Fail"</formula>
    </cfRule>
    <cfRule type="cellIs" dxfId="42" priority="22" operator="equal">
      <formula>"Pass"</formula>
    </cfRule>
  </conditionalFormatting>
  <conditionalFormatting sqref="H2:H26">
    <cfRule type="cellIs" dxfId="41" priority="19" operator="equal">
      <formula>"Fail"</formula>
    </cfRule>
    <cfRule type="cellIs" dxfId="40" priority="20" operator="equal">
      <formula>"Pass"</formula>
    </cfRule>
  </conditionalFormatting>
  <conditionalFormatting sqref="H2:H26">
    <cfRule type="cellIs" dxfId="39" priority="17" operator="equal">
      <formula>"Fail"</formula>
    </cfRule>
    <cfRule type="cellIs" dxfId="38" priority="18" operator="equal">
      <formula>"Pass"</formula>
    </cfRule>
  </conditionalFormatting>
  <conditionalFormatting sqref="H2:H26">
    <cfRule type="cellIs" dxfId="37" priority="15" operator="equal">
      <formula>"Fail"</formula>
    </cfRule>
    <cfRule type="cellIs" dxfId="36" priority="16" operator="equal">
      <formula>"Pass"</formula>
    </cfRule>
  </conditionalFormatting>
  <conditionalFormatting sqref="H2:H26">
    <cfRule type="cellIs" dxfId="35" priority="13" operator="equal">
      <formula>"Fail"</formula>
    </cfRule>
    <cfRule type="cellIs" dxfId="34" priority="14" operator="equal">
      <formula>"Pass"</formula>
    </cfRule>
  </conditionalFormatting>
  <conditionalFormatting sqref="H2:H26">
    <cfRule type="cellIs" dxfId="33" priority="11" operator="equal">
      <formula>"Fail"</formula>
    </cfRule>
    <cfRule type="cellIs" dxfId="32" priority="12" operator="equal">
      <formula>"Pass"</formula>
    </cfRule>
  </conditionalFormatting>
  <conditionalFormatting sqref="H2:H26">
    <cfRule type="cellIs" dxfId="31" priority="9" operator="equal">
      <formula>"Fail"</formula>
    </cfRule>
    <cfRule type="cellIs" dxfId="30" priority="10" operator="equal">
      <formula>"Pass"</formula>
    </cfRule>
  </conditionalFormatting>
  <conditionalFormatting sqref="H2:H26">
    <cfRule type="cellIs" dxfId="29" priority="7" operator="equal">
      <formula>"Fail"</formula>
    </cfRule>
    <cfRule type="cellIs" dxfId="28" priority="8" operator="equal">
      <formula>"Pass"</formula>
    </cfRule>
  </conditionalFormatting>
  <conditionalFormatting sqref="H2:H26">
    <cfRule type="cellIs" dxfId="27" priority="5" operator="equal">
      <formula>"Fail"</formula>
    </cfRule>
    <cfRule type="cellIs" dxfId="26" priority="6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51071</v>
      </c>
      <c r="M3" s="19"/>
      <c r="N3" s="22">
        <f>L3-M3</f>
        <v>51071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 x14ac:dyDescent="0.25">
      <c r="B7" s="1" t="s">
        <v>351</v>
      </c>
      <c r="C7" s="17" t="s">
        <v>399</v>
      </c>
      <c r="D7" s="11">
        <v>50</v>
      </c>
      <c r="E7" s="1" t="s">
        <v>351</v>
      </c>
      <c r="F7" s="11">
        <v>38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 x14ac:dyDescent="0.2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0</v>
      </c>
    </row>
    <row r="9" spans="2:15" x14ac:dyDescent="0.2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File_Size_Comparision!F14</f>
        <v>1.7271157167529857E-3</v>
      </c>
    </row>
    <row r="10" spans="2:15" x14ac:dyDescent="0.2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7" t="s">
        <v>399</v>
      </c>
      <c r="D11" s="11">
        <v>55</v>
      </c>
      <c r="E11" s="1" t="s">
        <v>355</v>
      </c>
      <c r="F11" s="11">
        <v>43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1" t="s">
        <v>459</v>
      </c>
      <c r="C13" s="32" t="s">
        <v>399</v>
      </c>
      <c r="D13" s="11">
        <v>1</v>
      </c>
      <c r="E13" s="31" t="s">
        <v>539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81" operator="equal">
      <formula>"Fail"</formula>
    </cfRule>
    <cfRule type="cellIs" dxfId="22" priority="1082" operator="equal">
      <formula>"Pass"</formula>
    </cfRule>
  </conditionalFormatting>
  <conditionalFormatting sqref="H2:H13">
    <cfRule type="cellIs" dxfId="21" priority="23" operator="equal">
      <formula>"Fail"</formula>
    </cfRule>
    <cfRule type="cellIs" dxfId="20" priority="24" operator="equal">
      <formula>"Pass"</formula>
    </cfRule>
  </conditionalFormatting>
  <conditionalFormatting sqref="H2:H13">
    <cfRule type="cellIs" dxfId="19" priority="21" operator="equal">
      <formula>"Fail"</formula>
    </cfRule>
    <cfRule type="cellIs" dxfId="18" priority="22" operator="equal">
      <formula>"Pass"</formula>
    </cfRule>
  </conditionalFormatting>
  <conditionalFormatting sqref="H2:H13">
    <cfRule type="cellIs" dxfId="17" priority="19" operator="equal">
      <formula>"Fail"</formula>
    </cfRule>
    <cfRule type="cellIs" dxfId="16" priority="20" operator="equal">
      <formula>"Pass"</formula>
    </cfRule>
  </conditionalFormatting>
  <conditionalFormatting sqref="H2:H13">
    <cfRule type="cellIs" dxfId="15" priority="17" operator="equal">
      <formula>"Fail"</formula>
    </cfRule>
    <cfRule type="cellIs" dxfId="14" priority="18" operator="equal">
      <formula>"Pass"</formula>
    </cfRule>
  </conditionalFormatting>
  <conditionalFormatting sqref="H2:H13">
    <cfRule type="cellIs" dxfId="13" priority="15" operator="equal">
      <formula>"Fail"</formula>
    </cfRule>
    <cfRule type="cellIs" dxfId="12" priority="16" operator="equal">
      <formula>"Pass"</formula>
    </cfRule>
  </conditionalFormatting>
  <conditionalFormatting sqref="H2:H13">
    <cfRule type="cellIs" dxfId="11" priority="13" operator="equal">
      <formula>"Fail"</formula>
    </cfRule>
    <cfRule type="cellIs" dxfId="10" priority="14" operator="equal">
      <formula>"Pass"</formula>
    </cfRule>
  </conditionalFormatting>
  <conditionalFormatting sqref="H2:H13">
    <cfRule type="cellIs" dxfId="9" priority="11" operator="equal">
      <formula>"Fail"</formula>
    </cfRule>
    <cfRule type="cellIs" dxfId="8" priority="12" operator="equal">
      <formula>"Pass"</formula>
    </cfRule>
  </conditionalFormatting>
  <conditionalFormatting sqref="H2:H13">
    <cfRule type="cellIs" dxfId="7" priority="9" operator="equal">
      <formula>"Fail"</formula>
    </cfRule>
    <cfRule type="cellIs" dxfId="6" priority="10" operator="equal">
      <formula>"Pass"</formula>
    </cfRule>
  </conditionalFormatting>
  <conditionalFormatting sqref="H2:H13">
    <cfRule type="cellIs" dxfId="5" priority="7" operator="equal">
      <formula>"Fail"</formula>
    </cfRule>
    <cfRule type="cellIs" dxfId="4" priority="8" operator="equal">
      <formula>"Pass"</formula>
    </cfRule>
  </conditionalFormatting>
  <conditionalFormatting sqref="H2:H13">
    <cfRule type="cellIs" dxfId="3" priority="5" operator="equal">
      <formula>"Fail"</formula>
    </cfRule>
    <cfRule type="cellIs" dxfId="2" priority="6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rpathak</cp:lastModifiedBy>
  <dcterms:created xsi:type="dcterms:W3CDTF">2013-12-03T07:41:54Z</dcterms:created>
  <dcterms:modified xsi:type="dcterms:W3CDTF">2016-12-08T13:10:18Z</dcterms:modified>
</cp:coreProperties>
</file>