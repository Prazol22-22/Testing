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24519"/>
</workbook>
</file>

<file path=xl/calcChain.xml><?xml version="1.0" encoding="utf-8"?>
<calcChain xmlns="http://schemas.openxmlformats.org/spreadsheetml/2006/main">
  <c r="I7" i="14"/>
  <c r="H7"/>
  <c r="I3"/>
  <c r="H3"/>
  <c r="J26" i="19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N3"/>
  <c r="M8" s="1"/>
  <c r="J3"/>
  <c r="I3"/>
  <c r="H3"/>
  <c r="J2"/>
  <c r="I2"/>
  <c r="H2"/>
  <c r="J19" i="18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N2"/>
  <c r="M7" s="1"/>
  <c r="J2"/>
  <c r="I2"/>
  <c r="H2"/>
  <c r="F7" i="14" l="1"/>
  <c r="M9" i="19" s="1"/>
  <c r="F3" i="14"/>
  <c r="G3" s="1"/>
  <c r="M8" i="18"/>
  <c r="G6" i="19"/>
  <c r="G16"/>
  <c r="G2"/>
  <c r="G7"/>
  <c r="G21"/>
  <c r="G12"/>
  <c r="G20"/>
  <c r="G2" i="18"/>
  <c r="G3"/>
  <c r="G7"/>
  <c r="G8"/>
  <c r="G9"/>
  <c r="G13"/>
  <c r="G17"/>
  <c r="G4"/>
  <c r="G10"/>
  <c r="G14"/>
  <c r="G18"/>
  <c r="G13" i="19"/>
  <c r="G17"/>
  <c r="G3"/>
  <c r="G4"/>
  <c r="G8"/>
  <c r="G9"/>
  <c r="G10"/>
  <c r="G14"/>
  <c r="G18"/>
  <c r="G22"/>
  <c r="G5"/>
  <c r="G11"/>
  <c r="G15"/>
  <c r="G19"/>
  <c r="G23"/>
  <c r="G24"/>
  <c r="M7"/>
  <c r="G25" i="3" s="1"/>
  <c r="G26" i="19"/>
  <c r="G25"/>
  <c r="M6" i="18"/>
  <c r="G16" i="3" s="1"/>
  <c r="G5" i="18"/>
  <c r="G11"/>
  <c r="G15"/>
  <c r="G19"/>
  <c r="G6"/>
  <c r="G12"/>
  <c r="G16"/>
  <c r="N2" i="16"/>
  <c r="M7" s="1"/>
  <c r="N3" i="9"/>
  <c r="M8" s="1"/>
  <c r="M5" i="18" l="1"/>
  <c r="G15" i="3" s="1"/>
  <c r="G7" i="14"/>
  <c r="M6" i="19"/>
  <c r="G24" i="3" s="1"/>
  <c r="N4" i="17"/>
  <c r="M10" s="1"/>
  <c r="N3"/>
  <c r="M9" s="1"/>
  <c r="G31" i="3" s="1"/>
  <c r="N2" i="15"/>
  <c r="M7" s="1"/>
  <c r="J11" i="17"/>
  <c r="J12"/>
  <c r="H11"/>
  <c r="H12"/>
  <c r="I11"/>
  <c r="I12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H12" i="14"/>
  <c r="I12"/>
  <c r="H13"/>
  <c r="I13"/>
  <c r="H14"/>
  <c r="I14"/>
  <c r="J10" i="16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F14" i="14" l="1"/>
  <c r="G14" s="1"/>
  <c r="F12"/>
  <c r="G12" s="1"/>
  <c r="F13"/>
  <c r="G13" s="1"/>
  <c r="M8" i="17"/>
  <c r="G30" i="3" s="1"/>
  <c r="G11" i="17"/>
  <c r="G6" i="16"/>
  <c r="G12" i="17"/>
  <c r="G6"/>
  <c r="G10"/>
  <c r="G5"/>
  <c r="G9"/>
  <c r="M6" i="16"/>
  <c r="G23" i="3" s="1"/>
  <c r="G4" i="17"/>
  <c r="G8"/>
  <c r="G3"/>
  <c r="G2"/>
  <c r="G7"/>
  <c r="G3" i="16"/>
  <c r="G4"/>
  <c r="G5"/>
  <c r="G9"/>
  <c r="G10"/>
  <c r="G7"/>
  <c r="G2"/>
  <c r="G8"/>
  <c r="J27" i="15"/>
  <c r="I27"/>
  <c r="H27"/>
  <c r="J26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M9" i="11" l="1"/>
  <c r="M9" i="12"/>
  <c r="G9" i="15"/>
  <c r="G17"/>
  <c r="G25"/>
  <c r="G5"/>
  <c r="G13"/>
  <c r="G21"/>
  <c r="M7" i="17"/>
  <c r="G29" i="3" s="1"/>
  <c r="G7" i="15"/>
  <c r="M9" i="13"/>
  <c r="M6" i="15"/>
  <c r="G18" i="3" s="1"/>
  <c r="M5" i="16"/>
  <c r="G22" i="3" s="1"/>
  <c r="G12" i="15"/>
  <c r="G16"/>
  <c r="G20"/>
  <c r="G24"/>
  <c r="G10"/>
  <c r="G6"/>
  <c r="G11"/>
  <c r="G15"/>
  <c r="G19"/>
  <c r="G23"/>
  <c r="G27"/>
  <c r="G3"/>
  <c r="G4"/>
  <c r="G14"/>
  <c r="G18"/>
  <c r="G22"/>
  <c r="G26"/>
  <c r="G2"/>
  <c r="G8"/>
  <c r="M5" l="1"/>
  <c r="G17" i="3" s="1"/>
  <c r="N3" i="10"/>
  <c r="M9" s="1"/>
  <c r="N2"/>
  <c r="M8" s="1"/>
  <c r="G36" i="3" s="1"/>
  <c r="N3" i="7"/>
  <c r="M9" s="1"/>
  <c r="N2"/>
  <c r="M8" s="1"/>
  <c r="G28" i="3" s="1"/>
  <c r="N2" i="2"/>
  <c r="M8" s="1"/>
  <c r="G21" i="3" s="1"/>
  <c r="N3" i="2"/>
  <c r="M9" s="1"/>
  <c r="N3" i="13" l="1"/>
  <c r="M8" s="1"/>
  <c r="N3" i="12"/>
  <c r="M8" s="1"/>
  <c r="N3" i="11"/>
  <c r="M8" s="1"/>
  <c r="H26" i="10" l="1"/>
  <c r="H3" i="13" l="1"/>
  <c r="H4"/>
  <c r="H5"/>
  <c r="H6"/>
  <c r="H7"/>
  <c r="H8"/>
  <c r="H9"/>
  <c r="H10"/>
  <c r="H11"/>
  <c r="H12"/>
  <c r="H13"/>
  <c r="J13"/>
  <c r="I13"/>
  <c r="H3" i="7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G74" s="1"/>
  <c r="I75"/>
  <c r="I76"/>
  <c r="G76" s="1"/>
  <c r="I77"/>
  <c r="I78"/>
  <c r="G78" s="1"/>
  <c r="I79"/>
  <c r="I80"/>
  <c r="G80" s="1"/>
  <c r="I81"/>
  <c r="G81" s="1"/>
  <c r="I82"/>
  <c r="G82" s="1"/>
  <c r="I83"/>
  <c r="I84"/>
  <c r="G84" s="1"/>
  <c r="I85"/>
  <c r="I86"/>
  <c r="G86" s="1"/>
  <c r="I87"/>
  <c r="I88"/>
  <c r="G88" s="1"/>
  <c r="I89"/>
  <c r="G89" s="1"/>
  <c r="I90"/>
  <c r="G90" s="1"/>
  <c r="I91"/>
  <c r="I92"/>
  <c r="G92" s="1"/>
  <c r="I93"/>
  <c r="I94"/>
  <c r="G75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3" i="10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I91"/>
  <c r="I92"/>
  <c r="H2" i="7"/>
  <c r="H2" i="13"/>
  <c r="H3" i="1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"/>
  <c r="H3" i="11"/>
  <c r="H4"/>
  <c r="H5"/>
  <c r="H6"/>
  <c r="H7"/>
  <c r="H8"/>
  <c r="H9"/>
  <c r="H10"/>
  <c r="H11"/>
  <c r="H12"/>
  <c r="H13"/>
  <c r="H14"/>
  <c r="H15"/>
  <c r="H2"/>
  <c r="H3" i="10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2"/>
  <c r="H3" i="9"/>
  <c r="H4"/>
  <c r="H5"/>
  <c r="H6"/>
  <c r="H7"/>
  <c r="H8"/>
  <c r="H9"/>
  <c r="H10"/>
  <c r="H2"/>
  <c r="H3" i="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2"/>
  <c r="M7" i="13" l="1"/>
  <c r="G42" i="3" s="1"/>
  <c r="M7" i="12"/>
  <c r="G40" i="3" s="1"/>
  <c r="M7" i="11"/>
  <c r="G38" i="3" s="1"/>
  <c r="M7" i="10"/>
  <c r="G35" i="3" s="1"/>
  <c r="M7" i="9"/>
  <c r="G33" i="3" s="1"/>
  <c r="M7" i="7"/>
  <c r="G27" i="3" s="1"/>
  <c r="M7" i="2"/>
  <c r="G20" i="3" s="1"/>
  <c r="G274" i="7"/>
  <c r="G270"/>
  <c r="G266"/>
  <c r="G262"/>
  <c r="G258"/>
  <c r="G275"/>
  <c r="G271"/>
  <c r="G267"/>
  <c r="G263"/>
  <c r="G259"/>
  <c r="G276"/>
  <c r="G272"/>
  <c r="G268"/>
  <c r="G264"/>
  <c r="G260"/>
  <c r="G273"/>
  <c r="G269"/>
  <c r="G265"/>
  <c r="G261"/>
  <c r="G257"/>
  <c r="G85" i="2"/>
  <c r="G93"/>
  <c r="G77"/>
  <c r="G91"/>
  <c r="G87"/>
  <c r="G83"/>
  <c r="G79"/>
  <c r="G113" i="10"/>
  <c r="G109"/>
  <c r="G101"/>
  <c r="G97"/>
  <c r="G93"/>
  <c r="G108"/>
  <c r="G102"/>
  <c r="G98"/>
  <c r="G13" i="13"/>
  <c r="G112" i="10"/>
  <c r="G104"/>
  <c r="G100"/>
  <c r="G96"/>
  <c r="G105"/>
  <c r="G110"/>
  <c r="G106"/>
  <c r="G94"/>
  <c r="G94" i="2"/>
  <c r="G111" i="10"/>
  <c r="G107"/>
  <c r="G103"/>
  <c r="G99"/>
  <c r="G95"/>
  <c r="I3" i="13" l="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J2"/>
  <c r="I2"/>
  <c r="I3" i="12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J2"/>
  <c r="I2"/>
  <c r="I3" i="1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J2"/>
  <c r="I2"/>
  <c r="I3" i="10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J91"/>
  <c r="J92"/>
  <c r="J2"/>
  <c r="I2"/>
  <c r="I3" i="9"/>
  <c r="J3"/>
  <c r="I4"/>
  <c r="J4"/>
  <c r="I5"/>
  <c r="J5"/>
  <c r="I6"/>
  <c r="J6"/>
  <c r="I7"/>
  <c r="J7"/>
  <c r="I8"/>
  <c r="J8"/>
  <c r="I9"/>
  <c r="J9"/>
  <c r="I10"/>
  <c r="J10"/>
  <c r="J2"/>
  <c r="I2"/>
  <c r="I3" i="7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I92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I155"/>
  <c r="J155"/>
  <c r="I156"/>
  <c r="J156"/>
  <c r="I157"/>
  <c r="J157"/>
  <c r="I158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J171"/>
  <c r="I172"/>
  <c r="J172"/>
  <c r="I173"/>
  <c r="J173"/>
  <c r="I174"/>
  <c r="J174"/>
  <c r="I175"/>
  <c r="J175"/>
  <c r="I176"/>
  <c r="J176"/>
  <c r="I177"/>
  <c r="J177"/>
  <c r="I178"/>
  <c r="J178"/>
  <c r="I179"/>
  <c r="J179"/>
  <c r="I180"/>
  <c r="J180"/>
  <c r="I181"/>
  <c r="J181"/>
  <c r="I182"/>
  <c r="J182"/>
  <c r="I183"/>
  <c r="J183"/>
  <c r="I184"/>
  <c r="J184"/>
  <c r="I185"/>
  <c r="J185"/>
  <c r="I186"/>
  <c r="J186"/>
  <c r="I187"/>
  <c r="J187"/>
  <c r="I188"/>
  <c r="J188"/>
  <c r="I189"/>
  <c r="J189"/>
  <c r="I190"/>
  <c r="J190"/>
  <c r="I191"/>
  <c r="J191"/>
  <c r="I192"/>
  <c r="J192"/>
  <c r="I193"/>
  <c r="J193"/>
  <c r="I194"/>
  <c r="J194"/>
  <c r="I195"/>
  <c r="J195"/>
  <c r="I196"/>
  <c r="J196"/>
  <c r="I197"/>
  <c r="J197"/>
  <c r="I198"/>
  <c r="J198"/>
  <c r="I199"/>
  <c r="J199"/>
  <c r="I200"/>
  <c r="J200"/>
  <c r="I201"/>
  <c r="J201"/>
  <c r="I202"/>
  <c r="J202"/>
  <c r="I203"/>
  <c r="J203"/>
  <c r="I204"/>
  <c r="J204"/>
  <c r="I205"/>
  <c r="J205"/>
  <c r="I206"/>
  <c r="J206"/>
  <c r="I207"/>
  <c r="J207"/>
  <c r="I208"/>
  <c r="J208"/>
  <c r="I209"/>
  <c r="J209"/>
  <c r="I210"/>
  <c r="J210"/>
  <c r="I211"/>
  <c r="J211"/>
  <c r="I212"/>
  <c r="J212"/>
  <c r="I213"/>
  <c r="J213"/>
  <c r="I214"/>
  <c r="J214"/>
  <c r="I215"/>
  <c r="J215"/>
  <c r="I216"/>
  <c r="J216"/>
  <c r="I217"/>
  <c r="J217"/>
  <c r="I218"/>
  <c r="J218"/>
  <c r="I219"/>
  <c r="J219"/>
  <c r="I220"/>
  <c r="J220"/>
  <c r="I221"/>
  <c r="J221"/>
  <c r="I222"/>
  <c r="J222"/>
  <c r="I223"/>
  <c r="J223"/>
  <c r="I224"/>
  <c r="J224"/>
  <c r="I225"/>
  <c r="J225"/>
  <c r="I226"/>
  <c r="J226"/>
  <c r="I227"/>
  <c r="J227"/>
  <c r="I228"/>
  <c r="J228"/>
  <c r="I229"/>
  <c r="J229"/>
  <c r="I230"/>
  <c r="J230"/>
  <c r="I231"/>
  <c r="J231"/>
  <c r="I232"/>
  <c r="J232"/>
  <c r="I233"/>
  <c r="J233"/>
  <c r="I234"/>
  <c r="J234"/>
  <c r="I235"/>
  <c r="J235"/>
  <c r="I236"/>
  <c r="J236"/>
  <c r="I237"/>
  <c r="J237"/>
  <c r="I238"/>
  <c r="J238"/>
  <c r="I239"/>
  <c r="J239"/>
  <c r="I240"/>
  <c r="J240"/>
  <c r="I241"/>
  <c r="J241"/>
  <c r="I242"/>
  <c r="J242"/>
  <c r="I243"/>
  <c r="J243"/>
  <c r="I244"/>
  <c r="J244"/>
  <c r="I245"/>
  <c r="J245"/>
  <c r="I246"/>
  <c r="J246"/>
  <c r="I247"/>
  <c r="J247"/>
  <c r="I248"/>
  <c r="J248"/>
  <c r="I249"/>
  <c r="J249"/>
  <c r="I250"/>
  <c r="J250"/>
  <c r="I251"/>
  <c r="J251"/>
  <c r="I252"/>
  <c r="J252"/>
  <c r="I253"/>
  <c r="J253"/>
  <c r="I254"/>
  <c r="J254"/>
  <c r="I255"/>
  <c r="J255"/>
  <c r="I256"/>
  <c r="J256"/>
  <c r="J2"/>
  <c r="I2"/>
  <c r="J2" i="2"/>
  <c r="I2"/>
  <c r="I5" i="14"/>
  <c r="I6"/>
  <c r="I8"/>
  <c r="I9"/>
  <c r="I10"/>
  <c r="I11"/>
  <c r="I4"/>
  <c r="H5"/>
  <c r="F5" s="1"/>
  <c r="H6"/>
  <c r="H8"/>
  <c r="H9"/>
  <c r="H10"/>
  <c r="H11"/>
  <c r="H4"/>
  <c r="G5" i="13" l="1"/>
  <c r="G11"/>
  <c r="G9"/>
  <c r="G7"/>
  <c r="G3"/>
  <c r="F11" i="14"/>
  <c r="G11" s="1"/>
  <c r="F10"/>
  <c r="G10" s="1"/>
  <c r="F9"/>
  <c r="M11" i="17" s="1"/>
  <c r="F6" i="14"/>
  <c r="G6" s="1"/>
  <c r="F8"/>
  <c r="M10" i="7" s="1"/>
  <c r="M10" i="2"/>
  <c r="G5" i="14"/>
  <c r="F4"/>
  <c r="M8" i="15" s="1"/>
  <c r="G12" i="13"/>
  <c r="G10"/>
  <c r="G8"/>
  <c r="G6"/>
  <c r="G4"/>
  <c r="G256" i="7"/>
  <c r="G254"/>
  <c r="G252"/>
  <c r="G250"/>
  <c r="G248"/>
  <c r="G246"/>
  <c r="G244"/>
  <c r="G242"/>
  <c r="G240"/>
  <c r="G238"/>
  <c r="G236"/>
  <c r="G234"/>
  <c r="G232"/>
  <c r="G230"/>
  <c r="G228"/>
  <c r="G226"/>
  <c r="G224"/>
  <c r="G222"/>
  <c r="G220"/>
  <c r="G218"/>
  <c r="G216"/>
  <c r="G214"/>
  <c r="G212"/>
  <c r="G210"/>
  <c r="G208"/>
  <c r="G206"/>
  <c r="G204"/>
  <c r="G202"/>
  <c r="G200"/>
  <c r="G198"/>
  <c r="G196"/>
  <c r="G194"/>
  <c r="G192"/>
  <c r="G190"/>
  <c r="G188"/>
  <c r="G186"/>
  <c r="G184"/>
  <c r="G182"/>
  <c r="G180"/>
  <c r="G178"/>
  <c r="G176"/>
  <c r="G174"/>
  <c r="G172"/>
  <c r="G170"/>
  <c r="G168"/>
  <c r="G166"/>
  <c r="G164"/>
  <c r="G162"/>
  <c r="G160"/>
  <c r="G158"/>
  <c r="G156"/>
  <c r="G154"/>
  <c r="G152"/>
  <c r="G150"/>
  <c r="G148"/>
  <c r="G146"/>
  <c r="G144"/>
  <c r="G142"/>
  <c r="G140"/>
  <c r="G138"/>
  <c r="G136"/>
  <c r="G134"/>
  <c r="G132"/>
  <c r="G130"/>
  <c r="G128"/>
  <c r="G126"/>
  <c r="G124"/>
  <c r="G122"/>
  <c r="G120"/>
  <c r="G118"/>
  <c r="G116"/>
  <c r="G114"/>
  <c r="G112"/>
  <c r="G110"/>
  <c r="G108"/>
  <c r="G106"/>
  <c r="G104"/>
  <c r="G102"/>
  <c r="G100"/>
  <c r="G98"/>
  <c r="G96"/>
  <c r="G94"/>
  <c r="G92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55"/>
  <c r="G253"/>
  <c r="G251"/>
  <c r="G249"/>
  <c r="G247"/>
  <c r="G245"/>
  <c r="G243"/>
  <c r="G241"/>
  <c r="G239"/>
  <c r="G237"/>
  <c r="G235"/>
  <c r="G233"/>
  <c r="G231"/>
  <c r="G229"/>
  <c r="G227"/>
  <c r="G225"/>
  <c r="G223"/>
  <c r="G221"/>
  <c r="G219"/>
  <c r="G217"/>
  <c r="G215"/>
  <c r="G213"/>
  <c r="G211"/>
  <c r="G209"/>
  <c r="G207"/>
  <c r="G205"/>
  <c r="G203"/>
  <c r="G201"/>
  <c r="G199"/>
  <c r="G197"/>
  <c r="G195"/>
  <c r="G193"/>
  <c r="G191"/>
  <c r="G189"/>
  <c r="G187"/>
  <c r="G185"/>
  <c r="G183"/>
  <c r="G181"/>
  <c r="G179"/>
  <c r="G177"/>
  <c r="G175"/>
  <c r="G173"/>
  <c r="G171"/>
  <c r="G169"/>
  <c r="G167"/>
  <c r="G165"/>
  <c r="G163"/>
  <c r="G161"/>
  <c r="G159"/>
  <c r="G157"/>
  <c r="G155"/>
  <c r="G153"/>
  <c r="G151"/>
  <c r="G149"/>
  <c r="G147"/>
  <c r="G145"/>
  <c r="G143"/>
  <c r="G141"/>
  <c r="G139"/>
  <c r="G137"/>
  <c r="G135"/>
  <c r="G133"/>
  <c r="G131"/>
  <c r="G129"/>
  <c r="G127"/>
  <c r="G125"/>
  <c r="G123"/>
  <c r="G121"/>
  <c r="G119"/>
  <c r="G117"/>
  <c r="G115"/>
  <c r="G113"/>
  <c r="G111"/>
  <c r="G109"/>
  <c r="G107"/>
  <c r="G105"/>
  <c r="G103"/>
  <c r="G101"/>
  <c r="G99"/>
  <c r="G97"/>
  <c r="G95"/>
  <c r="G93"/>
  <c r="G91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25" i="12"/>
  <c r="G23"/>
  <c r="G21"/>
  <c r="G19"/>
  <c r="G17"/>
  <c r="G15"/>
  <c r="G13"/>
  <c r="G11"/>
  <c r="G9"/>
  <c r="G7"/>
  <c r="G5"/>
  <c r="G3"/>
  <c r="G15" i="11"/>
  <c r="G13"/>
  <c r="G11"/>
  <c r="G9"/>
  <c r="G7"/>
  <c r="G5"/>
  <c r="G3"/>
  <c r="G91" i="10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9" i="9"/>
  <c r="G7"/>
  <c r="G5"/>
  <c r="G3"/>
  <c r="G14" i="11"/>
  <c r="G12"/>
  <c r="G10"/>
  <c r="G8"/>
  <c r="G6"/>
  <c r="G4"/>
  <c r="G18" i="12"/>
  <c r="G14"/>
  <c r="G6"/>
  <c r="G10" i="9"/>
  <c r="G8"/>
  <c r="G6"/>
  <c r="G4"/>
  <c r="G92" i="10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"/>
  <c r="G2" i="13"/>
  <c r="G26" i="12"/>
  <c r="G22"/>
  <c r="G10"/>
  <c r="G24"/>
  <c r="G20"/>
  <c r="G16"/>
  <c r="G12"/>
  <c r="G8"/>
  <c r="G4"/>
  <c r="G2"/>
  <c r="G2" i="7"/>
  <c r="G2" i="11"/>
  <c r="G2" i="9"/>
  <c r="G2" i="2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9" i="14" l="1"/>
  <c r="G8"/>
  <c r="M8" i="16"/>
  <c r="G4" i="14"/>
  <c r="M6" i="7"/>
  <c r="G26" i="3" s="1"/>
  <c r="M6" i="2"/>
  <c r="G19" i="3" s="1"/>
  <c r="M10" i="10"/>
  <c r="M9" i="9"/>
  <c r="M6" i="11"/>
  <c r="G37" i="3" s="1"/>
  <c r="M6" i="13"/>
  <c r="G41" i="3" s="1"/>
  <c r="M6" i="12"/>
  <c r="G39" i="3" s="1"/>
  <c r="M6" i="10"/>
  <c r="G34" i="3" s="1"/>
  <c r="M6" i="9"/>
  <c r="G32" i="3" s="1"/>
  <c r="L2" i="14" l="1"/>
  <c r="G14" i="3" s="1"/>
</calcChain>
</file>

<file path=xl/sharedStrings.xml><?xml version="1.0" encoding="utf-8"?>
<sst xmlns="http://schemas.openxmlformats.org/spreadsheetml/2006/main" count="2271" uniqueCount="560">
  <si>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</si>
  <si>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</si>
  <si>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</si>
  <si>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</si>
  <si>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</si>
  <si>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</si>
  <si>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</si>
  <si>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</si>
  <si>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</si>
  <si>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</si>
  <si>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</si>
  <si>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</si>
  <si>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</si>
  <si>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</si>
  <si>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</si>
  <si>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</si>
  <si>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</si>
  <si>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</si>
  <si>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</si>
  <si>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</si>
  <si>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</si>
  <si>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</si>
  <si>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</si>
  <si>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</si>
  <si>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</si>
  <si>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</si>
  <si>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</si>
  <si>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</si>
  <si>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</si>
  <si>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</si>
  <si>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</si>
  <si>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</si>
  <si>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</si>
  <si>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</si>
  <si>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</si>
  <si>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</si>
  <si>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</si>
  <si>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</si>
  <si>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</si>
  <si>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</si>
  <si>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</si>
  <si>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</si>
  <si>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</si>
  <si>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</si>
  <si>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</si>
  <si>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</si>
  <si>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</si>
  <si>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</si>
  <si>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</si>
  <si>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</si>
  <si>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</si>
  <si>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</si>
  <si>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</si>
  <si>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</si>
  <si>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</si>
  <si>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</si>
  <si>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</si>
  <si>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</si>
  <si>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</si>
  <si>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</si>
  <si>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</si>
  <si>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</si>
  <si>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</si>
  <si>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</si>
  <si>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</si>
  <si>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</si>
  <si>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</si>
  <si>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</si>
  <si>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</si>
  <si>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</si>
  <si>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</si>
  <si>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</si>
  <si>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</si>
  <si>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</si>
  <si>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</si>
  <si>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</si>
  <si>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</si>
  <si>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</si>
  <si>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</si>
  <si>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</si>
  <si>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</si>
  <si>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</si>
  <si>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</si>
  <si>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</si>
  <si>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</si>
  <si>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</si>
  <si>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</si>
  <si>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</si>
  <si>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</si>
  <si>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</si>
  <si>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</si>
  <si>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</si>
  <si>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</si>
  <si>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</si>
  <si>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</si>
  <si>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</si>
  <si>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</si>
  <si>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</si>
  <si>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</si>
  <si>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</si>
  <si>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</si>
  <si>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</si>
  <si>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</si>
  <si>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</si>
  <si>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</si>
  <si>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</si>
  <si>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</si>
  <si>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</si>
  <si>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</si>
  <si>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</si>
  <si>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</si>
  <si>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</si>
  <si>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</si>
  <si>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</si>
  <si>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</si>
  <si>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</si>
  <si>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</si>
  <si>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</si>
  <si>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</si>
  <si>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</si>
  <si>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</si>
  <si>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</si>
  <si>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</si>
  <si>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</si>
  <si>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</si>
  <si>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</si>
  <si>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</si>
  <si>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</si>
  <si>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</si>
  <si>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</si>
  <si>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</si>
  <si>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</si>
  <si>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</si>
  <si>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</si>
  <si>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</si>
  <si>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</si>
  <si>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</si>
  <si>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</si>
  <si>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</si>
  <si>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</si>
  <si>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</si>
  <si>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</si>
  <si>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</si>
  <si>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</si>
  <si>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</si>
  <si>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</si>
  <si>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</si>
  <si>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</si>
  <si>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</si>
  <si>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</si>
  <si>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</si>
  <si>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</si>
  <si>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</si>
  <si>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</si>
  <si>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</si>
  <si>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</si>
  <si>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</si>
  <si>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</si>
  <si>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</si>
  <si>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</si>
  <si>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</si>
  <si>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</si>
  <si>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</si>
  <si>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</si>
  <si>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</si>
  <si>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</si>
  <si>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</si>
  <si>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</si>
  <si>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</si>
  <si>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</si>
  <si>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</si>
  <si>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</si>
  <si>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</si>
  <si>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</si>
  <si>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</si>
  <si>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</si>
  <si>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</si>
  <si>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</si>
  <si>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</si>
  <si>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</si>
  <si>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</si>
  <si>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</si>
  <si>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</si>
  <si>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</si>
  <si>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</si>
  <si>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</si>
  <si>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</si>
  <si>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</si>
  <si>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</si>
  <si>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</si>
  <si>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</si>
  <si>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</si>
  <si>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</si>
  <si>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</si>
  <si>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</si>
  <si>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</si>
  <si>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</si>
  <si>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</si>
  <si>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</si>
  <si>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</si>
  <si>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</si>
  <si>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</si>
  <si>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</si>
  <si>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</si>
  <si>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</si>
  <si>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</si>
  <si>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</si>
  <si>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</si>
  <si>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</si>
  <si>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</si>
  <si>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</si>
  <si>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</si>
  <si>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</si>
  <si>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</si>
  <si>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</si>
  <si>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</si>
  <si>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</si>
  <si>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</si>
  <si>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</si>
  <si>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</si>
  <si>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</si>
  <si>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</si>
  <si>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</si>
  <si>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</si>
  <si>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</si>
  <si>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</si>
  <si>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</si>
  <si>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</si>
  <si>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</si>
  <si>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</si>
  <si>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</si>
  <si>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</si>
  <si>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</si>
  <si>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</si>
  <si>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</si>
  <si>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</si>
  <si>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</si>
  <si>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</si>
  <si>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</si>
  <si>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</si>
  <si>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</si>
  <si>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</si>
  <si>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</si>
  <si>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</si>
  <si>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</si>
  <si>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</si>
  <si>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</si>
  <si>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</si>
  <si>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</si>
  <si>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</si>
  <si>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</si>
  <si>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</si>
  <si>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</si>
  <si>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</si>
  <si>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</si>
  <si>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</si>
  <si>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</si>
  <si>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</si>
  <si>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</si>
  <si>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</si>
  <si>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</si>
  <si>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</si>
  <si>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</si>
  <si>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</si>
  <si>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</si>
  <si>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</si>
  <si>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</si>
  <si>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</si>
  <si>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</si>
  <si>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</si>
  <si>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</si>
  <si>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</si>
  <si>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</si>
  <si>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</si>
  <si>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</si>
  <si>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</si>
  <si>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</si>
  <si>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</si>
  <si>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</si>
  <si>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</si>
  <si>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</si>
  <si>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</si>
  <si>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</si>
  <si>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</si>
  <si>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</si>
  <si>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</si>
  <si>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</si>
  <si>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</si>
  <si>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</si>
  <si>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</si>
  <si>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</si>
  <si>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</si>
  <si>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</si>
  <si>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</si>
  <si>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</si>
  <si>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</si>
  <si>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</si>
  <si>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</si>
  <si>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</si>
  <si>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</si>
  <si>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</si>
  <si>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</si>
  <si>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</si>
  <si>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</si>
  <si>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</si>
  <si>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</si>
  <si>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</si>
  <si>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</si>
  <si>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</si>
  <si>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</si>
  <si>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</si>
  <si>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</si>
  <si>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</si>
  <si>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</si>
  <si>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</si>
  <si>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</si>
  <si>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</si>
  <si>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</si>
  <si>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</si>
  <si>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</si>
  <si>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</si>
  <si>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</si>
  <si>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</si>
  <si>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</si>
  <si>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</si>
  <si>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</si>
  <si>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</si>
  <si>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</si>
  <si>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</si>
  <si>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</si>
  <si>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</si>
  <si>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</si>
  <si>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</si>
  <si>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</si>
  <si>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</si>
  <si>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</si>
  <si>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</si>
  <si>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</si>
  <si>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</si>
  <si>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</si>
  <si>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</si>
  <si>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</si>
  <si>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</si>
  <si>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</si>
  <si>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</si>
  <si>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</si>
  <si>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</si>
  <si>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</si>
  <si>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</si>
  <si>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</si>
  <si>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</si>
  <si>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</si>
  <si>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</si>
  <si>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</si>
  <si>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</si>
  <si>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</si>
  <si>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</si>
  <si>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</si>
  <si>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</si>
  <si>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</si>
  <si>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</si>
  <si>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</si>
  <si>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</si>
  <si>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</si>
  <si>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</si>
  <si>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</si>
  <si>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</si>
  <si>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</si>
  <si>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</si>
  <si>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</si>
  <si>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</si>
  <si>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</si>
  <si>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</si>
  <si>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</si>
  <si>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</si>
  <si>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</si>
  <si>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</si>
  <si>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</si>
  <si>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</si>
  <si>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</si>
  <si>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</si>
  <si>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</si>
  <si>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</si>
  <si>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</si>
  <si>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</si>
  <si>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</si>
  <si>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</si>
  <si>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</si>
  <si>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</si>
  <si>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</si>
  <si>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</si>
  <si>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</si>
  <si>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</si>
  <si>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</si>
  <si>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</si>
  <si>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</si>
  <si>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</si>
  <si>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</si>
  <si>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</si>
  <si>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</si>
  <si>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</si>
  <si>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</si>
  <si>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</si>
  <si>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</si>
  <si>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</si>
  <si>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</si>
  <si>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</si>
  <si>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</si>
  <si>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</si>
  <si>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</si>
  <si>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</si>
  <si>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</si>
  <si>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</si>
  <si>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</si>
  <si>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</si>
  <si>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</si>
  <si>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</si>
  <si>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</si>
  <si>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</si>
  <si>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</si>
  <si>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</si>
  <si>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</si>
  <si>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</si>
  <si>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</si>
  <si>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</si>
  <si>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</si>
  <si>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</si>
  <si>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</si>
  <si>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</si>
  <si>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</si>
  <si>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</si>
  <si>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</si>
  <si>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</si>
  <si>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</si>
  <si>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</si>
  <si>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</si>
  <si>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</si>
  <si>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</si>
  <si>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</si>
  <si>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</si>
  <si>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</si>
  <si>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</si>
  <si>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</si>
  <si>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</si>
  <si>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</si>
  <si>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</si>
  <si>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</si>
  <si>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</si>
  <si>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</si>
  <si>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</si>
  <si>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</si>
  <si>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</si>
  <si>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</si>
  <si>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</si>
  <si>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</si>
  <si>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</si>
  <si>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</si>
  <si>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</si>
  <si>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</si>
  <si>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</si>
  <si>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</si>
  <si>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</si>
  <si>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</si>
  <si>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</si>
  <si>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</si>
  <si>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</si>
  <si>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</si>
  <si>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</si>
  <si>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</si>
  <si>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</si>
  <si>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</si>
  <si>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</si>
  <si>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</si>
  <si>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</si>
  <si>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</si>
  <si>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</si>
  <si>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</si>
  <si>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</si>
  <si>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</si>
  <si>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</si>
  <si>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</si>
  <si>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</si>
  <si>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</si>
  <si>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</si>
  <si>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</si>
  <si>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</si>
  <si>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</si>
  <si>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</si>
  <si>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</si>
  <si>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</si>
  <si>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</si>
  <si>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</si>
  <si>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</si>
  <si>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</si>
  <si>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</si>
  <si>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</si>
  <si>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</si>
  <si>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</si>
  <si>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</si>
  <si>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</si>
  <si>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</si>
  <si>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</si>
  <si>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</si>
  <si>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</si>
  <si>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Pass</t>
  </si>
  <si>
    <t>CareAlerts.csv</t>
  </si>
  <si>
    <t>HistoricalScores.csv</t>
  </si>
  <si>
    <t>151 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</si>
  <si>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</si>
  <si>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</si>
  <si>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</si>
  <si>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</si>
  <si>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</si>
  <si>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</si>
  <si>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</si>
  <si>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</si>
  <si>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</si>
  <si>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</si>
  <si>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</si>
  <si>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</si>
  <si>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</si>
  <si>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</si>
  <si>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</si>
  <si>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</si>
  <si>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</si>
  <si>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</si>
  <si>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</si>
  <si>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</si>
  <si>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</si>
  <si>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</si>
  <si>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>EX28</t>
  </si>
  <si>
    <t>EX29</t>
  </si>
  <si>
    <t xml:space="preserve">Verify Historical_Scores layout </t>
  </si>
  <si>
    <t>Verify Historical_Scores field length</t>
  </si>
  <si>
    <t>4.18 MB</t>
  </si>
  <si>
    <t>1.50 MB</t>
  </si>
  <si>
    <t>65.59 MB</t>
  </si>
  <si>
    <t>708 KB</t>
  </si>
  <si>
    <t>7.71 MB</t>
  </si>
  <si>
    <t>466.52 MB</t>
  </si>
  <si>
    <t>636 KB</t>
  </si>
  <si>
    <t>46.16 MB</t>
  </si>
  <si>
    <t>16.23 MB</t>
  </si>
  <si>
    <t>630 KB</t>
  </si>
  <si>
    <t>5.79 MB</t>
  </si>
  <si>
    <t>AchyutB</t>
  </si>
  <si>
    <t>3.94 MB</t>
  </si>
  <si>
    <t>1.57 MB</t>
  </si>
  <si>
    <t>76.84 MB</t>
  </si>
  <si>
    <t>721.89 KB</t>
  </si>
  <si>
    <t>585.07 KB</t>
  </si>
  <si>
    <t>479.89 MB</t>
  </si>
  <si>
    <t>151 Byte</t>
  </si>
  <si>
    <t>634.09 KB</t>
  </si>
  <si>
    <t>48.84 MB</t>
  </si>
  <si>
    <t>18.82 MB</t>
  </si>
  <si>
    <t>6.01 MB</t>
  </si>
  <si>
    <t>708.26 KB</t>
  </si>
  <si>
    <t>635.86 KB</t>
  </si>
  <si>
    <t>629.72 KB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</si>
</sst>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3" fontId="0" fillId="0" borderId="0" xfId="0" applyNumberFormat="1"/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2"/>
  <sheetViews>
    <sheetView showGridLines="0" tabSelected="1" workbookViewId="0">
      <selection activeCell="B1" sqref="B1:G1"/>
    </sheetView>
  </sheetViews>
  <sheetFormatPr defaultRowHeight="1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>
      <c r="B1" s="62" t="s">
        <v>386</v>
      </c>
      <c r="C1" s="62"/>
      <c r="D1" s="62"/>
      <c r="E1" s="62"/>
      <c r="F1" s="62"/>
      <c r="G1" s="62"/>
    </row>
    <row r="2" spans="2:7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>
      <c r="B7" s="6"/>
      <c r="C7" s="6"/>
      <c r="D7" s="4"/>
      <c r="E7" s="4"/>
      <c r="F7" s="4"/>
      <c r="G7" s="4"/>
    </row>
    <row r="8" spans="2:7">
      <c r="B8" s="59" t="s">
        <v>387</v>
      </c>
      <c r="C8" s="60"/>
      <c r="D8" s="60"/>
      <c r="E8" s="60"/>
      <c r="F8" s="60"/>
      <c r="G8" s="61"/>
    </row>
    <row r="9" spans="2:7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>
      <c r="B10" s="9">
        <v>42739</v>
      </c>
      <c r="C10" s="9">
        <v>42739</v>
      </c>
      <c r="D10" s="29" t="s">
        <v>503</v>
      </c>
      <c r="E10" s="7" t="s">
        <v>545</v>
      </c>
      <c r="F10" s="29" t="s">
        <v>504</v>
      </c>
      <c r="G10" s="8"/>
    </row>
    <row r="12" spans="2:7">
      <c r="B12" s="62" t="s">
        <v>388</v>
      </c>
      <c r="C12" s="62"/>
      <c r="D12" s="62"/>
      <c r="E12" s="62"/>
      <c r="F12" s="62"/>
      <c r="G12" s="62"/>
    </row>
    <row r="13" spans="2:7">
      <c r="B13" s="15" t="s">
        <v>361</v>
      </c>
      <c r="C13" s="63" t="s">
        <v>362</v>
      </c>
      <c r="D13" s="63"/>
      <c r="E13" s="63"/>
      <c r="F13" s="63"/>
      <c r="G13" s="15" t="s">
        <v>360</v>
      </c>
    </row>
    <row r="14" spans="2:7">
      <c r="B14" s="1" t="s">
        <v>363</v>
      </c>
      <c r="C14" s="58" t="s">
        <v>373</v>
      </c>
      <c r="D14" s="58"/>
      <c r="E14" s="58"/>
      <c r="F14" s="58"/>
      <c r="G14" s="11" t="str">
        <f>File_Size_Comparision!L2</f>
        <v>Fail</v>
      </c>
    </row>
    <row r="15" spans="2:7">
      <c r="B15" s="50" t="s">
        <v>364</v>
      </c>
      <c r="C15" s="58" t="s">
        <v>521</v>
      </c>
      <c r="D15" s="58"/>
      <c r="E15" s="58"/>
      <c r="F15" s="58"/>
      <c r="G15" s="11" t="str">
        <f>Care_Alerts!M5</f>
        <v>Pass</v>
      </c>
    </row>
    <row r="16" spans="2:7">
      <c r="B16" s="50" t="s">
        <v>365</v>
      </c>
      <c r="C16" s="58" t="s">
        <v>522</v>
      </c>
      <c r="D16" s="58"/>
      <c r="E16" s="58"/>
      <c r="F16" s="58"/>
      <c r="G16" s="11" t="str">
        <f>Care_Alerts!M6</f>
        <v>Pass</v>
      </c>
    </row>
    <row r="17" spans="2:7">
      <c r="B17" s="50" t="s">
        <v>366</v>
      </c>
      <c r="C17" s="58" t="s">
        <v>476</v>
      </c>
      <c r="D17" s="58"/>
      <c r="E17" s="58"/>
      <c r="F17" s="58"/>
      <c r="G17" s="11" t="str">
        <f>Demographics!M5</f>
        <v>Pass</v>
      </c>
    </row>
    <row r="18" spans="2:7">
      <c r="B18" s="50" t="s">
        <v>367</v>
      </c>
      <c r="C18" s="58" t="s">
        <v>477</v>
      </c>
      <c r="D18" s="58"/>
      <c r="E18" s="58"/>
      <c r="F18" s="58"/>
      <c r="G18" s="11" t="str">
        <f>Demographics!M6</f>
        <v>Pass</v>
      </c>
    </row>
    <row r="19" spans="2:7">
      <c r="B19" s="50" t="s">
        <v>368</v>
      </c>
      <c r="C19" s="58" t="s">
        <v>414</v>
      </c>
      <c r="D19" s="58"/>
      <c r="E19" s="58"/>
      <c r="F19" s="58"/>
      <c r="G19" s="11" t="str">
        <f>Eligibility!M6</f>
        <v>Pass</v>
      </c>
    </row>
    <row r="20" spans="2:7">
      <c r="B20" s="50" t="s">
        <v>369</v>
      </c>
      <c r="C20" s="58" t="s">
        <v>415</v>
      </c>
      <c r="D20" s="58"/>
      <c r="E20" s="58"/>
      <c r="F20" s="58"/>
      <c r="G20" s="11" t="str">
        <f>Eligibility!M7</f>
        <v>Pass</v>
      </c>
    </row>
    <row r="21" spans="2:7">
      <c r="B21" s="50" t="s">
        <v>370</v>
      </c>
      <c r="C21" s="58" t="s">
        <v>469</v>
      </c>
      <c r="D21" s="58"/>
      <c r="E21" s="58"/>
      <c r="F21" s="58"/>
      <c r="G21" s="11" t="str">
        <f>Eligibility!M8</f>
        <v>Pass</v>
      </c>
    </row>
    <row r="22" spans="2:7">
      <c r="B22" s="50" t="s">
        <v>371</v>
      </c>
      <c r="C22" s="58" t="s">
        <v>482</v>
      </c>
      <c r="D22" s="58"/>
      <c r="E22" s="58"/>
      <c r="F22" s="58"/>
      <c r="G22" s="11" t="str">
        <f>High_Cost!M5</f>
        <v>Pass</v>
      </c>
    </row>
    <row r="23" spans="2:7">
      <c r="B23" s="50" t="s">
        <v>372</v>
      </c>
      <c r="C23" s="58" t="s">
        <v>483</v>
      </c>
      <c r="D23" s="58"/>
      <c r="E23" s="58"/>
      <c r="F23" s="58"/>
      <c r="G23" s="11" t="str">
        <f>High_Cost!M6</f>
        <v>Pass</v>
      </c>
    </row>
    <row r="24" spans="2:7">
      <c r="B24" s="50" t="s">
        <v>374</v>
      </c>
      <c r="C24" s="58" t="s">
        <v>532</v>
      </c>
      <c r="D24" s="58"/>
      <c r="E24" s="58"/>
      <c r="F24" s="58"/>
      <c r="G24" s="11" t="str">
        <f>Historical_Scores!M6</f>
        <v>Pass</v>
      </c>
    </row>
    <row r="25" spans="2:7">
      <c r="B25" s="50" t="s">
        <v>416</v>
      </c>
      <c r="C25" s="58" t="s">
        <v>533</v>
      </c>
      <c r="D25" s="58"/>
      <c r="E25" s="58"/>
      <c r="F25" s="58"/>
      <c r="G25" s="11" t="str">
        <f>Historical_Scores!M7</f>
        <v>Pass</v>
      </c>
    </row>
    <row r="26" spans="2:7">
      <c r="B26" s="50" t="s">
        <v>417</v>
      </c>
      <c r="C26" s="58" t="s">
        <v>431</v>
      </c>
      <c r="D26" s="58"/>
      <c r="E26" s="58"/>
      <c r="F26" s="58"/>
      <c r="G26" s="11" t="str">
        <f>Medical_Claims!M6</f>
        <v>Pass</v>
      </c>
    </row>
    <row r="27" spans="2:7">
      <c r="B27" s="50" t="s">
        <v>418</v>
      </c>
      <c r="C27" s="58" t="s">
        <v>432</v>
      </c>
      <c r="D27" s="58"/>
      <c r="E27" s="58"/>
      <c r="F27" s="58"/>
      <c r="G27" s="11" t="str">
        <f>Medical_Claims!M7</f>
        <v>Pass</v>
      </c>
    </row>
    <row r="28" spans="2:7">
      <c r="B28" s="50" t="s">
        <v>419</v>
      </c>
      <c r="C28" s="58" t="s">
        <v>470</v>
      </c>
      <c r="D28" s="58"/>
      <c r="E28" s="58"/>
      <c r="F28" s="58"/>
      <c r="G28" s="11" t="str">
        <f>Medical_Claims!M8</f>
        <v>Pass</v>
      </c>
    </row>
    <row r="29" spans="2:7">
      <c r="B29" s="50" t="s">
        <v>472</v>
      </c>
      <c r="C29" s="58" t="s">
        <v>502</v>
      </c>
      <c r="D29" s="58"/>
      <c r="E29" s="58"/>
      <c r="F29" s="58"/>
      <c r="G29" s="11" t="str">
        <f>Participation!M7</f>
        <v>Pass</v>
      </c>
    </row>
    <row r="30" spans="2:7">
      <c r="B30" s="50" t="s">
        <v>473</v>
      </c>
      <c r="C30" s="58" t="s">
        <v>497</v>
      </c>
      <c r="D30" s="58"/>
      <c r="E30" s="58"/>
      <c r="F30" s="58"/>
      <c r="G30" s="11" t="str">
        <f>Participation!M8</f>
        <v>Pass</v>
      </c>
    </row>
    <row r="31" spans="2:7">
      <c r="B31" s="50" t="s">
        <v>474</v>
      </c>
      <c r="C31" s="58" t="s">
        <v>498</v>
      </c>
      <c r="D31" s="58"/>
      <c r="E31" s="58"/>
      <c r="F31" s="58"/>
      <c r="G31" s="39" t="str">
        <f>Participation!M9</f>
        <v>Pass</v>
      </c>
    </row>
    <row r="32" spans="2:7">
      <c r="B32" s="50" t="s">
        <v>484</v>
      </c>
      <c r="C32" s="58" t="s">
        <v>420</v>
      </c>
      <c r="D32" s="58"/>
      <c r="E32" s="58"/>
      <c r="F32" s="58"/>
      <c r="G32" s="11" t="str">
        <f>Member_PCP!M6</f>
        <v>Pass</v>
      </c>
    </row>
    <row r="33" spans="2:7">
      <c r="B33" s="50" t="s">
        <v>485</v>
      </c>
      <c r="C33" s="58" t="s">
        <v>425</v>
      </c>
      <c r="D33" s="58"/>
      <c r="E33" s="58"/>
      <c r="F33" s="58"/>
      <c r="G33" s="11" t="str">
        <f>Member_PCP!M7</f>
        <v>Pass</v>
      </c>
    </row>
    <row r="34" spans="2:7">
      <c r="B34" s="50" t="s">
        <v>486</v>
      </c>
      <c r="C34" s="58" t="s">
        <v>421</v>
      </c>
      <c r="D34" s="58"/>
      <c r="E34" s="58"/>
      <c r="F34" s="58"/>
      <c r="G34" s="11" t="str">
        <f>Pharmacy!M6</f>
        <v>Pass</v>
      </c>
    </row>
    <row r="35" spans="2:7">
      <c r="B35" s="50" t="s">
        <v>487</v>
      </c>
      <c r="C35" s="58" t="s">
        <v>426</v>
      </c>
      <c r="D35" s="58"/>
      <c r="E35" s="58"/>
      <c r="F35" s="58"/>
      <c r="G35" s="11" t="str">
        <f>Pharmacy!M7</f>
        <v>Pass</v>
      </c>
    </row>
    <row r="36" spans="2:7">
      <c r="B36" s="50" t="s">
        <v>499</v>
      </c>
      <c r="C36" s="58" t="s">
        <v>471</v>
      </c>
      <c r="D36" s="58"/>
      <c r="E36" s="58"/>
      <c r="F36" s="58"/>
      <c r="G36" s="11" t="str">
        <f>Pharmacy!M8</f>
        <v>Pass</v>
      </c>
    </row>
    <row r="37" spans="2:7">
      <c r="B37" s="50" t="s">
        <v>500</v>
      </c>
      <c r="C37" s="58" t="s">
        <v>422</v>
      </c>
      <c r="D37" s="58"/>
      <c r="E37" s="58"/>
      <c r="F37" s="58"/>
      <c r="G37" s="11" t="str">
        <f>Quality_Metrics!M6</f>
        <v>Pass</v>
      </c>
    </row>
    <row r="38" spans="2:7">
      <c r="B38" s="50" t="s">
        <v>501</v>
      </c>
      <c r="C38" s="58" t="s">
        <v>427</v>
      </c>
      <c r="D38" s="58"/>
      <c r="E38" s="58"/>
      <c r="F38" s="58"/>
      <c r="G38" s="11" t="str">
        <f>Quality_Metrics!M7</f>
        <v>Pass</v>
      </c>
    </row>
    <row r="39" spans="2:7">
      <c r="B39" s="50" t="s">
        <v>523</v>
      </c>
      <c r="C39" s="58" t="s">
        <v>423</v>
      </c>
      <c r="D39" s="58"/>
      <c r="E39" s="58"/>
      <c r="F39" s="58"/>
      <c r="G39" s="11" t="str">
        <f>Scores!M6</f>
        <v>Pass</v>
      </c>
    </row>
    <row r="40" spans="2:7">
      <c r="B40" s="50" t="s">
        <v>524</v>
      </c>
      <c r="C40" s="58" t="s">
        <v>428</v>
      </c>
      <c r="D40" s="58"/>
      <c r="E40" s="58"/>
      <c r="F40" s="58"/>
      <c r="G40" s="11" t="str">
        <f>Scores!M7</f>
        <v>Pass</v>
      </c>
    </row>
    <row r="41" spans="2:7">
      <c r="B41" s="50" t="s">
        <v>530</v>
      </c>
      <c r="C41" s="58" t="s">
        <v>424</v>
      </c>
      <c r="D41" s="58"/>
      <c r="E41" s="58"/>
      <c r="F41" s="58"/>
      <c r="G41" s="11" t="str">
        <f>Visit!M6</f>
        <v>Pass</v>
      </c>
    </row>
    <row r="42" spans="2:7">
      <c r="B42" s="50" t="s">
        <v>531</v>
      </c>
      <c r="C42" s="58" t="s">
        <v>429</v>
      </c>
      <c r="D42" s="58"/>
      <c r="E42" s="58"/>
      <c r="F42" s="58"/>
      <c r="G42" s="11" t="str">
        <f>Visit!M7</f>
        <v>Pass</v>
      </c>
    </row>
  </sheetData>
  <mergeCells count="33"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  <mergeCell ref="B1:G1"/>
    <mergeCell ref="C14:F14"/>
    <mergeCell ref="C13:F13"/>
    <mergeCell ref="B12:G12"/>
    <mergeCell ref="C19:F19"/>
    <mergeCell ref="C17:F17"/>
    <mergeCell ref="C16:F16"/>
    <mergeCell ref="C18:F18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</mergeCells>
  <conditionalFormatting sqref="F10 G14:G42">
    <cfRule type="cellIs" dxfId="209" priority="41" operator="equal">
      <formula>"Fail"</formula>
    </cfRule>
    <cfRule type="cellIs" dxfId="208" priority="42" operator="equal">
      <formula>"Pass"</formula>
    </cfRule>
  </conditionalFormatting>
  <conditionalFormatting sqref="F10 G14:G42">
    <cfRule type="cellIs" dxfId="207" priority="39" operator="equal">
      <formula>"Not Tested"</formula>
    </cfRule>
    <cfRule type="cellIs" dxfId="206" priority="40" operator="equal">
      <formula>"Partially Pass"</formula>
    </cfRule>
  </conditionalFormatting>
  <conditionalFormatting sqref="F10">
    <cfRule type="containsText" dxfId="205" priority="1" operator="containsText" text="Partially Pass">
      <formula>NOT(ISERROR(SEARCH("Partially Pass",F10)))</formula>
    </cfRule>
    <cfRule type="containsText" dxfId="204" priority="2" operator="containsText" text="Pass">
      <formula>NOT(ISERROR(SEARCH("Pass",F10)))</formula>
    </cfRule>
    <cfRule type="cellIs" dxfId="203" priority="25" operator="equal">
      <formula>"Not Tested"</formula>
    </cfRule>
    <cfRule type="cellIs" dxfId="202" priority="26" operator="equal">
      <formula>"Pending"</formula>
    </cfRule>
    <cfRule type="cellIs" dxfId="201" priority="27" operator="equal">
      <formula>"Ongoing"</formula>
    </cfRule>
    <cfRule type="cellIs" dxfId="200" priority="28" operator="equal">
      <formula>"Blocked"</formula>
    </cfRule>
    <cfRule type="cellIs" dxfId="199" priority="29" operator="equal">
      <formula>"Fail"</formula>
    </cfRule>
    <cfRule type="cellIs" dxfId="198" priority="30" operator="equal">
      <formula>"Partially Fail"</formula>
    </cfRule>
    <cfRule type="cellIs" dxfId="197" priority="31" operator="equal">
      <formula>"Pass"</formula>
    </cfRule>
  </conditionalFormatting>
  <conditionalFormatting sqref="F10">
    <cfRule type="cellIs" dxfId="196" priority="32" operator="equal">
      <formula>"Not Tested"</formula>
    </cfRule>
    <cfRule type="cellIs" dxfId="195" priority="33" operator="equal">
      <formula>"Pending"</formula>
    </cfRule>
    <cfRule type="cellIs" dxfId="194" priority="34" operator="equal">
      <formula>"Ongoing"</formula>
    </cfRule>
    <cfRule type="cellIs" dxfId="193" priority="35" operator="equal">
      <formula>"Blocked"</formula>
    </cfRule>
    <cfRule type="cellIs" dxfId="192" priority="36" operator="equal">
      <formula>"Fail"</formula>
    </cfRule>
    <cfRule type="cellIs" dxfId="191" priority="37" operator="equal">
      <formula>"Partially Pass"</formula>
    </cfRule>
    <cfRule type="cellIs" dxfId="190" priority="38" operator="equal">
      <formula>"Pass"</formula>
    </cfRule>
  </conditionalFormatting>
  <conditionalFormatting sqref="G42">
    <cfRule type="cellIs" dxfId="189" priority="5" operator="equal">
      <formula>"Fail"</formula>
    </cfRule>
    <cfRule type="cellIs" dxfId="188" priority="6" operator="equal">
      <formula>"Pass"</formula>
    </cfRule>
  </conditionalFormatting>
  <conditionalFormatting sqref="G42">
    <cfRule type="cellIs" dxfId="187" priority="3" operator="equal">
      <formula>"Not Tested"</formula>
    </cfRule>
    <cfRule type="cellIs" dxfId="186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V33"/>
  <sheetViews>
    <sheetView showGridLines="0" workbookViewId="0">
      <pane ySplit="2" topLeftCell="A3" activePane="bottomLeft" state="frozen"/>
      <selection pane="bottomLeft" activeCell="B1" sqref="B1:C1"/>
    </sheetView>
  </sheetViews>
  <sheetFormatPr defaultRowHeight="1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  <col min="22" max="22" width="14.85546875" bestFit="1" customWidth="1"/>
  </cols>
  <sheetData>
    <row r="1" spans="2:22">
      <c r="B1" s="63" t="s">
        <v>391</v>
      </c>
      <c r="C1" s="63"/>
      <c r="D1" s="63" t="s">
        <v>357</v>
      </c>
      <c r="E1" s="63"/>
      <c r="F1" s="64" t="s">
        <v>375</v>
      </c>
      <c r="G1" s="64" t="s">
        <v>360</v>
      </c>
      <c r="M1" s="26" t="s">
        <v>413</v>
      </c>
    </row>
    <row r="2" spans="2:22">
      <c r="B2" s="15" t="s">
        <v>358</v>
      </c>
      <c r="C2" s="15" t="s">
        <v>359</v>
      </c>
      <c r="D2" s="15" t="s">
        <v>358</v>
      </c>
      <c r="E2" s="15" t="s">
        <v>359</v>
      </c>
      <c r="F2" s="64"/>
      <c r="G2" s="64"/>
      <c r="K2" s="24" t="s">
        <v>430</v>
      </c>
      <c r="L2" s="11" t="str">
        <f>IF(ISERROR(VLOOKUP($M$1,$G$2:$G$11,1,)),"Pass","Fail")</f>
        <v>Fail</v>
      </c>
    </row>
    <row r="3" spans="2:22">
      <c r="B3" s="52" t="s">
        <v>505</v>
      </c>
      <c r="C3" s="52" t="s">
        <v>534</v>
      </c>
      <c r="D3" s="52" t="s">
        <v>505</v>
      </c>
      <c r="E3" s="52" t="s">
        <v>546</v>
      </c>
      <c r="F3" s="2">
        <f>IF(I3=0,0%,(I3-H3)/I3)</f>
        <v>-6.0913705583756285E-2</v>
      </c>
      <c r="G3" s="11" t="str">
        <f>IF(AND(F3&lt;=10%,F3&gt;=-10%),"Pass","Fail")</f>
        <v>Pass</v>
      </c>
      <c r="H3" s="53" t="str">
        <f>LEFT(C3, SEARCH(" ", C3, 1))</f>
        <v xml:space="preserve">4.18 </v>
      </c>
      <c r="I3" s="53" t="str">
        <f t="shared" ref="I3:I14" si="0">LEFT(E3, SEARCH(" ", E3, 1))</f>
        <v xml:space="preserve">3.94 </v>
      </c>
      <c r="K3" s="54"/>
      <c r="L3" s="37"/>
    </row>
    <row r="4" spans="2:22">
      <c r="B4" s="53" t="s">
        <v>488</v>
      </c>
      <c r="C4" s="52" t="s">
        <v>535</v>
      </c>
      <c r="D4" s="47" t="s">
        <v>488</v>
      </c>
      <c r="E4" s="52" t="s">
        <v>547</v>
      </c>
      <c r="F4" s="2">
        <f t="shared" ref="F4:F14" si="1">IF(I4=0,0%,(I4-H4)/I4)</f>
        <v>4.4585987261146535E-2</v>
      </c>
      <c r="G4" s="11" t="str">
        <f t="shared" ref="G4:G13" si="2">IF(AND(F4&lt;=10%,F4&gt;=-10%),"Pass","Fail")</f>
        <v>Pass</v>
      </c>
      <c r="H4" s="1" t="str">
        <f>LEFT(C4, SEARCH(" ", C4, 1))</f>
        <v xml:space="preserve">1.50 </v>
      </c>
      <c r="I4" s="1" t="str">
        <f t="shared" si="0"/>
        <v xml:space="preserve">1.57 </v>
      </c>
    </row>
    <row r="5" spans="2:22">
      <c r="B5" s="53" t="s">
        <v>73</v>
      </c>
      <c r="C5" s="52" t="s">
        <v>536</v>
      </c>
      <c r="D5" s="47" t="s">
        <v>73</v>
      </c>
      <c r="E5" s="52" t="s">
        <v>548</v>
      </c>
      <c r="F5" s="2">
        <f t="shared" si="1"/>
        <v>0.14640812077043205</v>
      </c>
      <c r="G5" s="11" t="str">
        <f t="shared" si="2"/>
        <v>Fail</v>
      </c>
      <c r="H5" s="1" t="str">
        <f t="shared" ref="H5:H11" si="3">LEFT(C5, SEARCH(" ", C5, 1))</f>
        <v xml:space="preserve">65.59 </v>
      </c>
      <c r="I5" s="1" t="str">
        <f t="shared" si="0"/>
        <v xml:space="preserve">76.84 </v>
      </c>
    </row>
    <row r="6" spans="2:22">
      <c r="B6" s="53" t="s">
        <v>489</v>
      </c>
      <c r="C6" s="52" t="s">
        <v>557</v>
      </c>
      <c r="D6" s="47" t="s">
        <v>489</v>
      </c>
      <c r="E6" s="52" t="s">
        <v>549</v>
      </c>
      <c r="F6" s="2">
        <f t="shared" si="1"/>
        <v>1.8880992949064257E-2</v>
      </c>
      <c r="G6" s="11" t="str">
        <f t="shared" si="2"/>
        <v>Pass</v>
      </c>
      <c r="H6" s="1" t="str">
        <f t="shared" si="3"/>
        <v xml:space="preserve">708.26 </v>
      </c>
      <c r="I6" s="1" t="str">
        <f t="shared" si="0"/>
        <v xml:space="preserve">721.89 </v>
      </c>
      <c r="M6" s="28"/>
    </row>
    <row r="7" spans="2:22">
      <c r="B7" s="53" t="s">
        <v>506</v>
      </c>
      <c r="C7" s="52" t="s">
        <v>538</v>
      </c>
      <c r="D7" s="50" t="s">
        <v>506</v>
      </c>
      <c r="E7" s="52" t="s">
        <v>550</v>
      </c>
      <c r="F7" s="2">
        <f t="shared" si="1"/>
        <v>0.98682208966448448</v>
      </c>
      <c r="G7" s="11" t="str">
        <f t="shared" si="2"/>
        <v>Fail</v>
      </c>
      <c r="H7" s="53" t="str">
        <f t="shared" si="3"/>
        <v xml:space="preserve">7.71 </v>
      </c>
      <c r="I7" s="53" t="str">
        <f t="shared" si="0"/>
        <v xml:space="preserve">585.07 </v>
      </c>
      <c r="M7" s="28"/>
    </row>
    <row r="8" spans="2:22">
      <c r="B8" s="53" t="s">
        <v>74</v>
      </c>
      <c r="C8" s="52" t="s">
        <v>539</v>
      </c>
      <c r="D8" s="47" t="s">
        <v>74</v>
      </c>
      <c r="E8" s="52" t="s">
        <v>551</v>
      </c>
      <c r="F8" s="2">
        <f t="shared" si="1"/>
        <v>2.7860551376357092E-2</v>
      </c>
      <c r="G8" s="11" t="str">
        <f t="shared" si="2"/>
        <v>Pass</v>
      </c>
      <c r="H8" s="1" t="str">
        <f t="shared" si="3"/>
        <v xml:space="preserve">466.52 </v>
      </c>
      <c r="I8" s="1" t="str">
        <f t="shared" si="0"/>
        <v xml:space="preserve">479.89 </v>
      </c>
      <c r="M8" s="28"/>
    </row>
    <row r="9" spans="2:22">
      <c r="B9" s="53" t="s">
        <v>490</v>
      </c>
      <c r="C9" s="52" t="s">
        <v>552</v>
      </c>
      <c r="D9" s="47" t="s">
        <v>490</v>
      </c>
      <c r="E9" s="52" t="s">
        <v>552</v>
      </c>
      <c r="F9" s="2">
        <f t="shared" si="1"/>
        <v>0</v>
      </c>
      <c r="G9" s="11" t="str">
        <f t="shared" si="2"/>
        <v>Pass</v>
      </c>
      <c r="H9" s="1" t="str">
        <f t="shared" si="3"/>
        <v xml:space="preserve">151 </v>
      </c>
      <c r="I9" s="1" t="str">
        <f t="shared" si="0"/>
        <v xml:space="preserve">151 </v>
      </c>
      <c r="M9" s="28"/>
      <c r="T9" t="s">
        <v>505</v>
      </c>
      <c r="U9" t="s">
        <v>534</v>
      </c>
      <c r="V9" s="28"/>
    </row>
    <row r="10" spans="2:22">
      <c r="B10" s="53" t="s">
        <v>75</v>
      </c>
      <c r="C10" s="52" t="s">
        <v>558</v>
      </c>
      <c r="D10" s="47" t="s">
        <v>75</v>
      </c>
      <c r="E10" s="52" t="s">
        <v>553</v>
      </c>
      <c r="F10" s="2">
        <f t="shared" si="1"/>
        <v>-2.7914018514721595E-3</v>
      </c>
      <c r="G10" s="11" t="str">
        <f t="shared" si="2"/>
        <v>Pass</v>
      </c>
      <c r="H10" s="1" t="str">
        <f t="shared" si="3"/>
        <v xml:space="preserve">635.86 </v>
      </c>
      <c r="I10" s="1" t="str">
        <f t="shared" si="0"/>
        <v xml:space="preserve">634.09 </v>
      </c>
      <c r="M10" s="28"/>
      <c r="T10" t="s">
        <v>488</v>
      </c>
      <c r="U10" t="s">
        <v>535</v>
      </c>
      <c r="V10" s="28"/>
    </row>
    <row r="11" spans="2:22">
      <c r="B11" s="53" t="s">
        <v>76</v>
      </c>
      <c r="C11" s="52" t="s">
        <v>541</v>
      </c>
      <c r="D11" s="47" t="s">
        <v>76</v>
      </c>
      <c r="E11" s="52" t="s">
        <v>554</v>
      </c>
      <c r="F11" s="2">
        <f t="shared" si="1"/>
        <v>5.4873054873055008E-2</v>
      </c>
      <c r="G11" s="11" t="str">
        <f t="shared" si="2"/>
        <v>Pass</v>
      </c>
      <c r="H11" s="1" t="str">
        <f t="shared" si="3"/>
        <v xml:space="preserve">46.16 </v>
      </c>
      <c r="I11" s="1" t="str">
        <f t="shared" si="0"/>
        <v xml:space="preserve">48.84 </v>
      </c>
      <c r="M11" s="28"/>
      <c r="T11" t="s">
        <v>73</v>
      </c>
      <c r="U11" t="s">
        <v>536</v>
      </c>
      <c r="V11" s="28"/>
    </row>
    <row r="12" spans="2:22">
      <c r="B12" s="53" t="s">
        <v>77</v>
      </c>
      <c r="C12" s="52" t="s">
        <v>542</v>
      </c>
      <c r="D12" s="47" t="s">
        <v>77</v>
      </c>
      <c r="E12" s="52" t="s">
        <v>555</v>
      </c>
      <c r="F12" s="2">
        <f t="shared" si="1"/>
        <v>0.13761955366631243</v>
      </c>
      <c r="G12" s="11" t="str">
        <f t="shared" si="2"/>
        <v>Fail</v>
      </c>
      <c r="H12" s="47" t="str">
        <f t="shared" ref="H12:H14" si="4">LEFT(C12, SEARCH(" ", C12, 1))</f>
        <v xml:space="preserve">16.23 </v>
      </c>
      <c r="I12" s="47" t="str">
        <f t="shared" si="0"/>
        <v xml:space="preserve">18.82 </v>
      </c>
      <c r="M12" s="28"/>
      <c r="T12" t="s">
        <v>489</v>
      </c>
      <c r="U12" t="s">
        <v>537</v>
      </c>
      <c r="V12" s="28"/>
    </row>
    <row r="13" spans="2:22">
      <c r="B13" s="53" t="s">
        <v>78</v>
      </c>
      <c r="C13" s="52" t="s">
        <v>559</v>
      </c>
      <c r="D13" s="47" t="s">
        <v>78</v>
      </c>
      <c r="E13" s="52" t="s">
        <v>550</v>
      </c>
      <c r="F13" s="2">
        <f t="shared" si="1"/>
        <v>-7.631565453706389E-2</v>
      </c>
      <c r="G13" s="11" t="str">
        <f t="shared" si="2"/>
        <v>Pass</v>
      </c>
      <c r="H13" s="47" t="str">
        <f t="shared" si="4"/>
        <v xml:space="preserve">629.72 </v>
      </c>
      <c r="I13" s="47" t="str">
        <f t="shared" si="0"/>
        <v xml:space="preserve">585.07 </v>
      </c>
      <c r="M13" s="28"/>
      <c r="T13" t="s">
        <v>506</v>
      </c>
      <c r="U13" t="s">
        <v>538</v>
      </c>
      <c r="V13" s="28"/>
    </row>
    <row r="14" spans="2:22">
      <c r="B14" s="53" t="s">
        <v>79</v>
      </c>
      <c r="C14" s="52" t="s">
        <v>544</v>
      </c>
      <c r="D14" s="47" t="s">
        <v>79</v>
      </c>
      <c r="E14" s="52" t="s">
        <v>556</v>
      </c>
      <c r="F14" s="2">
        <f t="shared" si="1"/>
        <v>3.6605657237936733E-2</v>
      </c>
      <c r="G14" s="11" t="str">
        <f>IF(AND(F14&lt;=10%,F14&gt;=-10%),"Pass","Fail")</f>
        <v>Pass</v>
      </c>
      <c r="H14" s="47" t="str">
        <f t="shared" si="4"/>
        <v xml:space="preserve">5.79 </v>
      </c>
      <c r="I14" s="47" t="str">
        <f t="shared" si="0"/>
        <v xml:space="preserve">6.01 </v>
      </c>
      <c r="M14" s="28"/>
      <c r="T14" t="s">
        <v>74</v>
      </c>
      <c r="U14" t="s">
        <v>539</v>
      </c>
      <c r="V14" s="28"/>
    </row>
    <row r="15" spans="2:22">
      <c r="M15" s="28"/>
      <c r="T15" t="s">
        <v>490</v>
      </c>
      <c r="U15" t="s">
        <v>507</v>
      </c>
      <c r="V15" s="28"/>
    </row>
    <row r="16" spans="2:22">
      <c r="M16" s="28"/>
      <c r="T16" t="s">
        <v>75</v>
      </c>
      <c r="U16" t="s">
        <v>540</v>
      </c>
      <c r="V16" s="28"/>
    </row>
    <row r="17" spans="2:22">
      <c r="K17" s="28"/>
      <c r="M17" s="28"/>
      <c r="T17" t="s">
        <v>76</v>
      </c>
      <c r="U17" t="s">
        <v>541</v>
      </c>
      <c r="V17" s="28"/>
    </row>
    <row r="18" spans="2:22">
      <c r="E18" s="28"/>
      <c r="M18" s="28"/>
      <c r="T18" t="s">
        <v>77</v>
      </c>
      <c r="U18" t="s">
        <v>542</v>
      </c>
      <c r="V18" s="28"/>
    </row>
    <row r="19" spans="2:22">
      <c r="M19" s="28"/>
      <c r="T19" t="s">
        <v>78</v>
      </c>
      <c r="U19" t="s">
        <v>543</v>
      </c>
      <c r="V19" s="28"/>
    </row>
    <row r="20" spans="2:22">
      <c r="B20" s="28"/>
      <c r="M20" s="28"/>
      <c r="T20" t="s">
        <v>79</v>
      </c>
      <c r="U20" t="s">
        <v>544</v>
      </c>
      <c r="V20" s="28"/>
    </row>
    <row r="21" spans="2:22">
      <c r="B21" s="28"/>
      <c r="M21" s="28"/>
      <c r="V21" s="28"/>
    </row>
    <row r="22" spans="2:22">
      <c r="B22" s="28"/>
      <c r="M22" s="28"/>
      <c r="V22" s="28"/>
    </row>
    <row r="23" spans="2:22">
      <c r="B23" s="28"/>
      <c r="M23" s="28"/>
      <c r="V23" s="28"/>
    </row>
    <row r="24" spans="2:22">
      <c r="B24" s="28"/>
      <c r="M24" s="28"/>
      <c r="V24" s="28"/>
    </row>
    <row r="25" spans="2:22">
      <c r="B25" s="28"/>
      <c r="M25" s="28"/>
      <c r="V25" s="28"/>
    </row>
    <row r="26" spans="2:22">
      <c r="B26" s="28"/>
      <c r="M26" s="28"/>
      <c r="V26" s="28"/>
    </row>
    <row r="27" spans="2:22">
      <c r="M27" s="28"/>
      <c r="V27" s="28"/>
    </row>
    <row r="28" spans="2:22">
      <c r="M28" s="28"/>
      <c r="V28" s="28"/>
    </row>
    <row r="29" spans="2:22">
      <c r="M29" s="28"/>
      <c r="V29" s="28"/>
    </row>
    <row r="30" spans="2:22">
      <c r="M30" s="28"/>
      <c r="V30" s="28"/>
    </row>
    <row r="31" spans="2:22">
      <c r="M31" s="28"/>
      <c r="V31" s="28"/>
    </row>
    <row r="32" spans="2:22">
      <c r="V32" s="28"/>
    </row>
    <row r="33" spans="22:22">
      <c r="V33" s="28"/>
    </row>
  </sheetData>
  <mergeCells count="4">
    <mergeCell ref="B1:C1"/>
    <mergeCell ref="D1:E1"/>
    <mergeCell ref="G1:G2"/>
    <mergeCell ref="F1:F2"/>
  </mergeCells>
  <conditionalFormatting sqref="G4:G14">
    <cfRule type="cellIs" dxfId="185" priority="11" operator="equal">
      <formula>"Fail"</formula>
    </cfRule>
    <cfRule type="cellIs" dxfId="184" priority="12" operator="equal">
      <formula>"Pass"</formula>
    </cfRule>
  </conditionalFormatting>
  <conditionalFormatting sqref="L3">
    <cfRule type="cellIs" dxfId="183" priority="9" operator="equal">
      <formula>"Fail"</formula>
    </cfRule>
    <cfRule type="cellIs" dxfId="182" priority="10" operator="equal">
      <formula>"Pass"</formula>
    </cfRule>
  </conditionalFormatting>
  <conditionalFormatting sqref="G3:G14">
    <cfRule type="cellIs" dxfId="181" priority="5" operator="equal">
      <formula>"Fail"</formula>
    </cfRule>
    <cfRule type="cellIs" dxfId="180" priority="6" operator="equal">
      <formula>"Pass"</formula>
    </cfRule>
  </conditionalFormatting>
  <conditionalFormatting sqref="L2">
    <cfRule type="cellIs" dxfId="179" priority="3" operator="equal">
      <formula>"Fail"</formula>
    </cfRule>
    <cfRule type="cellIs" dxfId="178" priority="4" operator="equal">
      <formula>"Pass"</formula>
    </cfRule>
  </conditionalFormatting>
  <conditionalFormatting sqref="L2">
    <cfRule type="cellIs" dxfId="177" priority="1" operator="equal">
      <formula>"Fail"</formula>
    </cfRule>
    <cfRule type="cellIs" dxfId="17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O19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18431</v>
      </c>
      <c r="M2" s="19">
        <v>19501</v>
      </c>
      <c r="N2" s="22">
        <f>L2-M2</f>
        <v>-1070</v>
      </c>
    </row>
    <row r="3" spans="2:15">
      <c r="B3" s="50" t="s">
        <v>71</v>
      </c>
      <c r="C3" s="50" t="s">
        <v>399</v>
      </c>
      <c r="D3" s="11">
        <v>50</v>
      </c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>
      <c r="B4" s="50" t="s">
        <v>0</v>
      </c>
      <c r="C4" s="50" t="s">
        <v>399</v>
      </c>
      <c r="D4" s="11">
        <v>50</v>
      </c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5">
      <c r="B5" s="50" t="s">
        <v>508</v>
      </c>
      <c r="C5" s="50" t="s">
        <v>399</v>
      </c>
      <c r="D5" s="11">
        <v>50</v>
      </c>
      <c r="E5" s="50" t="s">
        <v>508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>
      <c r="B6" s="50" t="s">
        <v>509</v>
      </c>
      <c r="C6" s="50" t="s">
        <v>399</v>
      </c>
      <c r="D6" s="11">
        <v>20</v>
      </c>
      <c r="E6" s="50" t="s">
        <v>509</v>
      </c>
      <c r="F6" s="11">
        <v>17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>
      <c r="B7" s="50" t="s">
        <v>510</v>
      </c>
      <c r="C7" s="50" t="s">
        <v>399</v>
      </c>
      <c r="D7" s="11">
        <v>10</v>
      </c>
      <c r="E7" s="50" t="s">
        <v>510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-5.4868981077893439E-2</v>
      </c>
    </row>
    <row r="8" spans="2:15">
      <c r="B8" s="50" t="s">
        <v>8</v>
      </c>
      <c r="C8" s="50" t="s">
        <v>400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-6.0913705583756285E-2</v>
      </c>
    </row>
    <row r="9" spans="2:15">
      <c r="B9" s="50" t="s">
        <v>7</v>
      </c>
      <c r="C9" s="50" t="s">
        <v>399</v>
      </c>
      <c r="D9" s="11">
        <v>10</v>
      </c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>
      <c r="B10" s="50" t="s">
        <v>511</v>
      </c>
      <c r="C10" s="50" t="s">
        <v>399</v>
      </c>
      <c r="D10" s="11">
        <v>10</v>
      </c>
      <c r="E10" s="50" t="s">
        <v>511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>
      <c r="B11" s="50" t="s">
        <v>512</v>
      </c>
      <c r="C11" s="50" t="s">
        <v>399</v>
      </c>
      <c r="D11" s="11">
        <v>50</v>
      </c>
      <c r="E11" s="50" t="s">
        <v>512</v>
      </c>
      <c r="F11" s="11">
        <v>42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>
      <c r="B12" s="57" t="s">
        <v>513</v>
      </c>
      <c r="C12" s="50" t="s">
        <v>399</v>
      </c>
      <c r="D12" s="11">
        <v>54</v>
      </c>
      <c r="E12" s="50" t="s">
        <v>513</v>
      </c>
      <c r="F12" s="11">
        <v>54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>
      <c r="B13" s="57" t="s">
        <v>514</v>
      </c>
      <c r="C13" s="50" t="s">
        <v>399</v>
      </c>
      <c r="D13" s="11">
        <v>3</v>
      </c>
      <c r="E13" s="50" t="s">
        <v>514</v>
      </c>
      <c r="F13" s="11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>
      <c r="B14" s="50" t="s">
        <v>515</v>
      </c>
      <c r="C14" s="50" t="s">
        <v>399</v>
      </c>
      <c r="D14" s="11">
        <v>3</v>
      </c>
      <c r="E14" s="50" t="s">
        <v>515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>
      <c r="B15" s="50" t="s">
        <v>516</v>
      </c>
      <c r="C15" s="50" t="s">
        <v>400</v>
      </c>
      <c r="D15" s="11"/>
      <c r="E15" s="50" t="s">
        <v>516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>
      <c r="B16" s="50" t="s">
        <v>517</v>
      </c>
      <c r="C16" s="50" t="s">
        <v>399</v>
      </c>
      <c r="D16" s="11">
        <v>50</v>
      </c>
      <c r="E16" s="50" t="s">
        <v>517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>
      <c r="B17" s="57" t="s">
        <v>518</v>
      </c>
      <c r="C17" s="50" t="s">
        <v>399</v>
      </c>
      <c r="D17" s="11">
        <v>94</v>
      </c>
      <c r="E17" s="50" t="s">
        <v>518</v>
      </c>
      <c r="F17" s="11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>
      <c r="B18" s="50" t="s">
        <v>519</v>
      </c>
      <c r="C18" s="50" t="s">
        <v>399</v>
      </c>
      <c r="D18" s="11">
        <v>50</v>
      </c>
      <c r="E18" s="50" t="s">
        <v>519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>
      <c r="B19" s="50" t="s">
        <v>520</v>
      </c>
      <c r="C19" s="50" t="s">
        <v>399</v>
      </c>
      <c r="D19" s="11">
        <v>50</v>
      </c>
      <c r="E19" s="50" t="s">
        <v>520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75" priority="7" operator="equal">
      <formula>"Fail"</formula>
    </cfRule>
    <cfRule type="cellIs" dxfId="174" priority="8" operator="equal">
      <formula>"Pass"</formula>
    </cfRule>
  </conditionalFormatting>
  <conditionalFormatting sqref="G2:H19">
    <cfRule type="cellIs" dxfId="173" priority="5" operator="equal">
      <formula>"Fail"</formula>
    </cfRule>
    <cfRule type="cellIs" dxfId="172" priority="6" operator="equal">
      <formula>"Pass"</formula>
    </cfRule>
  </conditionalFormatting>
  <conditionalFormatting sqref="M5:M6">
    <cfRule type="cellIs" dxfId="171" priority="3" operator="equal">
      <formula>"Fail"</formula>
    </cfRule>
    <cfRule type="cellIs" dxfId="170" priority="4" operator="equal">
      <formula>"Pass"</formula>
    </cfRule>
  </conditionalFormatting>
  <conditionalFormatting sqref="M5:M6">
    <cfRule type="cellIs" dxfId="169" priority="1" operator="equal">
      <formula>"Fail"</formula>
    </cfRule>
    <cfRule type="cellIs" dxfId="16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O27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44" t="s">
        <v>83</v>
      </c>
      <c r="C2" s="44" t="s">
        <v>398</v>
      </c>
      <c r="D2" s="11"/>
      <c r="E2" s="44" t="s">
        <v>83</v>
      </c>
      <c r="F2" s="11">
        <v>4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6080</v>
      </c>
      <c r="M2" s="19">
        <v>5889</v>
      </c>
      <c r="N2" s="22">
        <f>L2-M2</f>
        <v>191</v>
      </c>
    </row>
    <row r="3" spans="2:1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>
      <c r="B6" s="44" t="s">
        <v>0</v>
      </c>
      <c r="C6" s="44" t="s">
        <v>399</v>
      </c>
      <c r="D6" s="56">
        <v>32</v>
      </c>
      <c r="E6" s="44" t="s">
        <v>0</v>
      </c>
      <c r="F6" s="11">
        <v>32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>
      <c r="B7" s="44" t="s">
        <v>2</v>
      </c>
      <c r="C7" s="44" t="s">
        <v>399</v>
      </c>
      <c r="D7" s="56">
        <v>22</v>
      </c>
      <c r="E7" s="44" t="s">
        <v>2</v>
      </c>
      <c r="F7" s="11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3.2433350314145015E-2</v>
      </c>
    </row>
    <row r="8" spans="2:1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4.4585987261146535E-2</v>
      </c>
    </row>
    <row r="9" spans="2:15">
      <c r="B9" s="44" t="s">
        <v>4</v>
      </c>
      <c r="C9" s="44" t="s">
        <v>399</v>
      </c>
      <c r="D9" s="11">
        <v>100</v>
      </c>
      <c r="E9" s="44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>
      <c r="B10" s="44" t="s">
        <v>5</v>
      </c>
      <c r="C10" s="44" t="s">
        <v>399</v>
      </c>
      <c r="D10" s="11">
        <v>100</v>
      </c>
      <c r="E10" s="44" t="s">
        <v>5</v>
      </c>
      <c r="F10" s="11">
        <v>20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>
      <c r="B13" s="44" t="s">
        <v>8</v>
      </c>
      <c r="C13" s="44" t="s">
        <v>400</v>
      </c>
      <c r="D13" s="11"/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>
      <c r="B16" s="44" t="s">
        <v>11</v>
      </c>
      <c r="C16" s="44" t="s">
        <v>399</v>
      </c>
      <c r="D16" s="11">
        <v>100</v>
      </c>
      <c r="E16" s="44" t="s">
        <v>11</v>
      </c>
      <c r="F16" s="11">
        <v>19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>
      <c r="B20" s="44" t="s">
        <v>15</v>
      </c>
      <c r="C20" s="44" t="s">
        <v>399</v>
      </c>
      <c r="D20" s="11">
        <v>100</v>
      </c>
      <c r="E20" s="44" t="s">
        <v>15</v>
      </c>
      <c r="F20" s="11">
        <v>10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>
      <c r="B23" s="44" t="s">
        <v>18</v>
      </c>
      <c r="C23" s="44" t="s">
        <v>399</v>
      </c>
      <c r="D23" s="11">
        <v>10</v>
      </c>
      <c r="E23" s="44" t="s">
        <v>18</v>
      </c>
      <c r="F23" s="11">
        <v>1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>
      <c r="B24" s="44" t="s">
        <v>19</v>
      </c>
      <c r="C24" s="44" t="s">
        <v>399</v>
      </c>
      <c r="D24" s="11">
        <v>50</v>
      </c>
      <c r="E24" s="44" t="s">
        <v>19</v>
      </c>
      <c r="F24" s="11">
        <v>42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>
      <c r="B27" s="44" t="s">
        <v>88</v>
      </c>
      <c r="C27" s="44" t="s">
        <v>399</v>
      </c>
      <c r="D27" s="11">
        <v>100</v>
      </c>
      <c r="E27" s="44" t="s">
        <v>88</v>
      </c>
      <c r="F27" s="11">
        <v>8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67" priority="7" operator="equal">
      <formula>"Fail"</formula>
    </cfRule>
    <cfRule type="cellIs" dxfId="166" priority="8" operator="equal">
      <formula>"Pass"</formula>
    </cfRule>
  </conditionalFormatting>
  <conditionalFormatting sqref="G2:H27">
    <cfRule type="cellIs" dxfId="165" priority="5" operator="equal">
      <formula>"Fail"</formula>
    </cfRule>
    <cfRule type="cellIs" dxfId="164" priority="6" operator="equal">
      <formula>"Pass"</formula>
    </cfRule>
  </conditionalFormatting>
  <conditionalFormatting sqref="M5:M6">
    <cfRule type="cellIs" dxfId="163" priority="3" operator="equal">
      <formula>"Fail"</formula>
    </cfRule>
    <cfRule type="cellIs" dxfId="162" priority="4" operator="equal">
      <formula>"Pass"</formula>
    </cfRule>
  </conditionalFormatting>
  <conditionalFormatting sqref="M5:M6">
    <cfRule type="cellIs" dxfId="161" priority="1" operator="equal">
      <formula>"Fail"</formula>
    </cfRule>
    <cfRule type="cellIs" dxfId="16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/>
  <dimension ref="B1:O94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1" t="s">
        <v>0</v>
      </c>
      <c r="C2" s="17" t="s">
        <v>399</v>
      </c>
      <c r="D2" s="56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145713</v>
      </c>
      <c r="M2" s="65">
        <v>145713</v>
      </c>
      <c r="N2" s="22">
        <f>L2-M2</f>
        <v>0</v>
      </c>
    </row>
    <row r="3" spans="2:1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108667</v>
      </c>
      <c r="N3" s="22">
        <f>L2-M3</f>
        <v>37046</v>
      </c>
    </row>
    <row r="4" spans="2:15">
      <c r="B4" s="1" t="s">
        <v>2</v>
      </c>
      <c r="C4" s="17" t="s">
        <v>399</v>
      </c>
      <c r="D4" s="56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5"/>
    </row>
    <row r="5" spans="2:1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>
      <c r="B6" s="1" t="s">
        <v>4</v>
      </c>
      <c r="C6" s="17" t="s">
        <v>399</v>
      </c>
      <c r="D6" s="11">
        <v>30</v>
      </c>
      <c r="E6" s="1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>
      <c r="B7" s="1" t="s">
        <v>5</v>
      </c>
      <c r="C7" s="17" t="s">
        <v>399</v>
      </c>
      <c r="D7" s="11">
        <v>30</v>
      </c>
      <c r="E7" s="1" t="s">
        <v>5</v>
      </c>
      <c r="F7" s="11">
        <v>20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0.34091306468385069</v>
      </c>
    </row>
    <row r="10" spans="2:15">
      <c r="B10" s="1" t="s">
        <v>8</v>
      </c>
      <c r="C10" s="17" t="s">
        <v>400</v>
      </c>
      <c r="D10" s="11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0.14640812077043205</v>
      </c>
    </row>
    <row r="11" spans="2:1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>
      <c r="B13" s="1" t="s">
        <v>11</v>
      </c>
      <c r="C13" s="17" t="s">
        <v>399</v>
      </c>
      <c r="D13" s="11">
        <v>100</v>
      </c>
      <c r="E13" s="1" t="s">
        <v>11</v>
      </c>
      <c r="F13" s="11">
        <v>19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>
      <c r="B16" s="1" t="s">
        <v>14</v>
      </c>
      <c r="C16" s="17" t="s">
        <v>399</v>
      </c>
      <c r="D16" s="11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>
      <c r="B17" s="1" t="s">
        <v>15</v>
      </c>
      <c r="C17" s="17" t="s">
        <v>399</v>
      </c>
      <c r="D17" s="11">
        <v>15</v>
      </c>
      <c r="E17" s="1" t="s">
        <v>15</v>
      </c>
      <c r="F17" s="11">
        <v>10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>
      <c r="B20" s="1" t="s">
        <v>18</v>
      </c>
      <c r="C20" s="17" t="s">
        <v>399</v>
      </c>
      <c r="D20" s="11">
        <v>5</v>
      </c>
      <c r="E20" s="1" t="s">
        <v>18</v>
      </c>
      <c r="F20" s="11">
        <v>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>
      <c r="B21" s="57" t="s">
        <v>19</v>
      </c>
      <c r="C21" s="17" t="s">
        <v>399</v>
      </c>
      <c r="D21" s="45">
        <v>42</v>
      </c>
      <c r="E21" s="1" t="s">
        <v>19</v>
      </c>
      <c r="F21" s="11">
        <v>42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>
      <c r="B22" s="1" t="s">
        <v>20</v>
      </c>
      <c r="C22" s="17" t="s">
        <v>399</v>
      </c>
      <c r="D22" s="11">
        <v>20</v>
      </c>
      <c r="E22" s="1" t="s">
        <v>20</v>
      </c>
      <c r="F22" s="11">
        <v>20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>
      <c r="B23" s="1" t="s">
        <v>21</v>
      </c>
      <c r="C23" s="17" t="s">
        <v>399</v>
      </c>
      <c r="D23" s="11">
        <v>255</v>
      </c>
      <c r="E23" s="1" t="s">
        <v>21</v>
      </c>
      <c r="F23" s="11">
        <v>20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>
      <c r="B24" s="1" t="s">
        <v>22</v>
      </c>
      <c r="C24" s="17" t="s">
        <v>399</v>
      </c>
      <c r="D24" s="11">
        <v>20</v>
      </c>
      <c r="E24" s="1" t="s">
        <v>22</v>
      </c>
      <c r="F24" s="11">
        <v>12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>
      <c r="B25" s="1" t="s">
        <v>23</v>
      </c>
      <c r="C25" s="17" t="s">
        <v>399</v>
      </c>
      <c r="D25" s="11">
        <v>50</v>
      </c>
      <c r="E25" s="1" t="s">
        <v>23</v>
      </c>
      <c r="F25" s="11">
        <v>12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>
      <c r="B26" s="1" t="s">
        <v>24</v>
      </c>
      <c r="C26" s="17" t="s">
        <v>399</v>
      </c>
      <c r="D26" s="11">
        <v>20</v>
      </c>
      <c r="E26" s="1" t="s">
        <v>24</v>
      </c>
      <c r="F26" s="11">
        <v>8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>
      <c r="B27" s="1" t="s">
        <v>25</v>
      </c>
      <c r="C27" s="17" t="s">
        <v>399</v>
      </c>
      <c r="D27" s="11">
        <v>50</v>
      </c>
      <c r="E27" s="1" t="s">
        <v>25</v>
      </c>
      <c r="F27" s="11">
        <v>19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>
      <c r="B28" s="57" t="s">
        <v>26</v>
      </c>
      <c r="C28" s="17" t="s">
        <v>399</v>
      </c>
      <c r="D28" s="11">
        <v>56</v>
      </c>
      <c r="E28" s="1" t="s">
        <v>26</v>
      </c>
      <c r="F28" s="11">
        <v>56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>
      <c r="B29" s="1" t="s">
        <v>27</v>
      </c>
      <c r="C29" s="17" t="s">
        <v>399</v>
      </c>
      <c r="D29" s="11">
        <v>100</v>
      </c>
      <c r="E29" s="1" t="s">
        <v>27</v>
      </c>
      <c r="F29" s="11">
        <v>69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>
      <c r="B31" s="1" t="s">
        <v>29</v>
      </c>
      <c r="C31" s="17" t="s">
        <v>399</v>
      </c>
      <c r="D31" s="11">
        <v>50</v>
      </c>
      <c r="E31" s="1" t="s">
        <v>29</v>
      </c>
      <c r="F31" s="11">
        <v>12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>
      <c r="B32" s="57" t="s">
        <v>30</v>
      </c>
      <c r="C32" s="17" t="s">
        <v>399</v>
      </c>
      <c r="D32" s="11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>
      <c r="B36" s="1" t="s">
        <v>34</v>
      </c>
      <c r="C36" s="17" t="s">
        <v>400</v>
      </c>
      <c r="D36" s="11"/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>
      <c r="B37" s="1" t="s">
        <v>35</v>
      </c>
      <c r="C37" s="17" t="s">
        <v>400</v>
      </c>
      <c r="D37" s="11"/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>
      <c r="B38" s="1" t="s">
        <v>36</v>
      </c>
      <c r="C38" s="17" t="s">
        <v>400</v>
      </c>
      <c r="D38" s="11"/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>
      <c r="B39" s="1" t="s">
        <v>37</v>
      </c>
      <c r="C39" s="17" t="s">
        <v>400</v>
      </c>
      <c r="D39" s="11"/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>
      <c r="B40" s="1" t="s">
        <v>38</v>
      </c>
      <c r="C40" s="17" t="s">
        <v>400</v>
      </c>
      <c r="D40" s="11"/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>
      <c r="B41" s="1" t="s">
        <v>39</v>
      </c>
      <c r="C41" s="17" t="s">
        <v>400</v>
      </c>
      <c r="D41" s="11"/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>
      <c r="B42" s="1" t="s">
        <v>40</v>
      </c>
      <c r="C42" s="17" t="s">
        <v>400</v>
      </c>
      <c r="D42" s="11"/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>
      <c r="B43" s="1" t="s">
        <v>41</v>
      </c>
      <c r="C43" s="17" t="s">
        <v>400</v>
      </c>
      <c r="D43" s="11"/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>
      <c r="B44" s="1" t="s">
        <v>42</v>
      </c>
      <c r="C44" s="17" t="s">
        <v>400</v>
      </c>
      <c r="D44" s="11"/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>
      <c r="B45" s="1" t="s">
        <v>43</v>
      </c>
      <c r="C45" s="17" t="s">
        <v>400</v>
      </c>
      <c r="D45" s="11"/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>
      <c r="B46" s="1" t="s">
        <v>44</v>
      </c>
      <c r="C46" s="17" t="s">
        <v>400</v>
      </c>
      <c r="D46" s="11"/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>
      <c r="B47" s="1" t="s">
        <v>45</v>
      </c>
      <c r="C47" s="17" t="s">
        <v>400</v>
      </c>
      <c r="D47" s="11"/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>
      <c r="B49" s="1" t="s">
        <v>47</v>
      </c>
      <c r="C49" s="17" t="s">
        <v>399</v>
      </c>
      <c r="D49" s="11">
        <v>100</v>
      </c>
      <c r="E49" s="1" t="s">
        <v>47</v>
      </c>
      <c r="F49" s="11">
        <v>54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>
      <c r="B50" s="1" t="s">
        <v>48</v>
      </c>
      <c r="C50" s="17" t="s">
        <v>399</v>
      </c>
      <c r="D50" s="11">
        <v>30</v>
      </c>
      <c r="E50" s="1" t="s">
        <v>48</v>
      </c>
      <c r="F50" s="11">
        <v>15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>
      <c r="B51" s="1" t="s">
        <v>49</v>
      </c>
      <c r="C51" s="17" t="s">
        <v>399</v>
      </c>
      <c r="D51" s="11">
        <v>30</v>
      </c>
      <c r="E51" s="1" t="s">
        <v>49</v>
      </c>
      <c r="F51" s="11">
        <v>23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>
      <c r="B76" s="31" t="s">
        <v>437</v>
      </c>
      <c r="C76" s="31" t="s">
        <v>399</v>
      </c>
      <c r="D76" s="11">
        <v>100</v>
      </c>
      <c r="E76" s="31" t="s">
        <v>437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>
      <c r="B77" s="31" t="s">
        <v>438</v>
      </c>
      <c r="C77" s="31" t="s">
        <v>399</v>
      </c>
      <c r="D77" s="11">
        <v>100</v>
      </c>
      <c r="E77" s="31" t="s">
        <v>438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>
      <c r="B78" s="31" t="s">
        <v>439</v>
      </c>
      <c r="C78" s="31" t="s">
        <v>399</v>
      </c>
      <c r="D78" s="11">
        <v>100</v>
      </c>
      <c r="E78" s="31" t="s">
        <v>439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>
      <c r="B79" s="31" t="s">
        <v>440</v>
      </c>
      <c r="C79" s="31" t="s">
        <v>399</v>
      </c>
      <c r="D79" s="11">
        <v>100</v>
      </c>
      <c r="E79" s="31" t="s">
        <v>440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59" priority="27" operator="equal">
      <formula>"Fail"</formula>
    </cfRule>
    <cfRule type="cellIs" dxfId="158" priority="28" operator="equal">
      <formula>"Pass"</formula>
    </cfRule>
  </conditionalFormatting>
  <conditionalFormatting sqref="N6:N7">
    <cfRule type="cellIs" dxfId="157" priority="9" operator="equal">
      <formula>"Fail"</formula>
    </cfRule>
    <cfRule type="cellIs" dxfId="156" priority="10" operator="equal">
      <formula>"Pass"</formula>
    </cfRule>
  </conditionalFormatting>
  <conditionalFormatting sqref="M8">
    <cfRule type="containsText" dxfId="155" priority="5" operator="containsText" text="Pass">
      <formula>NOT(ISERROR(SEARCH("Pass",M8)))</formula>
    </cfRule>
    <cfRule type="containsText" dxfId="154" priority="6" operator="containsText" text="Fail">
      <formula>NOT(ISERROR(SEARCH("Fail",M8)))</formula>
    </cfRule>
  </conditionalFormatting>
  <conditionalFormatting sqref="M7">
    <cfRule type="cellIs" dxfId="153" priority="3" operator="equal">
      <formula>"Fail"</formula>
    </cfRule>
    <cfRule type="cellIs" dxfId="152" priority="4" operator="equal">
      <formula>"Pass"</formula>
    </cfRule>
  </conditionalFormatting>
  <conditionalFormatting sqref="M6">
    <cfRule type="cellIs" dxfId="151" priority="1" operator="equal">
      <formula>"Fail"</formula>
    </cfRule>
    <cfRule type="cellIs" dxfId="15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0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47" t="s">
        <v>83</v>
      </c>
      <c r="C2" s="47" t="s">
        <v>399</v>
      </c>
      <c r="D2" s="11"/>
      <c r="E2" s="47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6080</v>
      </c>
      <c r="M2" s="19">
        <v>5889</v>
      </c>
      <c r="N2" s="22">
        <f>L2-M2</f>
        <v>191</v>
      </c>
    </row>
    <row r="3" spans="2:1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>
      <c r="B6" s="47" t="s">
        <v>0</v>
      </c>
      <c r="C6" s="47" t="s">
        <v>399</v>
      </c>
      <c r="D6" s="56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>
      <c r="B7" s="47" t="s">
        <v>478</v>
      </c>
      <c r="C7" s="47" t="s">
        <v>399</v>
      </c>
      <c r="D7" s="11">
        <v>10</v>
      </c>
      <c r="E7" s="47" t="s">
        <v>525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3.2433350314145015E-2</v>
      </c>
    </row>
    <row r="8" spans="2:15">
      <c r="B8" s="47" t="s">
        <v>479</v>
      </c>
      <c r="C8" s="47" t="s">
        <v>399</v>
      </c>
      <c r="D8" s="11">
        <v>50</v>
      </c>
      <c r="E8" s="47" t="s">
        <v>526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1.8880992949064257E-2</v>
      </c>
    </row>
    <row r="9" spans="2:15">
      <c r="B9" s="47" t="s">
        <v>480</v>
      </c>
      <c r="C9" s="47" t="s">
        <v>399</v>
      </c>
      <c r="D9" s="11">
        <v>50</v>
      </c>
      <c r="E9" s="47" t="s">
        <v>527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>
      <c r="B10" s="47" t="s">
        <v>481</v>
      </c>
      <c r="C10" s="47" t="s">
        <v>400</v>
      </c>
      <c r="D10" s="11">
        <v>50</v>
      </c>
      <c r="E10" s="47" t="s">
        <v>528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M5:M6">
    <cfRule type="cellIs" dxfId="147" priority="1" operator="equal">
      <formula>"Fail"</formula>
    </cfRule>
    <cfRule type="cellIs" dxfId="14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O26"/>
  <sheetViews>
    <sheetView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0" t="s">
        <v>83</v>
      </c>
      <c r="C2" s="50" t="s">
        <v>398</v>
      </c>
      <c r="D2" s="11"/>
      <c r="E2" s="50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0" t="s">
        <v>84</v>
      </c>
      <c r="C3" s="50" t="s">
        <v>399</v>
      </c>
      <c r="D3" s="11">
        <v>50</v>
      </c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3475</v>
      </c>
      <c r="M3" s="19">
        <v>46946</v>
      </c>
      <c r="N3" s="22">
        <f>L3-M3</f>
        <v>-43471</v>
      </c>
    </row>
    <row r="4" spans="2:15">
      <c r="B4" s="50" t="s">
        <v>85</v>
      </c>
      <c r="C4" s="50" t="s">
        <v>399</v>
      </c>
      <c r="D4" s="11">
        <v>50</v>
      </c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0" t="s">
        <v>71</v>
      </c>
      <c r="C5" s="50" t="s">
        <v>399</v>
      </c>
      <c r="D5" s="11">
        <v>50</v>
      </c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5">
      <c r="B6" s="50" t="s">
        <v>0</v>
      </c>
      <c r="C6" s="50" t="s">
        <v>399</v>
      </c>
      <c r="D6" s="11">
        <v>20</v>
      </c>
      <c r="E6" s="50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50" t="s">
        <v>89</v>
      </c>
      <c r="C7" s="50" t="s">
        <v>399</v>
      </c>
      <c r="D7" s="11">
        <v>50</v>
      </c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-0.9259787841349636</v>
      </c>
    </row>
    <row r="9" spans="2:1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0.98682208966448448</v>
      </c>
    </row>
    <row r="10" spans="2:15">
      <c r="B10" s="50" t="s">
        <v>92</v>
      </c>
      <c r="C10" s="50" t="s">
        <v>399</v>
      </c>
      <c r="D10" s="11">
        <v>50</v>
      </c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50" t="s">
        <v>93</v>
      </c>
      <c r="C11" s="50" t="s">
        <v>399</v>
      </c>
      <c r="D11" s="11">
        <v>50</v>
      </c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50" t="s">
        <v>94</v>
      </c>
      <c r="C12" s="50" t="s">
        <v>399</v>
      </c>
      <c r="D12" s="11">
        <v>50</v>
      </c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50" t="s">
        <v>95</v>
      </c>
      <c r="C13" s="50" t="s">
        <v>399</v>
      </c>
      <c r="D13" s="11">
        <v>50</v>
      </c>
      <c r="E13" s="50" t="s">
        <v>95</v>
      </c>
      <c r="F13" s="11">
        <v>4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50" t="s">
        <v>96</v>
      </c>
      <c r="C14" s="50" t="s">
        <v>399</v>
      </c>
      <c r="D14" s="11">
        <v>50</v>
      </c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50" t="s">
        <v>97</v>
      </c>
      <c r="C15" s="50" t="s">
        <v>399</v>
      </c>
      <c r="D15" s="11">
        <v>50</v>
      </c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50" t="s">
        <v>98</v>
      </c>
      <c r="C16" s="50" t="s">
        <v>399</v>
      </c>
      <c r="D16" s="11">
        <v>50</v>
      </c>
      <c r="E16" s="50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50" t="s">
        <v>99</v>
      </c>
      <c r="C17" s="50" t="s">
        <v>399</v>
      </c>
      <c r="D17" s="11">
        <v>50</v>
      </c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50" t="s">
        <v>100</v>
      </c>
      <c r="C18" s="50" t="s">
        <v>399</v>
      </c>
      <c r="D18" s="11">
        <v>50</v>
      </c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50" t="s">
        <v>101</v>
      </c>
      <c r="C19" s="50" t="s">
        <v>399</v>
      </c>
      <c r="D19" s="11">
        <v>50</v>
      </c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50" t="s">
        <v>102</v>
      </c>
      <c r="C20" s="50" t="s">
        <v>399</v>
      </c>
      <c r="D20" s="11">
        <v>50</v>
      </c>
      <c r="E20" s="50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50" t="s">
        <v>103</v>
      </c>
      <c r="C21" s="50" t="s">
        <v>399</v>
      </c>
      <c r="D21" s="11">
        <v>50</v>
      </c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50" t="s">
        <v>104</v>
      </c>
      <c r="C22" s="50" t="s">
        <v>399</v>
      </c>
      <c r="D22" s="11">
        <v>50</v>
      </c>
      <c r="E22" s="50" t="s">
        <v>104</v>
      </c>
      <c r="F22" s="11">
        <v>4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50" t="s">
        <v>105</v>
      </c>
      <c r="C23" s="50" t="s">
        <v>399</v>
      </c>
      <c r="D23" s="11">
        <v>50</v>
      </c>
      <c r="E23" s="50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50" t="s">
        <v>106</v>
      </c>
      <c r="C24" s="50" t="s">
        <v>399</v>
      </c>
      <c r="D24" s="11">
        <v>50</v>
      </c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50" t="s">
        <v>107</v>
      </c>
      <c r="C25" s="50" t="s">
        <v>399</v>
      </c>
      <c r="D25" s="11">
        <v>50</v>
      </c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50" t="s">
        <v>108</v>
      </c>
      <c r="C26" s="50" t="s">
        <v>399</v>
      </c>
      <c r="D26" s="11">
        <v>50</v>
      </c>
      <c r="E26" s="50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45" priority="23" operator="equal">
      <formula>"Fail"</formula>
    </cfRule>
    <cfRule type="cellIs" dxfId="144" priority="24" operator="equal">
      <formula>"Pass"</formula>
    </cfRule>
  </conditionalFormatting>
  <conditionalFormatting sqref="H2:H26">
    <cfRule type="cellIs" dxfId="143" priority="21" operator="equal">
      <formula>"Fail"</formula>
    </cfRule>
    <cfRule type="cellIs" dxfId="142" priority="22" operator="equal">
      <formula>"Pass"</formula>
    </cfRule>
  </conditionalFormatting>
  <conditionalFormatting sqref="H2:H26">
    <cfRule type="cellIs" dxfId="141" priority="19" operator="equal">
      <formula>"Fail"</formula>
    </cfRule>
    <cfRule type="cellIs" dxfId="140" priority="20" operator="equal">
      <formula>"Pass"</formula>
    </cfRule>
  </conditionalFormatting>
  <conditionalFormatting sqref="H2:H26">
    <cfRule type="cellIs" dxfId="139" priority="17" operator="equal">
      <formula>"Fail"</formula>
    </cfRule>
    <cfRule type="cellIs" dxfId="138" priority="18" operator="equal">
      <formula>"Pass"</formula>
    </cfRule>
  </conditionalFormatting>
  <conditionalFormatting sqref="H2:H26">
    <cfRule type="cellIs" dxfId="137" priority="15" operator="equal">
      <formula>"Fail"</formula>
    </cfRule>
    <cfRule type="cellIs" dxfId="136" priority="16" operator="equal">
      <formula>"Pass"</formula>
    </cfRule>
  </conditionalFormatting>
  <conditionalFormatting sqref="H2:H26">
    <cfRule type="cellIs" dxfId="135" priority="13" operator="equal">
      <formula>"Fail"</formula>
    </cfRule>
    <cfRule type="cellIs" dxfId="134" priority="14" operator="equal">
      <formula>"Pass"</formula>
    </cfRule>
  </conditionalFormatting>
  <conditionalFormatting sqref="H2:H26">
    <cfRule type="cellIs" dxfId="133" priority="11" operator="equal">
      <formula>"Fail"</formula>
    </cfRule>
    <cfRule type="cellIs" dxfId="132" priority="12" operator="equal">
      <formula>"Pass"</formula>
    </cfRule>
  </conditionalFormatting>
  <conditionalFormatting sqref="H2:H26">
    <cfRule type="cellIs" dxfId="131" priority="9" operator="equal">
      <formula>"Fail"</formula>
    </cfRule>
    <cfRule type="cellIs" dxfId="130" priority="10" operator="equal">
      <formula>"Pass"</formula>
    </cfRule>
  </conditionalFormatting>
  <conditionalFormatting sqref="H2:H26">
    <cfRule type="cellIs" dxfId="129" priority="7" operator="equal">
      <formula>"Fail"</formula>
    </cfRule>
    <cfRule type="cellIs" dxfId="128" priority="8" operator="equal">
      <formula>"Pass"</formula>
    </cfRule>
  </conditionalFormatting>
  <conditionalFormatting sqref="H2:H2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M7">
    <cfRule type="cellIs" dxfId="125" priority="1" operator="equal">
      <formula>"Fail"</formula>
    </cfRule>
    <cfRule type="cellIs" dxfId="12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O276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57" t="s">
        <v>109</v>
      </c>
      <c r="C2" s="17" t="s">
        <v>399</v>
      </c>
      <c r="D2" s="56">
        <v>37</v>
      </c>
      <c r="E2" s="1" t="s">
        <v>109</v>
      </c>
      <c r="F2" s="11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287817</v>
      </c>
      <c r="M2" s="65">
        <v>287817</v>
      </c>
      <c r="N2" s="22">
        <f>L2-M2</f>
        <v>0</v>
      </c>
    </row>
    <row r="3" spans="2:15">
      <c r="B3" s="1" t="s">
        <v>110</v>
      </c>
      <c r="C3" s="17" t="s">
        <v>399</v>
      </c>
      <c r="D3" s="11">
        <v>25</v>
      </c>
      <c r="E3" s="1" t="s">
        <v>110</v>
      </c>
      <c r="F3" s="11">
        <v>6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276701</v>
      </c>
      <c r="N3" s="22">
        <f>L2-M3</f>
        <v>11116</v>
      </c>
    </row>
    <row r="4" spans="2:1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>
      <c r="B8" s="1" t="s">
        <v>22</v>
      </c>
      <c r="C8" s="17" t="s">
        <v>399</v>
      </c>
      <c r="D8" s="11">
        <v>20</v>
      </c>
      <c r="E8" s="1" t="s">
        <v>22</v>
      </c>
      <c r="F8" s="11">
        <v>12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>
      <c r="B9" s="1" t="s">
        <v>23</v>
      </c>
      <c r="C9" s="17" t="s">
        <v>399</v>
      </c>
      <c r="D9" s="11">
        <v>50</v>
      </c>
      <c r="E9" s="1" t="s">
        <v>23</v>
      </c>
      <c r="F9" s="11">
        <v>12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4.0173327888225918E-2</v>
      </c>
    </row>
    <row r="10" spans="2:1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2.7860551376357092E-2</v>
      </c>
    </row>
    <row r="11" spans="2:1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>
      <c r="B12" s="57" t="s">
        <v>26</v>
      </c>
      <c r="C12" s="17" t="s">
        <v>399</v>
      </c>
      <c r="D12" s="56">
        <v>56</v>
      </c>
      <c r="E12" s="1" t="s">
        <v>26</v>
      </c>
      <c r="F12" s="11">
        <v>56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>
      <c r="B14" s="1" t="s">
        <v>29</v>
      </c>
      <c r="C14" s="17" t="s">
        <v>399</v>
      </c>
      <c r="D14" s="11">
        <v>50</v>
      </c>
      <c r="E14" s="1" t="s">
        <v>29</v>
      </c>
      <c r="F14" s="11">
        <v>12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>
      <c r="B15" s="57" t="s">
        <v>30</v>
      </c>
      <c r="C15" s="17" t="s">
        <v>399</v>
      </c>
      <c r="D15" s="56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>
      <c r="B19" s="1" t="s">
        <v>0</v>
      </c>
      <c r="C19" s="17" t="s">
        <v>399</v>
      </c>
      <c r="D19" s="11">
        <v>20</v>
      </c>
      <c r="E19" s="1" t="s">
        <v>0</v>
      </c>
      <c r="F19" s="11">
        <v>20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>
      <c r="B20" s="1" t="s">
        <v>2</v>
      </c>
      <c r="C20" s="17" t="s">
        <v>399</v>
      </c>
      <c r="D20" s="56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>
      <c r="B21" s="1" t="s">
        <v>3</v>
      </c>
      <c r="C21" s="17" t="s">
        <v>399</v>
      </c>
      <c r="D21" s="11">
        <v>30</v>
      </c>
      <c r="E21" s="1" t="s">
        <v>3</v>
      </c>
      <c r="F21" s="11">
        <v>13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>
      <c r="B22" s="1" t="s">
        <v>4</v>
      </c>
      <c r="C22" s="17" t="s">
        <v>399</v>
      </c>
      <c r="D22" s="11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>
      <c r="B23" s="1" t="s">
        <v>5</v>
      </c>
      <c r="C23" s="17" t="s">
        <v>399</v>
      </c>
      <c r="D23" s="11">
        <v>30</v>
      </c>
      <c r="E23" s="1" t="s">
        <v>5</v>
      </c>
      <c r="F23" s="11">
        <v>16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>
      <c r="B28" s="1" t="s">
        <v>11</v>
      </c>
      <c r="C28" s="17" t="s">
        <v>399</v>
      </c>
      <c r="D28" s="11">
        <v>50</v>
      </c>
      <c r="E28" s="1" t="s">
        <v>11</v>
      </c>
      <c r="F28" s="11">
        <v>19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>
      <c r="B31" s="1" t="s">
        <v>14</v>
      </c>
      <c r="C31" s="17" t="s">
        <v>399</v>
      </c>
      <c r="D31" s="11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>
      <c r="B32" s="1" t="s">
        <v>15</v>
      </c>
      <c r="C32" s="17" t="s">
        <v>399</v>
      </c>
      <c r="D32" s="11">
        <v>15</v>
      </c>
      <c r="E32" s="1" t="s">
        <v>15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>
      <c r="B35" s="1" t="s">
        <v>18</v>
      </c>
      <c r="C35" s="17" t="s">
        <v>399</v>
      </c>
      <c r="D35" s="11">
        <v>10</v>
      </c>
      <c r="E35" s="1" t="s">
        <v>18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>
      <c r="B36" s="57" t="s">
        <v>19</v>
      </c>
      <c r="C36" s="17" t="s">
        <v>399</v>
      </c>
      <c r="D36" s="45">
        <v>42</v>
      </c>
      <c r="E36" s="1" t="s">
        <v>19</v>
      </c>
      <c r="F36" s="11">
        <v>42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>
      <c r="B37" s="1" t="s">
        <v>113</v>
      </c>
      <c r="C37" s="17" t="s">
        <v>399</v>
      </c>
      <c r="D37" s="11">
        <v>30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>
      <c r="B40" s="1" t="s">
        <v>116</v>
      </c>
      <c r="C40" s="17" t="s">
        <v>399</v>
      </c>
      <c r="D40" s="11">
        <v>70</v>
      </c>
      <c r="E40" s="1" t="s">
        <v>116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>
      <c r="B43" s="1" t="s">
        <v>119</v>
      </c>
      <c r="C43" s="17" t="s">
        <v>399</v>
      </c>
      <c r="D43" s="11">
        <v>40</v>
      </c>
      <c r="E43" s="1" t="s">
        <v>119</v>
      </c>
      <c r="F43" s="11">
        <v>23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>
      <c r="B44" s="1" t="s">
        <v>120</v>
      </c>
      <c r="C44" s="17" t="s">
        <v>399</v>
      </c>
      <c r="D44" s="11">
        <v>2</v>
      </c>
      <c r="E44" s="1" t="s">
        <v>120</v>
      </c>
      <c r="F44" s="11">
        <v>1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>
      <c r="B48" s="1" t="s">
        <v>124</v>
      </c>
      <c r="C48" s="17" t="s">
        <v>399</v>
      </c>
      <c r="D48" s="11">
        <v>20</v>
      </c>
      <c r="E48" s="1" t="s">
        <v>124</v>
      </c>
      <c r="F48" s="11">
        <v>15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>
      <c r="B49" s="1" t="s">
        <v>125</v>
      </c>
      <c r="C49" s="17" t="s">
        <v>399</v>
      </c>
      <c r="D49" s="11">
        <v>10</v>
      </c>
      <c r="E49" s="1" t="s">
        <v>125</v>
      </c>
      <c r="F49" s="11">
        <v>6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>
      <c r="B50" s="1" t="s">
        <v>126</v>
      </c>
      <c r="C50" s="17" t="s">
        <v>399</v>
      </c>
      <c r="D50" s="11">
        <v>100</v>
      </c>
      <c r="E50" s="1" t="s">
        <v>126</v>
      </c>
      <c r="F50" s="11">
        <v>74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>
      <c r="B51" s="1" t="s">
        <v>127</v>
      </c>
      <c r="C51" s="17" t="s">
        <v>399</v>
      </c>
      <c r="D51" s="11">
        <v>10</v>
      </c>
      <c r="E51" s="1" t="s">
        <v>127</v>
      </c>
      <c r="F51" s="11">
        <v>7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>
      <c r="B52" s="1" t="s">
        <v>128</v>
      </c>
      <c r="C52" s="17" t="s">
        <v>399</v>
      </c>
      <c r="D52" s="11">
        <v>100</v>
      </c>
      <c r="E52" s="1" t="s">
        <v>128</v>
      </c>
      <c r="F52" s="11">
        <v>64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>
      <c r="B55" s="1" t="s">
        <v>131</v>
      </c>
      <c r="C55" s="17" t="s">
        <v>399</v>
      </c>
      <c r="D55" s="11">
        <v>128</v>
      </c>
      <c r="E55" s="1" t="s">
        <v>131</v>
      </c>
      <c r="F55" s="11">
        <v>54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>
      <c r="B56" s="1" t="s">
        <v>132</v>
      </c>
      <c r="C56" s="17" t="s">
        <v>399</v>
      </c>
      <c r="D56" s="11">
        <v>128</v>
      </c>
      <c r="E56" s="1" t="s">
        <v>132</v>
      </c>
      <c r="F56" s="11">
        <v>55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>
      <c r="B59" s="57" t="s">
        <v>135</v>
      </c>
      <c r="C59" s="17" t="s">
        <v>399</v>
      </c>
      <c r="D59" s="56">
        <v>12</v>
      </c>
      <c r="E59" s="1" t="s">
        <v>135</v>
      </c>
      <c r="F59" s="11">
        <v>12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>
      <c r="B90" s="1" t="s">
        <v>162</v>
      </c>
      <c r="C90" s="17" t="s">
        <v>399</v>
      </c>
      <c r="D90" s="11">
        <v>100</v>
      </c>
      <c r="E90" s="1" t="s">
        <v>162</v>
      </c>
      <c r="F90" s="11">
        <v>60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>
      <c r="B95" s="57" t="s">
        <v>167</v>
      </c>
      <c r="C95" s="17" t="s">
        <v>399</v>
      </c>
      <c r="D95" s="11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67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>
      <c r="B102" s="57" t="s">
        <v>174</v>
      </c>
      <c r="C102" s="17" t="s">
        <v>399</v>
      </c>
      <c r="D102" s="11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2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26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>
      <c r="B112" s="57" t="s">
        <v>184</v>
      </c>
      <c r="C112" s="17" t="s">
        <v>399</v>
      </c>
      <c r="D112" s="11">
        <v>119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>
      <c r="B114" s="1" t="s">
        <v>186</v>
      </c>
      <c r="C114" s="17" t="s">
        <v>398</v>
      </c>
      <c r="D114" s="11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>
      <c r="B116" s="1" t="s">
        <v>188</v>
      </c>
      <c r="C116" s="17" t="s">
        <v>399</v>
      </c>
      <c r="D116" s="11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>
      <c r="B121" s="1" t="s">
        <v>193</v>
      </c>
      <c r="C121" s="17" t="s">
        <v>399</v>
      </c>
      <c r="D121" s="11">
        <v>10</v>
      </c>
      <c r="E121" s="1" t="s">
        <v>193</v>
      </c>
      <c r="F121" s="11">
        <v>3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3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9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>
      <c r="B137" s="1" t="s">
        <v>209</v>
      </c>
      <c r="C137" s="17" t="s">
        <v>399</v>
      </c>
      <c r="D137" s="11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>
      <c r="B138" s="1" t="s">
        <v>210</v>
      </c>
      <c r="C138" s="17" t="s">
        <v>399</v>
      </c>
      <c r="D138" s="11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>
      <c r="B157" s="1" t="s">
        <v>65</v>
      </c>
      <c r="C157" s="17" t="s">
        <v>399</v>
      </c>
      <c r="D157" s="11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>
      <c r="B163" s="1" t="s">
        <v>88</v>
      </c>
      <c r="C163" s="17" t="s">
        <v>399</v>
      </c>
      <c r="D163" s="11">
        <v>20</v>
      </c>
      <c r="E163" s="1" t="s">
        <v>88</v>
      </c>
      <c r="F163" s="11">
        <v>5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44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11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6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6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6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6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6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6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6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6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6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6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6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6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6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6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>
      <c r="B229" s="1" t="s">
        <v>279</v>
      </c>
      <c r="C229" s="17" t="s">
        <v>399</v>
      </c>
      <c r="D229" s="11">
        <v>10</v>
      </c>
      <c r="E229" s="1" t="s">
        <v>279</v>
      </c>
      <c r="F229" s="11">
        <v>3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12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3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25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52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>
      <c r="B254" s="1" t="s">
        <v>296</v>
      </c>
      <c r="C254" s="17" t="s">
        <v>398</v>
      </c>
      <c r="D254" s="11"/>
      <c r="E254" s="1" t="s">
        <v>296</v>
      </c>
      <c r="F254" s="11">
        <v>5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3" priority="123" operator="equal">
      <formula>"Fail"</formula>
    </cfRule>
    <cfRule type="cellIs" dxfId="122" priority="124" operator="equal">
      <formula>"Pass"</formula>
    </cfRule>
  </conditionalFormatting>
  <conditionalFormatting sqref="N6:N7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M6:M8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B2" sqref="B2:D12"/>
    </sheetView>
  </sheetViews>
  <sheetFormatPr defaultRowHeight="1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47" t="s">
        <v>83</v>
      </c>
      <c r="C2" s="47" t="s">
        <v>398</v>
      </c>
      <c r="D2" s="11"/>
      <c r="E2" s="47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>
      <c r="B3" s="47" t="s">
        <v>84</v>
      </c>
      <c r="C3" s="47" t="s">
        <v>399</v>
      </c>
      <c r="D3" s="11">
        <v>50</v>
      </c>
      <c r="E3" s="47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>
        <v>0</v>
      </c>
      <c r="N3" s="22">
        <f>L3-M3</f>
        <v>0</v>
      </c>
    </row>
    <row r="4" spans="2:15">
      <c r="B4" s="47" t="s">
        <v>85</v>
      </c>
      <c r="C4" s="47" t="s">
        <v>399</v>
      </c>
      <c r="D4" s="11">
        <v>50</v>
      </c>
      <c r="E4" s="47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>
        <v>0</v>
      </c>
      <c r="N4" s="22">
        <f>L3-M4</f>
        <v>0</v>
      </c>
    </row>
    <row r="5" spans="2:15">
      <c r="B5" s="47" t="s">
        <v>71</v>
      </c>
      <c r="C5" s="47" t="s">
        <v>399</v>
      </c>
      <c r="D5" s="11">
        <v>50</v>
      </c>
      <c r="E5" s="47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>
      <c r="B6" s="47" t="s">
        <v>0</v>
      </c>
      <c r="C6" s="47" t="s">
        <v>399</v>
      </c>
      <c r="D6" s="11">
        <v>20</v>
      </c>
      <c r="E6" s="47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8" t="s">
        <v>401</v>
      </c>
      <c r="N6" s="41"/>
    </row>
    <row r="7" spans="2:15">
      <c r="B7" s="47" t="s">
        <v>491</v>
      </c>
      <c r="C7" s="47" t="s">
        <v>399</v>
      </c>
      <c r="D7" s="11">
        <v>50</v>
      </c>
      <c r="E7" s="47" t="s">
        <v>491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>
      <c r="B8" s="47" t="s">
        <v>492</v>
      </c>
      <c r="C8" s="47" t="s">
        <v>399</v>
      </c>
      <c r="D8" s="11">
        <v>20</v>
      </c>
      <c r="E8" s="47" t="s">
        <v>492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>
      <c r="B9" s="47" t="s">
        <v>493</v>
      </c>
      <c r="C9" s="47" t="s">
        <v>399</v>
      </c>
      <c r="D9" s="11">
        <v>50</v>
      </c>
      <c r="E9" s="47" t="s">
        <v>493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>
      <c r="B10" s="47" t="s">
        <v>494</v>
      </c>
      <c r="C10" s="47" t="s">
        <v>399</v>
      </c>
      <c r="D10" s="11">
        <v>20</v>
      </c>
      <c r="E10" s="47" t="s">
        <v>494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>
      <c r="B11" s="47" t="s">
        <v>495</v>
      </c>
      <c r="C11" s="47" t="s">
        <v>400</v>
      </c>
      <c r="D11" s="47"/>
      <c r="E11" s="47" t="s">
        <v>495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>
        <f>File_Size_Comparision!F9</f>
        <v>0</v>
      </c>
    </row>
    <row r="12" spans="2:15">
      <c r="B12" s="47" t="s">
        <v>496</v>
      </c>
      <c r="C12" s="47" t="s">
        <v>400</v>
      </c>
      <c r="D12" s="47"/>
      <c r="E12" s="47" t="s">
        <v>496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>
      <c r="N13" s="43"/>
    </row>
  </sheetData>
  <conditionalFormatting sqref="G2:H12">
    <cfRule type="cellIs" dxfId="117" priority="21" operator="equal">
      <formula>"Fail"</formula>
    </cfRule>
    <cfRule type="cellIs" dxfId="116" priority="22" operator="equal">
      <formula>"Pass"</formula>
    </cfRule>
  </conditionalFormatting>
  <conditionalFormatting sqref="H2:H12">
    <cfRule type="cellIs" dxfId="115" priority="19" operator="equal">
      <formula>"Fail"</formula>
    </cfRule>
    <cfRule type="cellIs" dxfId="114" priority="20" operator="equal">
      <formula>"Pass"</formula>
    </cfRule>
  </conditionalFormatting>
  <conditionalFormatting sqref="H2:H12">
    <cfRule type="cellIs" dxfId="113" priority="17" operator="equal">
      <formula>"Fail"</formula>
    </cfRule>
    <cfRule type="cellIs" dxfId="112" priority="18" operator="equal">
      <formula>"Pass"</formula>
    </cfRule>
  </conditionalFormatting>
  <conditionalFormatting sqref="H2:H12">
    <cfRule type="cellIs" dxfId="111" priority="15" operator="equal">
      <formula>"Fail"</formula>
    </cfRule>
    <cfRule type="cellIs" dxfId="110" priority="16" operator="equal">
      <formula>"Pass"</formula>
    </cfRule>
  </conditionalFormatting>
  <conditionalFormatting sqref="H2:H12">
    <cfRule type="cellIs" dxfId="109" priority="13" operator="equal">
      <formula>"Fail"</formula>
    </cfRule>
    <cfRule type="cellIs" dxfId="108" priority="14" operator="equal">
      <formula>"Pass"</formula>
    </cfRule>
  </conditionalFormatting>
  <conditionalFormatting sqref="H2:H12">
    <cfRule type="cellIs" dxfId="107" priority="11" operator="equal">
      <formula>"Fail"</formula>
    </cfRule>
    <cfRule type="cellIs" dxfId="106" priority="12" operator="equal">
      <formula>"Pass"</formula>
    </cfRule>
  </conditionalFormatting>
  <conditionalFormatting sqref="H2:H12">
    <cfRule type="cellIs" dxfId="105" priority="9" operator="equal">
      <formula>"Fail"</formula>
    </cfRule>
    <cfRule type="cellIs" dxfId="104" priority="10" operator="equal">
      <formula>"Pass"</formula>
    </cfRule>
  </conditionalFormatting>
  <conditionalFormatting sqref="N7:N8">
    <cfRule type="cellIs" dxfId="103" priority="5" operator="equal">
      <formula>"Fail"</formula>
    </cfRule>
    <cfRule type="cellIs" dxfId="102" priority="6" operator="equal">
      <formula>"Pass"</formula>
    </cfRule>
  </conditionalFormatting>
  <conditionalFormatting sqref="M7:M9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B2" sqref="B2:D10"/>
    </sheetView>
  </sheetViews>
  <sheetFormatPr defaultRowHeight="1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5657</v>
      </c>
      <c r="M3" s="19">
        <v>5674</v>
      </c>
      <c r="N3" s="22">
        <f>L3-M3</f>
        <v>-17</v>
      </c>
    </row>
    <row r="4" spans="2:1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>
      <c r="B7" s="1" t="s">
        <v>299</v>
      </c>
      <c r="C7" s="17" t="s">
        <v>399</v>
      </c>
      <c r="D7" s="11">
        <v>100</v>
      </c>
      <c r="E7" s="1" t="s">
        <v>299</v>
      </c>
      <c r="F7" s="11">
        <v>54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-2.9961226647867464E-3</v>
      </c>
    </row>
    <row r="9" spans="2:1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File_Size_Comparision!F10</f>
        <v>-2.7914018514721595E-3</v>
      </c>
    </row>
    <row r="10" spans="2:1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>
      <c r="N13" s="43"/>
    </row>
  </sheetData>
  <conditionalFormatting sqref="G2:H10">
    <cfRule type="cellIs" dxfId="99" priority="325" operator="equal">
      <formula>"Fail"</formula>
    </cfRule>
    <cfRule type="cellIs" dxfId="98" priority="326" operator="equal">
      <formula>"Pass"</formula>
    </cfRule>
  </conditionalFormatting>
  <conditionalFormatting sqref="H2:H10">
    <cfRule type="cellIs" dxfId="97" priority="27" operator="equal">
      <formula>"Fail"</formula>
    </cfRule>
    <cfRule type="cellIs" dxfId="96" priority="28" operator="equal">
      <formula>"Pass"</formula>
    </cfRule>
  </conditionalFormatting>
  <conditionalFormatting sqref="H2:H10">
    <cfRule type="cellIs" dxfId="95" priority="25" operator="equal">
      <formula>"Fail"</formula>
    </cfRule>
    <cfRule type="cellIs" dxfId="94" priority="26" operator="equal">
      <formula>"Pass"</formula>
    </cfRule>
  </conditionalFormatting>
  <conditionalFormatting sqref="H2:H10">
    <cfRule type="cellIs" dxfId="93" priority="23" operator="equal">
      <formula>"Fail"</formula>
    </cfRule>
    <cfRule type="cellIs" dxfId="92" priority="24" operator="equal">
      <formula>"Pass"</formula>
    </cfRule>
  </conditionalFormatting>
  <conditionalFormatting sqref="H2:H10">
    <cfRule type="cellIs" dxfId="91" priority="21" operator="equal">
      <formula>"Fail"</formula>
    </cfRule>
    <cfRule type="cellIs" dxfId="90" priority="22" operator="equal">
      <formula>"Pass"</formula>
    </cfRule>
  </conditionalFormatting>
  <conditionalFormatting sqref="H2:H10">
    <cfRule type="cellIs" dxfId="89" priority="19" operator="equal">
      <formula>"Fail"</formula>
    </cfRule>
    <cfRule type="cellIs" dxfId="88" priority="20" operator="equal">
      <formula>"Pass"</formula>
    </cfRule>
  </conditionalFormatting>
  <conditionalFormatting sqref="H2:H10">
    <cfRule type="cellIs" dxfId="87" priority="17" operator="equal">
      <formula>"Fail"</formula>
    </cfRule>
    <cfRule type="cellIs" dxfId="86" priority="18" operator="equal">
      <formula>"Pass"</formula>
    </cfRule>
  </conditionalFormatting>
  <conditionalFormatting sqref="M6:M7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M6:M7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M6:M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7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M6:M7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M6:M7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/>
  <dimension ref="B1:O113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74318</v>
      </c>
      <c r="M2" s="65">
        <v>74318</v>
      </c>
      <c r="N2" s="22">
        <f>L2-M2</f>
        <v>0</v>
      </c>
    </row>
    <row r="3" spans="2:1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72928</v>
      </c>
      <c r="N3" s="22">
        <f>L2-M3</f>
        <v>1390</v>
      </c>
    </row>
    <row r="4" spans="2:1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>
      <c r="B5" s="57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>
      <c r="B8" s="1" t="s">
        <v>5</v>
      </c>
      <c r="C8" s="17" t="s">
        <v>399</v>
      </c>
      <c r="D8" s="1">
        <v>30</v>
      </c>
      <c r="E8" s="1" t="s">
        <v>5</v>
      </c>
      <c r="F8" s="1">
        <v>15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1.9059894690653795E-2</v>
      </c>
    </row>
    <row r="10" spans="2:15">
      <c r="B10" s="1" t="s">
        <v>8</v>
      </c>
      <c r="C10" s="17" t="s">
        <v>400</v>
      </c>
      <c r="D10" s="1"/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File_Size_Comparision!F11</f>
        <v>5.4873054873055008E-2</v>
      </c>
    </row>
    <row r="11" spans="2:15">
      <c r="B11" s="31" t="s">
        <v>11</v>
      </c>
      <c r="C11" s="17" t="s">
        <v>399</v>
      </c>
      <c r="D11" s="1">
        <v>20</v>
      </c>
      <c r="E11" s="31" t="s">
        <v>11</v>
      </c>
      <c r="F11" s="1">
        <v>19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>
      <c r="B13" s="1" t="s">
        <v>14</v>
      </c>
      <c r="C13" s="17" t="s">
        <v>399</v>
      </c>
      <c r="D13" s="1">
        <v>10</v>
      </c>
      <c r="E13" s="1" t="s">
        <v>14</v>
      </c>
      <c r="F13" s="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>
      <c r="B14" s="1" t="s">
        <v>18</v>
      </c>
      <c r="C14" s="17" t="s">
        <v>399</v>
      </c>
      <c r="D14" s="1">
        <v>5</v>
      </c>
      <c r="E14" s="1" t="s">
        <v>18</v>
      </c>
      <c r="F14" s="1">
        <v>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>
      <c r="B15" s="1" t="s">
        <v>19</v>
      </c>
      <c r="C15" s="17" t="s">
        <v>399</v>
      </c>
      <c r="D15" s="46">
        <v>42</v>
      </c>
      <c r="E15" s="1" t="s">
        <v>19</v>
      </c>
      <c r="F15" s="1">
        <v>42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>
      <c r="B16" s="1" t="s">
        <v>22</v>
      </c>
      <c r="C16" s="17" t="s">
        <v>399</v>
      </c>
      <c r="D16" s="1">
        <v>20</v>
      </c>
      <c r="E16" s="1" t="s">
        <v>22</v>
      </c>
      <c r="F16" s="1">
        <v>12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>
      <c r="B17" s="1" t="s">
        <v>23</v>
      </c>
      <c r="C17" s="17" t="s">
        <v>399</v>
      </c>
      <c r="D17" s="1">
        <v>50</v>
      </c>
      <c r="E17" s="1" t="s">
        <v>23</v>
      </c>
      <c r="F17" s="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>
      <c r="B21" s="1" t="s">
        <v>29</v>
      </c>
      <c r="C21" s="17" t="s">
        <v>399</v>
      </c>
      <c r="D21" s="1">
        <v>100</v>
      </c>
      <c r="E21" s="1" t="s">
        <v>29</v>
      </c>
      <c r="F21" s="1">
        <v>12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>
      <c r="B22" s="57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>
      <c r="B27" s="1" t="s">
        <v>305</v>
      </c>
      <c r="C27" s="17" t="s">
        <v>399</v>
      </c>
      <c r="D27" s="1">
        <v>70</v>
      </c>
      <c r="E27" s="1" t="s">
        <v>305</v>
      </c>
      <c r="F27" s="1">
        <v>61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>
      <c r="B34" s="1" t="s">
        <v>311</v>
      </c>
      <c r="C34" s="17" t="s">
        <v>399</v>
      </c>
      <c r="D34" s="1">
        <v>30</v>
      </c>
      <c r="E34" s="1" t="s">
        <v>311</v>
      </c>
      <c r="F34" s="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>
      <c r="B36" s="1" t="s">
        <v>313</v>
      </c>
      <c r="C36" s="17" t="s">
        <v>400</v>
      </c>
      <c r="D36" s="1"/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>
      <c r="B37" s="1" t="s">
        <v>314</v>
      </c>
      <c r="C37" s="17" t="s">
        <v>400</v>
      </c>
      <c r="D37" s="1"/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>
      <c r="B38" s="1" t="s">
        <v>315</v>
      </c>
      <c r="C38" s="17" t="s">
        <v>400</v>
      </c>
      <c r="D38" s="1"/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>
      <c r="B39" s="1" t="s">
        <v>192</v>
      </c>
      <c r="C39" s="17" t="s">
        <v>400</v>
      </c>
      <c r="D39" s="1"/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>
      <c r="B40" s="1" t="s">
        <v>316</v>
      </c>
      <c r="C40" s="17" t="s">
        <v>399</v>
      </c>
      <c r="D40" s="1">
        <v>11</v>
      </c>
      <c r="E40" s="1" t="s">
        <v>316</v>
      </c>
      <c r="F40" s="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>
      <c r="B42" s="1" t="s">
        <v>318</v>
      </c>
      <c r="C42" s="17" t="s">
        <v>399</v>
      </c>
      <c r="D42" s="1">
        <v>12</v>
      </c>
      <c r="E42" s="1" t="s">
        <v>318</v>
      </c>
      <c r="F42" s="1">
        <v>4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>
      <c r="B45" s="1" t="s">
        <v>321</v>
      </c>
      <c r="C45" s="17" t="s">
        <v>399</v>
      </c>
      <c r="D45" s="1">
        <v>10</v>
      </c>
      <c r="E45" s="1" t="s">
        <v>321</v>
      </c>
      <c r="F45" s="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>
      <c r="B47" s="1" t="s">
        <v>323</v>
      </c>
      <c r="C47" s="17" t="s">
        <v>398</v>
      </c>
      <c r="D47" s="1"/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>
      <c r="B48" s="1" t="s">
        <v>324</v>
      </c>
      <c r="C48" s="17" t="s">
        <v>398</v>
      </c>
      <c r="D48" s="1"/>
      <c r="E48" s="1" t="s">
        <v>324</v>
      </c>
      <c r="F48" s="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>
      <c r="B54" s="1" t="s">
        <v>330</v>
      </c>
      <c r="C54" s="17" t="s">
        <v>398</v>
      </c>
      <c r="D54" s="1"/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>
      <c r="B55" s="1" t="s">
        <v>331</v>
      </c>
      <c r="C55" s="17" t="s">
        <v>398</v>
      </c>
      <c r="D55" s="1"/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>
      <c r="B56" s="1" t="s">
        <v>332</v>
      </c>
      <c r="C56" s="17" t="s">
        <v>398</v>
      </c>
      <c r="D56" s="1"/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>
      <c r="B58" s="1" t="s">
        <v>334</v>
      </c>
      <c r="C58" s="17" t="s">
        <v>399</v>
      </c>
      <c r="D58" s="1">
        <v>50</v>
      </c>
      <c r="E58" s="1" t="s">
        <v>334</v>
      </c>
      <c r="F58" s="1">
        <v>36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>
      <c r="B59" s="1" t="s">
        <v>195</v>
      </c>
      <c r="C59" s="17" t="s">
        <v>405</v>
      </c>
      <c r="D59" s="31" t="s">
        <v>456</v>
      </c>
      <c r="E59" s="1" t="s">
        <v>195</v>
      </c>
      <c r="F59" s="1">
        <v>8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8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3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7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>
      <c r="B65" s="1" t="s">
        <v>336</v>
      </c>
      <c r="C65" s="17" t="s">
        <v>405</v>
      </c>
      <c r="D65" s="31" t="s">
        <v>456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>
      <c r="B67" s="1" t="s">
        <v>338</v>
      </c>
      <c r="C67" s="17" t="s">
        <v>405</v>
      </c>
      <c r="D67" s="31" t="s">
        <v>456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>
      <c r="B68" s="1" t="s">
        <v>205</v>
      </c>
      <c r="C68" s="17" t="s">
        <v>405</v>
      </c>
      <c r="D68" s="31" t="s">
        <v>456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>
      <c r="B71" s="1" t="s">
        <v>51</v>
      </c>
      <c r="C71" s="17" t="s">
        <v>399</v>
      </c>
      <c r="D71" s="1">
        <v>100</v>
      </c>
      <c r="E71" s="1" t="s">
        <v>51</v>
      </c>
      <c r="F71" s="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>
      <c r="B93" s="31" t="s">
        <v>86</v>
      </c>
      <c r="C93" s="36"/>
      <c r="D93" s="31">
        <v>500</v>
      </c>
      <c r="E93" s="31" t="s">
        <v>86</v>
      </c>
      <c r="F93" s="3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>
      <c r="B94" s="31" t="s">
        <v>436</v>
      </c>
      <c r="C94" s="36"/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>
      <c r="B95" s="31" t="s">
        <v>437</v>
      </c>
      <c r="C95" s="36"/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>
      <c r="B96" s="31" t="s">
        <v>438</v>
      </c>
      <c r="C96" s="36"/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>
      <c r="B97" s="31" t="s">
        <v>439</v>
      </c>
      <c r="C97" s="36"/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>
      <c r="B98" s="31" t="s">
        <v>440</v>
      </c>
      <c r="C98" s="36"/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>
      <c r="B99" s="31" t="s">
        <v>441</v>
      </c>
      <c r="C99" s="36"/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>
      <c r="B100" s="31" t="s">
        <v>442</v>
      </c>
      <c r="C100" s="36"/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>
      <c r="B101" s="31" t="s">
        <v>443</v>
      </c>
      <c r="C101" s="36"/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>
      <c r="B102" s="31" t="s">
        <v>444</v>
      </c>
      <c r="C102" s="36"/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>
      <c r="B103" s="31" t="s">
        <v>445</v>
      </c>
      <c r="C103" s="36"/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>
      <c r="B104" s="31" t="s">
        <v>446</v>
      </c>
      <c r="C104" s="36"/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>
      <c r="B105" s="31" t="s">
        <v>447</v>
      </c>
      <c r="C105" s="36"/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>
      <c r="B106" s="31" t="s">
        <v>448</v>
      </c>
      <c r="C106" s="36"/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>
      <c r="B107" s="31" t="s">
        <v>449</v>
      </c>
      <c r="C107" s="36"/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>
      <c r="B108" s="31" t="s">
        <v>450</v>
      </c>
      <c r="C108" s="36"/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>
      <c r="B109" s="31" t="s">
        <v>451</v>
      </c>
      <c r="C109" s="36"/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>
      <c r="B110" s="31" t="s">
        <v>452</v>
      </c>
      <c r="C110" s="36"/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>
      <c r="B111" s="31" t="s">
        <v>453</v>
      </c>
      <c r="C111" s="36"/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>
      <c r="B112" s="31" t="s">
        <v>454</v>
      </c>
      <c r="C112" s="36"/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>
      <c r="B113" s="31" t="s">
        <v>455</v>
      </c>
      <c r="C113" s="36"/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61" operator="equal">
      <formula>"Fail"</formula>
    </cfRule>
    <cfRule type="cellIs" dxfId="70" priority="462" operator="equal">
      <formula>"Pass"</formula>
    </cfRule>
  </conditionalFormatting>
  <conditionalFormatting sqref="N6:N7">
    <cfRule type="cellIs" dxfId="69" priority="9" operator="equal">
      <formula>"Fail"</formula>
    </cfRule>
    <cfRule type="cellIs" dxfId="68" priority="10" operator="equal">
      <formula>"Pass"</formula>
    </cfRule>
  </conditionalFormatting>
  <conditionalFormatting sqref="M6:M8">
    <cfRule type="cellIs" dxfId="67" priority="1" operator="equal">
      <formula>"Fail"</formula>
    </cfRule>
    <cfRule type="cellIs" dxfId="6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O15"/>
  <sheetViews>
    <sheetView showGridLines="0" workbookViewId="0">
      <pane ySplit="1" topLeftCell="A2" activePane="bottomLeft" state="frozen"/>
      <selection pane="bottomLeft" activeCell="B2" sqref="B2:D15"/>
    </sheetView>
  </sheetViews>
  <sheetFormatPr defaultRowHeight="1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110985</v>
      </c>
      <c r="M3" s="19">
        <v>94954</v>
      </c>
      <c r="N3" s="22">
        <f>L3-M3</f>
        <v>16031</v>
      </c>
    </row>
    <row r="4" spans="2:1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>
      <c r="B5" s="1" t="s">
        <v>340</v>
      </c>
      <c r="C5" s="17" t="s">
        <v>399</v>
      </c>
      <c r="D5" s="11">
        <v>30</v>
      </c>
      <c r="E5" s="1" t="s">
        <v>340</v>
      </c>
      <c r="F5" s="11">
        <v>20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>
      <c r="B7" s="1" t="s">
        <v>342</v>
      </c>
      <c r="C7" s="17" t="s">
        <v>400</v>
      </c>
      <c r="D7" s="11"/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0.16882911725677696</v>
      </c>
    </row>
    <row r="9" spans="2:1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File_Size_Comparision!F12</f>
        <v>0.13761955366631243</v>
      </c>
    </row>
    <row r="10" spans="2:1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>
      <c r="B12" s="1" t="s">
        <v>347</v>
      </c>
      <c r="C12" s="17" t="s">
        <v>400</v>
      </c>
      <c r="D12" s="11"/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>
      <c r="B13" s="1" t="s">
        <v>348</v>
      </c>
      <c r="C13" s="17" t="s">
        <v>400</v>
      </c>
      <c r="D13" s="11"/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9" operator="equal">
      <formula>"Fail"</formula>
    </cfRule>
    <cfRule type="cellIs" dxfId="64" priority="630" operator="equal">
      <formula>"Pass"</formula>
    </cfRule>
  </conditionalFormatting>
  <conditionalFormatting sqref="H2:H15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5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5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5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5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5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5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5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O26"/>
  <sheetViews>
    <sheetView showGridLines="0" workbookViewId="0">
      <pane ySplit="1" topLeftCell="A2" activePane="bottomLeft" state="frozen"/>
      <selection pane="bottomLeft" activeCell="B2" sqref="B2:D26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3475</v>
      </c>
      <c r="M3" s="19">
        <v>3735</v>
      </c>
      <c r="N3" s="22">
        <f>L3-M3</f>
        <v>-260</v>
      </c>
    </row>
    <row r="4" spans="2:1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-6.9611780455153954E-2</v>
      </c>
    </row>
    <row r="9" spans="2:1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File_Size_Comparision!F13</f>
        <v>-7.631565453706389E-2</v>
      </c>
    </row>
    <row r="10" spans="2:1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1" t="s">
        <v>95</v>
      </c>
      <c r="C13" s="17" t="s">
        <v>399</v>
      </c>
      <c r="D13" s="11">
        <v>50</v>
      </c>
      <c r="E13" s="1" t="s">
        <v>95</v>
      </c>
      <c r="F13" s="11">
        <v>4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1" t="s">
        <v>104</v>
      </c>
      <c r="C22" s="17" t="s">
        <v>399</v>
      </c>
      <c r="D22" s="11">
        <v>50</v>
      </c>
      <c r="E22" s="1" t="s">
        <v>104</v>
      </c>
      <c r="F22" s="11">
        <v>4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7" operator="equal">
      <formula>"Fail"</formula>
    </cfRule>
    <cfRule type="cellIs" dxfId="44" priority="838" operator="equal">
      <formula>"Pass"</formula>
    </cfRule>
  </conditionalFormatting>
  <conditionalFormatting sqref="H2:H26">
    <cfRule type="cellIs" dxfId="43" priority="21" operator="equal">
      <formula>"Fail"</formula>
    </cfRule>
    <cfRule type="cellIs" dxfId="42" priority="22" operator="equal">
      <formula>"Pass"</formula>
    </cfRule>
  </conditionalFormatting>
  <conditionalFormatting sqref="H2:H26">
    <cfRule type="cellIs" dxfId="41" priority="19" operator="equal">
      <formula>"Fail"</formula>
    </cfRule>
    <cfRule type="cellIs" dxfId="40" priority="20" operator="equal">
      <formula>"Pass"</formula>
    </cfRule>
  </conditionalFormatting>
  <conditionalFormatting sqref="H2:H26">
    <cfRule type="cellIs" dxfId="39" priority="17" operator="equal">
      <formula>"Fail"</formula>
    </cfRule>
    <cfRule type="cellIs" dxfId="38" priority="18" operator="equal">
      <formula>"Pass"</formula>
    </cfRule>
  </conditionalFormatting>
  <conditionalFormatting sqref="H2:H26">
    <cfRule type="cellIs" dxfId="37" priority="15" operator="equal">
      <formula>"Fail"</formula>
    </cfRule>
    <cfRule type="cellIs" dxfId="36" priority="16" operator="equal">
      <formula>"Pass"</formula>
    </cfRule>
  </conditionalFormatting>
  <conditionalFormatting sqref="H2:H26">
    <cfRule type="cellIs" dxfId="35" priority="13" operator="equal">
      <formula>"Fail"</formula>
    </cfRule>
    <cfRule type="cellIs" dxfId="34" priority="14" operator="equal">
      <formula>"Pass"</formula>
    </cfRule>
  </conditionalFormatting>
  <conditionalFormatting sqref="H2:H26">
    <cfRule type="cellIs" dxfId="33" priority="11" operator="equal">
      <formula>"Fail"</formula>
    </cfRule>
    <cfRule type="cellIs" dxfId="32" priority="12" operator="equal">
      <formula>"Pass"</formula>
    </cfRule>
  </conditionalFormatting>
  <conditionalFormatting sqref="H2:H26">
    <cfRule type="cellIs" dxfId="31" priority="9" operator="equal">
      <formula>"Fail"</formula>
    </cfRule>
    <cfRule type="cellIs" dxfId="30" priority="10" operator="equal">
      <formula>"Pass"</formula>
    </cfRule>
  </conditionalFormatting>
  <conditionalFormatting sqref="H2:H26">
    <cfRule type="cellIs" dxfId="29" priority="7" operator="equal">
      <formula>"Fail"</formula>
    </cfRule>
    <cfRule type="cellIs" dxfId="28" priority="8" operator="equal">
      <formula>"Pass"</formula>
    </cfRule>
  </conditionalFormatting>
  <conditionalFormatting sqref="H2:H26">
    <cfRule type="cellIs" dxfId="27" priority="5" operator="equal">
      <formula>"Fail"</formula>
    </cfRule>
    <cfRule type="cellIs" dxfId="26" priority="6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B2" sqref="B2:D13"/>
    </sheetView>
  </sheetViews>
  <sheetFormatPr defaultRowHeight="1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53059</v>
      </c>
      <c r="M3" s="19">
        <v>51071</v>
      </c>
      <c r="N3" s="22">
        <f>L3-M3</f>
        <v>1988</v>
      </c>
    </row>
    <row r="4" spans="2:1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>
      <c r="B7" s="1" t="s">
        <v>351</v>
      </c>
      <c r="C7" s="17" t="s">
        <v>399</v>
      </c>
      <c r="D7" s="11">
        <v>50</v>
      </c>
      <c r="E7" s="1" t="s">
        <v>351</v>
      </c>
      <c r="F7" s="11">
        <v>38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3.8926200779307238E-2</v>
      </c>
    </row>
    <row r="9" spans="2:1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File_Size_Comparision!F14</f>
        <v>3.6605657237936733E-2</v>
      </c>
    </row>
    <row r="10" spans="2:1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>
      <c r="B11" s="1" t="s">
        <v>355</v>
      </c>
      <c r="C11" s="17" t="s">
        <v>399</v>
      </c>
      <c r="D11" s="11">
        <v>55</v>
      </c>
      <c r="E11" s="1" t="s">
        <v>355</v>
      </c>
      <c r="F11" s="11">
        <v>43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>
      <c r="B13" s="31" t="s">
        <v>459</v>
      </c>
      <c r="C13" s="32" t="s">
        <v>399</v>
      </c>
      <c r="D13" s="11">
        <v>1</v>
      </c>
      <c r="E13" s="31" t="s">
        <v>529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81" operator="equal">
      <formula>"Fail"</formula>
    </cfRule>
    <cfRule type="cellIs" dxfId="22" priority="1082" operator="equal">
      <formula>"Pass"</formula>
    </cfRule>
  </conditionalFormatting>
  <conditionalFormatting sqref="H2:H1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H2:H13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H2:H13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H2:H13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H2:H13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H2:H13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H2:H13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H2:H13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H2:H13">
    <cfRule type="cellIs" dxfId="5" priority="7" operator="equal">
      <formula>"Fail"</formula>
    </cfRule>
    <cfRule type="cellIs" dxfId="4" priority="8" operator="equal">
      <formula>"Pass"</formula>
    </cfRule>
  </conditionalFormatting>
  <conditionalFormatting sqref="H2:H13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abhattarai</cp:lastModifiedBy>
  <dcterms:created xsi:type="dcterms:W3CDTF">2013-12-03T07:41:54Z</dcterms:created>
  <dcterms:modified xsi:type="dcterms:W3CDTF">2017-01-04T09:45:41Z</dcterms:modified>
</cp:coreProperties>
</file>