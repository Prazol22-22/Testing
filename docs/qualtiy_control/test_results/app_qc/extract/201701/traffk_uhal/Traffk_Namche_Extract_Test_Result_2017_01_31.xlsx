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I7" i="14"/>
  <c r="H7"/>
  <c r="I3"/>
  <c r="H3"/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N3"/>
  <c r="M8" s="1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N2"/>
  <c r="M7" s="1"/>
  <c r="J2"/>
  <c r="I2"/>
  <c r="H2"/>
  <c r="F7" i="14" l="1"/>
  <c r="M9" i="19" s="1"/>
  <c r="F3" i="14"/>
  <c r="G3" s="1"/>
  <c r="G6" i="19"/>
  <c r="G16"/>
  <c r="G2"/>
  <c r="G7"/>
  <c r="G21"/>
  <c r="G12"/>
  <c r="G20"/>
  <c r="G2" i="18"/>
  <c r="G3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G5" i="18"/>
  <c r="G11"/>
  <c r="G15"/>
  <c r="G19"/>
  <c r="G6"/>
  <c r="G12"/>
  <c r="G16"/>
  <c r="N2" i="16"/>
  <c r="M7" s="1"/>
  <c r="N3" i="9"/>
  <c r="M8" s="1"/>
  <c r="M8" i="18" l="1"/>
  <c r="M5"/>
  <c r="G15" i="3" s="1"/>
  <c r="G7" i="14"/>
  <c r="M6" i="19"/>
  <c r="G24" i="3" s="1"/>
  <c r="N4" i="17"/>
  <c r="M10" s="1"/>
  <c r="N3"/>
  <c r="M9" s="1"/>
  <c r="G31" i="3" s="1"/>
  <c r="N2" i="15"/>
  <c r="M7" s="1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F14" i="14" l="1"/>
  <c r="G14" s="1"/>
  <c r="F12"/>
  <c r="G12" s="1"/>
  <c r="F13"/>
  <c r="G13" s="1"/>
  <c r="M8" i="17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9" i="11" l="1"/>
  <c r="M9" i="12"/>
  <c r="G9" i="15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G8"/>
  <c r="M5" l="1"/>
  <c r="G17" i="3" s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H6"/>
  <c r="H8"/>
  <c r="H9"/>
  <c r="H10"/>
  <c r="H11"/>
  <c r="H4"/>
  <c r="F5" l="1"/>
  <c r="M10" i="2" s="1"/>
  <c r="G5" i="13"/>
  <c r="G11"/>
  <c r="G9"/>
  <c r="G7"/>
  <c r="G3"/>
  <c r="F11" i="14"/>
  <c r="G11" s="1"/>
  <c r="F10"/>
  <c r="G10" s="1"/>
  <c r="F9"/>
  <c r="M11" i="17" s="1"/>
  <c r="F6" i="14"/>
  <c r="G6" s="1"/>
  <c r="F8"/>
  <c r="M10" i="7" s="1"/>
  <c r="F4" i="14"/>
  <c r="M8" i="15" s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5" i="14" l="1"/>
  <c r="G9"/>
  <c r="G8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<sst xmlns="http://schemas.openxmlformats.org/spreadsheetml/2006/main" count="2317" uniqueCount="578">
  <si>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</si>
  <si>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</si>
  <si>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</si>
  <si>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</si>
  <si>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</si>
  <si>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</si>
  <si>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</si>
  <si>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</si>
  <si>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</si>
  <si>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</si>
  <si>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</si>
  <si>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</si>
  <si>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</si>
  <si>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</si>
  <si>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</si>
  <si>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</si>
  <si>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</si>
  <si>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</si>
  <si>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</si>
  <si>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</si>
  <si>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</si>
  <si>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</si>
  <si>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</si>
  <si>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</si>
  <si>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</si>
  <si>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</si>
  <si>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</si>
  <si>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</si>
  <si>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</si>
  <si>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</si>
  <si>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</si>
  <si>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</si>
  <si>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</si>
  <si>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</si>
  <si>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</si>
  <si>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</si>
  <si>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</si>
  <si>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</si>
  <si>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</si>
  <si>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</si>
  <si>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</si>
  <si>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</si>
  <si>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</si>
  <si>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</si>
  <si>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</si>
  <si>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</si>
  <si>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</si>
  <si>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</si>
  <si>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</si>
  <si>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</si>
  <si>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</si>
  <si>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</si>
  <si>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</si>
  <si>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</si>
  <si>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</si>
  <si>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</si>
  <si>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</si>
  <si>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</si>
  <si>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</si>
  <si>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</si>
  <si>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</si>
  <si>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</si>
  <si>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</si>
  <si>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</si>
  <si>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</si>
  <si>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</si>
  <si>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</si>
  <si>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</si>
  <si>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</si>
  <si>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</si>
  <si>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</si>
  <si>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</si>
  <si>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</si>
  <si>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</si>
  <si>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</si>
  <si>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</si>
  <si>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</si>
  <si>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</si>
  <si>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</si>
  <si>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</si>
  <si>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</si>
  <si>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</si>
  <si>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</si>
  <si>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</si>
  <si>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</si>
  <si>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</si>
  <si>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</si>
  <si>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</si>
  <si>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</si>
  <si>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</si>
  <si>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</si>
  <si>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</si>
  <si>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</si>
  <si>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</si>
  <si>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</si>
  <si>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</si>
  <si>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</si>
  <si>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</si>
  <si>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</si>
  <si>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</si>
  <si>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</si>
  <si>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</si>
  <si>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</si>
  <si>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</si>
  <si>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</si>
  <si>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</si>
  <si>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</si>
  <si>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</si>
  <si>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</si>
  <si>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</si>
  <si>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</si>
  <si>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</si>
  <si>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</si>
  <si>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</si>
  <si>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</si>
  <si>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</si>
  <si>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</si>
  <si>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</si>
  <si>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</si>
  <si>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</si>
  <si>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</si>
  <si>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</si>
  <si>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</si>
  <si>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</si>
  <si>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</si>
  <si>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</si>
  <si>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</si>
  <si>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</si>
  <si>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</si>
  <si>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</si>
  <si>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</si>
  <si>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</si>
  <si>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</si>
  <si>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</si>
  <si>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</si>
  <si>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</si>
  <si>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</si>
  <si>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</si>
  <si>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</si>
  <si>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</si>
  <si>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</si>
  <si>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</si>
  <si>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</si>
  <si>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</si>
  <si>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</si>
  <si>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</si>
  <si>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</si>
  <si>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</si>
  <si>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</si>
  <si>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</si>
  <si>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</si>
  <si>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</si>
  <si>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</si>
  <si>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</si>
  <si>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</si>
  <si>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</si>
  <si>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</si>
  <si>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</si>
  <si>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</si>
  <si>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</si>
  <si>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</si>
  <si>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</si>
  <si>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</si>
  <si>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</si>
  <si>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</si>
  <si>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</si>
  <si>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</si>
  <si>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</si>
  <si>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</si>
  <si>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</si>
  <si>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</si>
  <si>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</si>
  <si>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</si>
  <si>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</si>
  <si>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</si>
  <si>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</si>
  <si>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</si>
  <si>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</si>
  <si>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</si>
  <si>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</si>
  <si>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</si>
  <si>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</si>
  <si>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</si>
  <si>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</si>
  <si>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</si>
  <si>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</si>
  <si>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</si>
  <si>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</si>
  <si>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</si>
  <si>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</si>
  <si>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</si>
  <si>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</si>
  <si>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</si>
  <si>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</si>
  <si>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</si>
  <si>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</si>
  <si>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</si>
  <si>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</si>
  <si>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</si>
  <si>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</si>
  <si>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</si>
  <si>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</si>
  <si>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</si>
  <si>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</si>
  <si>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</si>
  <si>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</si>
  <si>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</si>
  <si>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</si>
  <si>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</si>
  <si>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</si>
  <si>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</si>
  <si>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</si>
  <si>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</si>
  <si>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</si>
  <si>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</si>
  <si>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</si>
  <si>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</si>
  <si>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</si>
  <si>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</si>
  <si>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</si>
  <si>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</si>
  <si>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</si>
  <si>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</si>
  <si>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</si>
  <si>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</si>
  <si>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</si>
  <si>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</si>
  <si>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</si>
  <si>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</si>
  <si>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</si>
  <si>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</si>
  <si>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</si>
  <si>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</si>
  <si>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</si>
  <si>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</si>
  <si>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</si>
  <si>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</si>
  <si>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</si>
  <si>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</si>
  <si>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</si>
  <si>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</si>
  <si>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</si>
  <si>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</si>
  <si>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</si>
  <si>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</si>
  <si>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</si>
  <si>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</si>
  <si>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</si>
  <si>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</si>
  <si>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</si>
  <si>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</si>
  <si>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</si>
  <si>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</si>
  <si>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</si>
  <si>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</si>
  <si>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</si>
  <si>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</si>
  <si>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</si>
  <si>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</si>
  <si>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</si>
  <si>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</si>
  <si>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</si>
  <si>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</si>
  <si>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</si>
  <si>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</si>
  <si>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</si>
  <si>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</si>
  <si>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</si>
  <si>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</si>
  <si>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</si>
  <si>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</si>
  <si>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</si>
  <si>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</si>
  <si>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</si>
  <si>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</si>
  <si>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</si>
  <si>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</si>
  <si>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</si>
  <si>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</si>
  <si>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</si>
  <si>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</si>
  <si>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</si>
  <si>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</si>
  <si>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</si>
  <si>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</si>
  <si>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</si>
  <si>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</si>
  <si>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</si>
  <si>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</si>
  <si>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</si>
  <si>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</si>
  <si>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</si>
  <si>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</si>
  <si>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</si>
  <si>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</si>
  <si>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</si>
  <si>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</si>
  <si>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</si>
  <si>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</si>
  <si>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</si>
  <si>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</si>
  <si>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</si>
  <si>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</si>
  <si>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</si>
  <si>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</si>
  <si>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</si>
  <si>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</si>
  <si>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</si>
  <si>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</si>
  <si>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</si>
  <si>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</si>
  <si>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</si>
  <si>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</si>
  <si>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</si>
  <si>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</si>
  <si>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</si>
  <si>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</si>
  <si>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</si>
  <si>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</si>
  <si>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</si>
  <si>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</si>
  <si>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</si>
  <si>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</si>
  <si>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</si>
  <si>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</si>
  <si>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</si>
  <si>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</si>
  <si>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</si>
  <si>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</si>
  <si>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</si>
  <si>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</si>
  <si>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</si>
  <si>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</si>
  <si>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</si>
  <si>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</si>
  <si>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</si>
  <si>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</si>
  <si>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</si>
  <si>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</si>
  <si>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</si>
  <si>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</si>
  <si>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</si>
  <si>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</si>
  <si>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</si>
  <si>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</si>
  <si>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</si>
  <si>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</si>
  <si>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</si>
  <si>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</si>
  <si>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</si>
  <si>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</si>
  <si>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</si>
  <si>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</si>
  <si>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</si>
  <si>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</si>
  <si>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</si>
  <si>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</si>
  <si>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</si>
  <si>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</si>
  <si>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</si>
  <si>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</si>
  <si>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</si>
  <si>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</si>
  <si>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</si>
  <si>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</si>
  <si>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</si>
  <si>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</si>
  <si>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</si>
  <si>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</si>
  <si>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</si>
  <si>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</si>
  <si>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</si>
  <si>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</si>
  <si>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</si>
  <si>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</si>
  <si>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</si>
  <si>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</si>
  <si>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</si>
  <si>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</si>
  <si>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</si>
  <si>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</si>
  <si>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</si>
  <si>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</si>
  <si>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</si>
  <si>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</si>
  <si>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</si>
  <si>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</si>
  <si>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</si>
  <si>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</si>
  <si>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</si>
  <si>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</si>
  <si>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</si>
  <si>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</si>
  <si>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</si>
  <si>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</si>
  <si>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</si>
  <si>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</si>
  <si>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</si>
  <si>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</si>
  <si>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</si>
  <si>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</si>
  <si>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</si>
  <si>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</si>
  <si>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</si>
  <si>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</si>
  <si>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</si>
  <si>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</si>
  <si>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</si>
  <si>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</si>
  <si>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</si>
  <si>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</si>
  <si>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</si>
  <si>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</si>
  <si>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</si>
  <si>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</si>
  <si>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</si>
  <si>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</si>
  <si>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</si>
  <si>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</si>
  <si>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</si>
  <si>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</si>
  <si>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</si>
  <si>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</si>
  <si>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</si>
  <si>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</si>
  <si>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</si>
  <si>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</si>
  <si>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</si>
  <si>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</si>
  <si>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</si>
  <si>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</si>
  <si>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</si>
  <si>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</si>
  <si>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</si>
  <si>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</si>
  <si>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</si>
  <si>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</si>
  <si>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</si>
  <si>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</si>
  <si>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</si>
  <si>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</si>
  <si>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</si>
  <si>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</si>
  <si>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</si>
  <si>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</si>
  <si>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</si>
  <si>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</si>
  <si>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</si>
  <si>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</si>
  <si>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</si>
  <si>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</si>
  <si>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</si>
  <si>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</si>
  <si>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</si>
  <si>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</si>
  <si>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</si>
  <si>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</si>
  <si>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</si>
  <si>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</si>
  <si>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</si>
  <si>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</si>
  <si>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</si>
  <si>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</si>
  <si>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</si>
  <si>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</si>
  <si>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</si>
  <si>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</si>
  <si>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</si>
  <si>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</si>
  <si>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</si>
  <si>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</si>
  <si>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</si>
  <si>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</si>
  <si>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</si>
  <si>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</si>
  <si>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</si>
  <si>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</si>
  <si>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</si>
  <si>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</si>
  <si>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</si>
  <si>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</si>
  <si>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</si>
  <si>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</si>
  <si>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</si>
  <si>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</si>
  <si>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</si>
  <si>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</si>
  <si>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</si>
  <si>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</si>
  <si>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</si>
  <si>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</si>
  <si>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</si>
  <si>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</si>
  <si>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</si>
  <si>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</si>
  <si>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</si>
  <si>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</si>
  <si>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</si>
  <si>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</si>
  <si>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</si>
  <si>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</si>
  <si>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</si>
  <si>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</si>
  <si>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</si>
  <si>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</si>
  <si>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</si>
  <si>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151 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</si>
  <si>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</si>
  <si>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</si>
  <si>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</si>
  <si>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</si>
  <si>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</si>
  <si>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</si>
  <si>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</si>
  <si>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</si>
  <si>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</si>
  <si>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</si>
  <si>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</si>
  <si>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</si>
  <si>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</si>
  <si>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</si>
  <si>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</si>
  <si>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</si>
  <si>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</si>
  <si>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</si>
  <si>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</si>
  <si>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</si>
  <si>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</si>
  <si>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</si>
  <si>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</si>
  <si>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</si>
  <si>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</si>
  <si>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</si>
  <si>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</si>
  <si>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</si>
  <si>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</si>
  <si>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</si>
  <si>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</si>
  <si>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</si>
  <si>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</si>
  <si>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</si>
  <si>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</si>
  <si>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</si>
  <si>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</si>
  <si>
    <t>21.08 MB</t>
  </si>
  <si>
    <t>6.13 MB</t>
  </si>
  <si>
    <t>83.74 MB</t>
  </si>
  <si>
    <t>2.84 MB</t>
  </si>
  <si>
    <t>35.84 MB</t>
  </si>
  <si>
    <t>1.43 GB</t>
  </si>
  <si>
    <t>996 KB</t>
  </si>
  <si>
    <t>205.47 MB</t>
  </si>
  <si>
    <t>72.96 MB</t>
  </si>
  <si>
    <t>2.77 MB</t>
  </si>
  <si>
    <t>11.45 MB</t>
  </si>
  <si>
    <t>Field Length for mbr_relationship_desc changed from 20 to 22</t>
  </si>
  <si>
    <t>Field Length for mbr_ssn changed from 20 to 22</t>
  </si>
  <si>
    <t>Field Length of care_alert_desc changed from 50 to 101</t>
  </si>
  <si>
    <t>Field Length of mbr_ssn changed from 20 to 22</t>
  </si>
  <si>
    <t>Field Length of rev_claim_id changed from 20 to 37</t>
  </si>
  <si>
    <t>Field Length of mbr_relationship_desc changed from 20 to 22</t>
  </si>
  <si>
    <t>Field Length of dw_vendor_name changed from 20 to 33</t>
  </si>
  <si>
    <t xml:space="preserve"> </t>
  </si>
  <si>
    <t xml:space="preserve"> 19,2</t>
  </si>
  <si>
    <t>Field Length for svc_daw_desc changed from 50 to 64</t>
  </si>
  <si>
    <t>AsmitaS</t>
  </si>
  <si>
    <t>20.42 MB</t>
  </si>
  <si>
    <t>6.09 MB</t>
  </si>
  <si>
    <t>62.65 MB</t>
  </si>
  <si>
    <t>2.72 MB</t>
  </si>
  <si>
    <t>33.04 MB</t>
  </si>
  <si>
    <t>1.29 GB</t>
  </si>
  <si>
    <t>970 KB</t>
  </si>
  <si>
    <t>200.58 MB</t>
  </si>
  <si>
    <t>65.53 MB</t>
  </si>
  <si>
    <t>2.74 MB</t>
  </si>
  <si>
    <t>10.12 MB</t>
  </si>
  <si>
    <t>Partially Pass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</si>
</sst>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/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65" t="s">
        <v>386</v>
      </c>
      <c r="C1" s="65"/>
      <c r="D1" s="65"/>
      <c r="E1" s="65"/>
      <c r="F1" s="65"/>
      <c r="G1" s="65"/>
    </row>
    <row r="2" spans="2:7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62" t="s">
        <v>387</v>
      </c>
      <c r="C8" s="63"/>
      <c r="D8" s="63"/>
      <c r="E8" s="63"/>
      <c r="F8" s="63"/>
      <c r="G8" s="64"/>
    </row>
    <row r="9" spans="2:7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>
      <c r="B10" s="9">
        <v>42766</v>
      </c>
      <c r="C10" s="9">
        <v>42766</v>
      </c>
      <c r="D10" s="29" t="s">
        <v>503</v>
      </c>
      <c r="E10" s="7" t="s">
        <v>565</v>
      </c>
      <c r="F10" s="29" t="s">
        <v>577</v>
      </c>
      <c r="G10" s="8"/>
    </row>
    <row r="12" spans="2:7">
      <c r="B12" s="65" t="s">
        <v>388</v>
      </c>
      <c r="C12" s="65"/>
      <c r="D12" s="65"/>
      <c r="E12" s="65"/>
      <c r="F12" s="65"/>
      <c r="G12" s="65"/>
    </row>
    <row r="13" spans="2:7">
      <c r="B13" s="15" t="s">
        <v>361</v>
      </c>
      <c r="C13" s="66" t="s">
        <v>362</v>
      </c>
      <c r="D13" s="66"/>
      <c r="E13" s="66"/>
      <c r="F13" s="66"/>
      <c r="G13" s="15" t="s">
        <v>360</v>
      </c>
    </row>
    <row r="14" spans="2:7">
      <c r="B14" s="1" t="s">
        <v>363</v>
      </c>
      <c r="C14" s="61" t="s">
        <v>373</v>
      </c>
      <c r="D14" s="61"/>
      <c r="E14" s="61"/>
      <c r="F14" s="61"/>
      <c r="G14" s="11" t="str">
        <f>File_Size_Comparision!L2</f>
        <v>Fail</v>
      </c>
    </row>
    <row r="15" spans="2:7">
      <c r="B15" s="48" t="s">
        <v>364</v>
      </c>
      <c r="C15" s="61" t="s">
        <v>520</v>
      </c>
      <c r="D15" s="61"/>
      <c r="E15" s="61"/>
      <c r="F15" s="61"/>
      <c r="G15" s="11" t="str">
        <f>Care_Alerts!M5</f>
        <v>Pass</v>
      </c>
    </row>
    <row r="16" spans="2:7">
      <c r="B16" s="48" t="s">
        <v>365</v>
      </c>
      <c r="C16" s="61" t="s">
        <v>521</v>
      </c>
      <c r="D16" s="61"/>
      <c r="E16" s="61"/>
      <c r="F16" s="61"/>
      <c r="G16" s="11" t="str">
        <f>Care_Alerts!M6</f>
        <v>Pass</v>
      </c>
    </row>
    <row r="17" spans="2:7">
      <c r="B17" s="48" t="s">
        <v>366</v>
      </c>
      <c r="C17" s="61" t="s">
        <v>476</v>
      </c>
      <c r="D17" s="61"/>
      <c r="E17" s="61"/>
      <c r="F17" s="61"/>
      <c r="G17" s="11" t="str">
        <f>Demographics!M5</f>
        <v>Pass</v>
      </c>
    </row>
    <row r="18" spans="2:7">
      <c r="B18" s="48" t="s">
        <v>367</v>
      </c>
      <c r="C18" s="61" t="s">
        <v>477</v>
      </c>
      <c r="D18" s="61"/>
      <c r="E18" s="61"/>
      <c r="F18" s="61"/>
      <c r="G18" s="11" t="str">
        <f>Demographics!M6</f>
        <v>Pass</v>
      </c>
    </row>
    <row r="19" spans="2:7">
      <c r="B19" s="48" t="s">
        <v>368</v>
      </c>
      <c r="C19" s="61" t="s">
        <v>414</v>
      </c>
      <c r="D19" s="61"/>
      <c r="E19" s="61"/>
      <c r="F19" s="61"/>
      <c r="G19" s="11" t="str">
        <f>Eligibility!M6</f>
        <v>Pass</v>
      </c>
    </row>
    <row r="20" spans="2:7">
      <c r="B20" s="48" t="s">
        <v>369</v>
      </c>
      <c r="C20" s="61" t="s">
        <v>415</v>
      </c>
      <c r="D20" s="61"/>
      <c r="E20" s="61"/>
      <c r="F20" s="61"/>
      <c r="G20" s="11" t="str">
        <f>Eligibility!M7</f>
        <v>Pass</v>
      </c>
    </row>
    <row r="21" spans="2:7">
      <c r="B21" s="48" t="s">
        <v>370</v>
      </c>
      <c r="C21" s="61" t="s">
        <v>469</v>
      </c>
      <c r="D21" s="61"/>
      <c r="E21" s="61"/>
      <c r="F21" s="61"/>
      <c r="G21" s="11" t="str">
        <f>Eligibility!M8</f>
        <v>Pass</v>
      </c>
    </row>
    <row r="22" spans="2:7">
      <c r="B22" s="48" t="s">
        <v>371</v>
      </c>
      <c r="C22" s="61" t="s">
        <v>482</v>
      </c>
      <c r="D22" s="61"/>
      <c r="E22" s="61"/>
      <c r="F22" s="61"/>
      <c r="G22" s="11" t="str">
        <f>High_Cost!M5</f>
        <v>Pass</v>
      </c>
    </row>
    <row r="23" spans="2:7">
      <c r="B23" s="48" t="s">
        <v>372</v>
      </c>
      <c r="C23" s="61" t="s">
        <v>483</v>
      </c>
      <c r="D23" s="61"/>
      <c r="E23" s="61"/>
      <c r="F23" s="61"/>
      <c r="G23" s="11" t="str">
        <f>High_Cost!M6</f>
        <v>Pass</v>
      </c>
    </row>
    <row r="24" spans="2:7">
      <c r="B24" s="48" t="s">
        <v>374</v>
      </c>
      <c r="C24" s="61" t="s">
        <v>531</v>
      </c>
      <c r="D24" s="61"/>
      <c r="E24" s="61"/>
      <c r="F24" s="61"/>
      <c r="G24" s="11" t="str">
        <f>Historical_Scores!M6</f>
        <v>Pass</v>
      </c>
    </row>
    <row r="25" spans="2:7">
      <c r="B25" s="48" t="s">
        <v>416</v>
      </c>
      <c r="C25" s="61" t="s">
        <v>532</v>
      </c>
      <c r="D25" s="61"/>
      <c r="E25" s="61"/>
      <c r="F25" s="61"/>
      <c r="G25" s="11" t="str">
        <f>Historical_Scores!M7</f>
        <v>Pass</v>
      </c>
    </row>
    <row r="26" spans="2:7">
      <c r="B26" s="48" t="s">
        <v>417</v>
      </c>
      <c r="C26" s="61" t="s">
        <v>431</v>
      </c>
      <c r="D26" s="61"/>
      <c r="E26" s="61"/>
      <c r="F26" s="61"/>
      <c r="G26" s="11" t="str">
        <f>Medical_Claims!M6</f>
        <v>Pass</v>
      </c>
    </row>
    <row r="27" spans="2:7">
      <c r="B27" s="48" t="s">
        <v>418</v>
      </c>
      <c r="C27" s="61" t="s">
        <v>432</v>
      </c>
      <c r="D27" s="61"/>
      <c r="E27" s="61"/>
      <c r="F27" s="61"/>
      <c r="G27" s="11" t="str">
        <f>Medical_Claims!M7</f>
        <v>Pass</v>
      </c>
    </row>
    <row r="28" spans="2:7">
      <c r="B28" s="48" t="s">
        <v>419</v>
      </c>
      <c r="C28" s="61" t="s">
        <v>470</v>
      </c>
      <c r="D28" s="61"/>
      <c r="E28" s="61"/>
      <c r="F28" s="61"/>
      <c r="G28" s="11" t="str">
        <f>Medical_Claims!M8</f>
        <v>Pass</v>
      </c>
    </row>
    <row r="29" spans="2:7">
      <c r="B29" s="48" t="s">
        <v>472</v>
      </c>
      <c r="C29" s="61" t="s">
        <v>502</v>
      </c>
      <c r="D29" s="61"/>
      <c r="E29" s="61"/>
      <c r="F29" s="61"/>
      <c r="G29" s="11" t="str">
        <f>Participation!M7</f>
        <v>Pass</v>
      </c>
    </row>
    <row r="30" spans="2:7">
      <c r="B30" s="48" t="s">
        <v>473</v>
      </c>
      <c r="C30" s="61" t="s">
        <v>497</v>
      </c>
      <c r="D30" s="61"/>
      <c r="E30" s="61"/>
      <c r="F30" s="61"/>
      <c r="G30" s="11" t="str">
        <f>Participation!M8</f>
        <v>Pass</v>
      </c>
    </row>
    <row r="31" spans="2:7">
      <c r="B31" s="48" t="s">
        <v>474</v>
      </c>
      <c r="C31" s="61" t="s">
        <v>498</v>
      </c>
      <c r="D31" s="61"/>
      <c r="E31" s="61"/>
      <c r="F31" s="61"/>
      <c r="G31" s="38" t="str">
        <f>Participation!M9</f>
        <v>Pass</v>
      </c>
    </row>
    <row r="32" spans="2:7">
      <c r="B32" s="48" t="s">
        <v>484</v>
      </c>
      <c r="C32" s="61" t="s">
        <v>420</v>
      </c>
      <c r="D32" s="61"/>
      <c r="E32" s="61"/>
      <c r="F32" s="61"/>
      <c r="G32" s="11" t="str">
        <f>Member_PCP!M6</f>
        <v>Pass</v>
      </c>
    </row>
    <row r="33" spans="2:7">
      <c r="B33" s="48" t="s">
        <v>485</v>
      </c>
      <c r="C33" s="61" t="s">
        <v>425</v>
      </c>
      <c r="D33" s="61"/>
      <c r="E33" s="61"/>
      <c r="F33" s="61"/>
      <c r="G33" s="11" t="str">
        <f>Member_PCP!M7</f>
        <v>Pass</v>
      </c>
    </row>
    <row r="34" spans="2:7">
      <c r="B34" s="48" t="s">
        <v>486</v>
      </c>
      <c r="C34" s="61" t="s">
        <v>421</v>
      </c>
      <c r="D34" s="61"/>
      <c r="E34" s="61"/>
      <c r="F34" s="61"/>
      <c r="G34" s="11" t="str">
        <f>Pharmacy!M6</f>
        <v>Pass</v>
      </c>
    </row>
    <row r="35" spans="2:7">
      <c r="B35" s="48" t="s">
        <v>487</v>
      </c>
      <c r="C35" s="61" t="s">
        <v>426</v>
      </c>
      <c r="D35" s="61"/>
      <c r="E35" s="61"/>
      <c r="F35" s="61"/>
      <c r="G35" s="11" t="str">
        <f>Pharmacy!M7</f>
        <v>Pass</v>
      </c>
    </row>
    <row r="36" spans="2:7">
      <c r="B36" s="48" t="s">
        <v>499</v>
      </c>
      <c r="C36" s="61" t="s">
        <v>471</v>
      </c>
      <c r="D36" s="61"/>
      <c r="E36" s="61"/>
      <c r="F36" s="61"/>
      <c r="G36" s="11" t="str">
        <f>Pharmacy!M8</f>
        <v>Pass</v>
      </c>
    </row>
    <row r="37" spans="2:7">
      <c r="B37" s="48" t="s">
        <v>500</v>
      </c>
      <c r="C37" s="61" t="s">
        <v>422</v>
      </c>
      <c r="D37" s="61"/>
      <c r="E37" s="61"/>
      <c r="F37" s="61"/>
      <c r="G37" s="11" t="str">
        <f>Quality_Metrics!M6</f>
        <v>Pass</v>
      </c>
    </row>
    <row r="38" spans="2:7">
      <c r="B38" s="48" t="s">
        <v>501</v>
      </c>
      <c r="C38" s="61" t="s">
        <v>427</v>
      </c>
      <c r="D38" s="61"/>
      <c r="E38" s="61"/>
      <c r="F38" s="61"/>
      <c r="G38" s="11" t="str">
        <f>Quality_Metrics!M7</f>
        <v>Pass</v>
      </c>
    </row>
    <row r="39" spans="2:7">
      <c r="B39" s="48" t="s">
        <v>522</v>
      </c>
      <c r="C39" s="61" t="s">
        <v>423</v>
      </c>
      <c r="D39" s="61"/>
      <c r="E39" s="61"/>
      <c r="F39" s="61"/>
      <c r="G39" s="11" t="str">
        <f>Scores!M6</f>
        <v>Pass</v>
      </c>
    </row>
    <row r="40" spans="2:7">
      <c r="B40" s="48" t="s">
        <v>523</v>
      </c>
      <c r="C40" s="61" t="s">
        <v>428</v>
      </c>
      <c r="D40" s="61"/>
      <c r="E40" s="61"/>
      <c r="F40" s="61"/>
      <c r="G40" s="11" t="str">
        <f>Scores!M7</f>
        <v>Pass</v>
      </c>
    </row>
    <row r="41" spans="2:7">
      <c r="B41" s="48" t="s">
        <v>529</v>
      </c>
      <c r="C41" s="61" t="s">
        <v>424</v>
      </c>
      <c r="D41" s="61"/>
      <c r="E41" s="61"/>
      <c r="F41" s="61"/>
      <c r="G41" s="11" t="str">
        <f>Visit!M6</f>
        <v>Pass</v>
      </c>
    </row>
    <row r="42" spans="2:7">
      <c r="B42" s="48" t="s">
        <v>530</v>
      </c>
      <c r="C42" s="61" t="s">
        <v>429</v>
      </c>
      <c r="D42" s="61"/>
      <c r="E42" s="61"/>
      <c r="F42" s="61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V33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>
      <c r="B1" s="66" t="s">
        <v>391</v>
      </c>
      <c r="C1" s="66"/>
      <c r="D1" s="66" t="s">
        <v>357</v>
      </c>
      <c r="E1" s="66"/>
      <c r="F1" s="67" t="s">
        <v>375</v>
      </c>
      <c r="G1" s="67" t="s">
        <v>360</v>
      </c>
      <c r="M1" s="26" t="s">
        <v>413</v>
      </c>
    </row>
    <row r="2" spans="2:22">
      <c r="B2" s="15" t="s">
        <v>358</v>
      </c>
      <c r="C2" s="15" t="s">
        <v>359</v>
      </c>
      <c r="D2" s="15" t="s">
        <v>358</v>
      </c>
      <c r="E2" s="15" t="s">
        <v>359</v>
      </c>
      <c r="F2" s="67"/>
      <c r="G2" s="67"/>
      <c r="K2" s="24" t="s">
        <v>430</v>
      </c>
      <c r="L2" s="11" t="str">
        <f>IF(ISERROR(VLOOKUP($M$1,$G$2:$G$11,1,)),"Pass","Fail")</f>
        <v>Fail</v>
      </c>
    </row>
    <row r="3" spans="2:22">
      <c r="B3" s="50" t="s">
        <v>504</v>
      </c>
      <c r="C3" s="57" t="s">
        <v>566</v>
      </c>
      <c r="D3" s="50" t="s">
        <v>504</v>
      </c>
      <c r="E3" s="57" t="s">
        <v>544</v>
      </c>
      <c r="F3" s="2">
        <f>IF(I3=0,0%,(I3-H3)/I3)</f>
        <v>3.1309297912713314E-2</v>
      </c>
      <c r="G3" s="11" t="str">
        <f>IF(AND(F3&lt;=10%,F3&gt;=-10%),"Pass","Fail")</f>
        <v>Pass</v>
      </c>
      <c r="H3" s="51" t="str">
        <f>LEFT(C3, SEARCH(" ", C3, 1))</f>
        <v xml:space="preserve">20.42 </v>
      </c>
      <c r="I3" s="51" t="str">
        <f t="shared" ref="I3:I14" si="0">LEFT(E3, SEARCH(" ", E3, 1))</f>
        <v xml:space="preserve">21.08 </v>
      </c>
      <c r="K3" s="52"/>
      <c r="L3" s="36"/>
    </row>
    <row r="4" spans="2:22">
      <c r="B4" s="51" t="s">
        <v>488</v>
      </c>
      <c r="C4" s="57" t="s">
        <v>567</v>
      </c>
      <c r="D4" s="45" t="s">
        <v>488</v>
      </c>
      <c r="E4" s="57" t="s">
        <v>545</v>
      </c>
      <c r="F4" s="2">
        <f t="shared" ref="F4:F14" si="1">IF(I4=0,0%,(I4-H4)/I4)</f>
        <v>6.5252854812398097E-3</v>
      </c>
      <c r="G4" s="11" t="str">
        <f t="shared" ref="G4:G13" si="2">IF(AND(F4&lt;=10%,F4&gt;=-10%),"Pass","Fail")</f>
        <v>Pass</v>
      </c>
      <c r="H4" s="1" t="str">
        <f>LEFT(C4, SEARCH(" ", C4, 1))</f>
        <v xml:space="preserve">6.09 </v>
      </c>
      <c r="I4" s="1" t="str">
        <f t="shared" si="0"/>
        <v xml:space="preserve">6.13 </v>
      </c>
      <c r="M4" s="28"/>
    </row>
    <row r="5" spans="2:22">
      <c r="B5" s="51" t="s">
        <v>73</v>
      </c>
      <c r="C5" s="57" t="s">
        <v>568</v>
      </c>
      <c r="D5" s="60" t="s">
        <v>73</v>
      </c>
      <c r="E5" s="57" t="s">
        <v>546</v>
      </c>
      <c r="F5" s="2">
        <f t="shared" si="1"/>
        <v>0.25185096727967515</v>
      </c>
      <c r="G5" s="11" t="str">
        <f t="shared" si="2"/>
        <v>Fail</v>
      </c>
      <c r="H5" s="1" t="str">
        <f t="shared" ref="H5:H11" si="3">LEFT(C5, SEARCH(" ", C5, 1))</f>
        <v xml:space="preserve">62.65 </v>
      </c>
      <c r="I5" s="1" t="str">
        <f t="shared" si="0"/>
        <v xml:space="preserve">83.74 </v>
      </c>
      <c r="M5" s="28"/>
    </row>
    <row r="6" spans="2:22">
      <c r="B6" s="51" t="s">
        <v>489</v>
      </c>
      <c r="C6" s="57" t="s">
        <v>569</v>
      </c>
      <c r="D6" s="45" t="s">
        <v>489</v>
      </c>
      <c r="E6" s="57" t="s">
        <v>547</v>
      </c>
      <c r="F6" s="2">
        <f t="shared" si="1"/>
        <v>4.2253521126760445E-2</v>
      </c>
      <c r="G6" s="11" t="str">
        <f t="shared" si="2"/>
        <v>Pass</v>
      </c>
      <c r="H6" s="1" t="str">
        <f t="shared" si="3"/>
        <v xml:space="preserve">2.72 </v>
      </c>
      <c r="I6" s="1" t="str">
        <f t="shared" si="0"/>
        <v xml:space="preserve">2.84 </v>
      </c>
      <c r="M6" s="28"/>
    </row>
    <row r="7" spans="2:22">
      <c r="B7" s="51" t="s">
        <v>505</v>
      </c>
      <c r="C7" s="57" t="s">
        <v>570</v>
      </c>
      <c r="D7" s="48" t="s">
        <v>505</v>
      </c>
      <c r="E7" s="57" t="s">
        <v>548</v>
      </c>
      <c r="F7" s="2">
        <f t="shared" si="1"/>
        <v>7.8125000000000111E-2</v>
      </c>
      <c r="G7" s="11" t="str">
        <f t="shared" si="2"/>
        <v>Pass</v>
      </c>
      <c r="H7" s="51" t="str">
        <f t="shared" si="3"/>
        <v xml:space="preserve">33.04 </v>
      </c>
      <c r="I7" s="51" t="str">
        <f t="shared" si="0"/>
        <v xml:space="preserve">35.84 </v>
      </c>
      <c r="M7" s="28"/>
    </row>
    <row r="8" spans="2:22">
      <c r="B8" s="51" t="s">
        <v>74</v>
      </c>
      <c r="C8" s="57" t="s">
        <v>571</v>
      </c>
      <c r="D8" s="45" t="s">
        <v>74</v>
      </c>
      <c r="E8" s="57" t="s">
        <v>549</v>
      </c>
      <c r="F8" s="2">
        <f t="shared" si="1"/>
        <v>9.7902097902097834E-2</v>
      </c>
      <c r="G8" s="11" t="str">
        <f t="shared" si="2"/>
        <v>Pass</v>
      </c>
      <c r="H8" s="1" t="str">
        <f t="shared" si="3"/>
        <v xml:space="preserve">1.29 </v>
      </c>
      <c r="I8" s="1" t="str">
        <f t="shared" si="0"/>
        <v xml:space="preserve">1.43 </v>
      </c>
      <c r="M8" s="28"/>
    </row>
    <row r="9" spans="2:22">
      <c r="B9" s="51" t="s">
        <v>490</v>
      </c>
      <c r="C9" s="57" t="s">
        <v>506</v>
      </c>
      <c r="D9" s="45" t="s">
        <v>490</v>
      </c>
      <c r="E9" s="57" t="s">
        <v>506</v>
      </c>
      <c r="F9" s="2">
        <f t="shared" si="1"/>
        <v>0</v>
      </c>
      <c r="G9" s="11" t="str">
        <f t="shared" si="2"/>
        <v>Pass</v>
      </c>
      <c r="H9" s="1" t="str">
        <f t="shared" si="3"/>
        <v xml:space="preserve">151 </v>
      </c>
      <c r="I9" s="1" t="str">
        <f t="shared" si="0"/>
        <v xml:space="preserve">151 </v>
      </c>
      <c r="M9" s="28"/>
      <c r="T9" t="s">
        <v>504</v>
      </c>
      <c r="U9" t="s">
        <v>533</v>
      </c>
      <c r="V9" s="28"/>
    </row>
    <row r="10" spans="2:22">
      <c r="B10" s="51" t="s">
        <v>75</v>
      </c>
      <c r="C10" s="57" t="s">
        <v>572</v>
      </c>
      <c r="D10" s="45" t="s">
        <v>75</v>
      </c>
      <c r="E10" s="57" t="s">
        <v>550</v>
      </c>
      <c r="F10" s="2">
        <f t="shared" si="1"/>
        <v>2.6104417670682729E-2</v>
      </c>
      <c r="G10" s="11" t="str">
        <f t="shared" si="2"/>
        <v>Pass</v>
      </c>
      <c r="H10" s="1" t="str">
        <f t="shared" si="3"/>
        <v xml:space="preserve">970 </v>
      </c>
      <c r="I10" s="1" t="str">
        <f t="shared" si="0"/>
        <v xml:space="preserve">996 </v>
      </c>
      <c r="M10" s="28"/>
      <c r="T10" t="s">
        <v>488</v>
      </c>
      <c r="U10" t="s">
        <v>534</v>
      </c>
      <c r="V10" s="28"/>
    </row>
    <row r="11" spans="2:22">
      <c r="B11" s="51" t="s">
        <v>76</v>
      </c>
      <c r="C11" s="57" t="s">
        <v>573</v>
      </c>
      <c r="D11" s="45" t="s">
        <v>76</v>
      </c>
      <c r="E11" s="57" t="s">
        <v>551</v>
      </c>
      <c r="F11" s="2">
        <f t="shared" si="1"/>
        <v>2.3799094758358817E-2</v>
      </c>
      <c r="G11" s="11" t="str">
        <f t="shared" si="2"/>
        <v>Pass</v>
      </c>
      <c r="H11" s="1" t="str">
        <f t="shared" si="3"/>
        <v xml:space="preserve">200.58 </v>
      </c>
      <c r="I11" s="1" t="str">
        <f t="shared" si="0"/>
        <v xml:space="preserve">205.47 </v>
      </c>
      <c r="M11" s="28"/>
      <c r="T11" t="s">
        <v>73</v>
      </c>
      <c r="U11" t="s">
        <v>535</v>
      </c>
      <c r="V11" s="28"/>
    </row>
    <row r="12" spans="2:22">
      <c r="B12" s="51" t="s">
        <v>77</v>
      </c>
      <c r="C12" s="57" t="s">
        <v>574</v>
      </c>
      <c r="D12" s="60" t="s">
        <v>77</v>
      </c>
      <c r="E12" s="57" t="s">
        <v>552</v>
      </c>
      <c r="F12" s="2">
        <f t="shared" si="1"/>
        <v>0.10183662280701745</v>
      </c>
      <c r="G12" s="11" t="str">
        <f t="shared" si="2"/>
        <v>Fail</v>
      </c>
      <c r="H12" s="45" t="str">
        <f t="shared" ref="H12:H14" si="4">LEFT(C12, SEARCH(" ", C12, 1))</f>
        <v xml:space="preserve">65.53 </v>
      </c>
      <c r="I12" s="45" t="str">
        <f t="shared" si="0"/>
        <v xml:space="preserve">72.96 </v>
      </c>
      <c r="M12" s="28"/>
      <c r="T12" t="s">
        <v>489</v>
      </c>
      <c r="U12" t="s">
        <v>536</v>
      </c>
      <c r="V12" s="28"/>
    </row>
    <row r="13" spans="2:22">
      <c r="B13" s="51" t="s">
        <v>78</v>
      </c>
      <c r="C13" s="57" t="s">
        <v>575</v>
      </c>
      <c r="D13" s="45" t="s">
        <v>78</v>
      </c>
      <c r="E13" s="57" t="s">
        <v>553</v>
      </c>
      <c r="F13" s="2">
        <f t="shared" si="1"/>
        <v>1.0830324909747223E-2</v>
      </c>
      <c r="G13" s="11" t="str">
        <f t="shared" si="2"/>
        <v>Pass</v>
      </c>
      <c r="H13" s="45" t="str">
        <f t="shared" si="4"/>
        <v xml:space="preserve">2.74 </v>
      </c>
      <c r="I13" s="45" t="str">
        <f t="shared" si="0"/>
        <v xml:space="preserve">2.77 </v>
      </c>
      <c r="M13" s="28"/>
      <c r="T13" t="s">
        <v>505</v>
      </c>
      <c r="U13" t="s">
        <v>537</v>
      </c>
      <c r="V13" s="28"/>
    </row>
    <row r="14" spans="2:22">
      <c r="B14" s="51" t="s">
        <v>79</v>
      </c>
      <c r="C14" s="57" t="s">
        <v>576</v>
      </c>
      <c r="D14" s="60" t="s">
        <v>79</v>
      </c>
      <c r="E14" s="57" t="s">
        <v>554</v>
      </c>
      <c r="F14" s="2">
        <f t="shared" si="1"/>
        <v>0.11615720524017469</v>
      </c>
      <c r="G14" s="11" t="str">
        <f>IF(AND(F14&lt;=10%,F14&gt;=-10%),"Pass","Fail")</f>
        <v>Fail</v>
      </c>
      <c r="H14" s="45" t="str">
        <f t="shared" si="4"/>
        <v xml:space="preserve">10.12 </v>
      </c>
      <c r="I14" s="45" t="str">
        <f t="shared" si="0"/>
        <v xml:space="preserve">11.45 </v>
      </c>
      <c r="M14" s="28"/>
      <c r="T14" t="s">
        <v>74</v>
      </c>
      <c r="U14" t="s">
        <v>538</v>
      </c>
      <c r="V14" s="28"/>
    </row>
    <row r="15" spans="2:22">
      <c r="M15" s="28"/>
      <c r="T15" t="s">
        <v>490</v>
      </c>
      <c r="U15" t="s">
        <v>506</v>
      </c>
      <c r="V15" s="28"/>
    </row>
    <row r="16" spans="2:22">
      <c r="M16" s="28"/>
      <c r="T16" t="s">
        <v>75</v>
      </c>
      <c r="U16" t="s">
        <v>539</v>
      </c>
      <c r="V16" s="28"/>
    </row>
    <row r="17" spans="2:22">
      <c r="K17" s="28"/>
      <c r="M17" s="28"/>
      <c r="T17" t="s">
        <v>76</v>
      </c>
      <c r="U17" t="s">
        <v>540</v>
      </c>
      <c r="V17" s="28"/>
    </row>
    <row r="18" spans="2:22">
      <c r="E18" s="28"/>
      <c r="M18" s="28"/>
      <c r="T18" t="s">
        <v>77</v>
      </c>
      <c r="U18" t="s">
        <v>541</v>
      </c>
      <c r="V18" s="28"/>
    </row>
    <row r="19" spans="2:22">
      <c r="M19" s="28"/>
      <c r="T19" t="s">
        <v>78</v>
      </c>
      <c r="U19" t="s">
        <v>542</v>
      </c>
      <c r="V19" s="28"/>
    </row>
    <row r="20" spans="2:22">
      <c r="B20" s="28"/>
      <c r="M20" s="28"/>
      <c r="T20" t="s">
        <v>79</v>
      </c>
      <c r="U20" t="s">
        <v>543</v>
      </c>
      <c r="V20" s="28"/>
    </row>
    <row r="21" spans="2:22">
      <c r="B21" s="28"/>
      <c r="M21" s="28"/>
      <c r="V21" s="28"/>
    </row>
    <row r="22" spans="2:22">
      <c r="B22" s="28"/>
      <c r="M22" s="28"/>
      <c r="V22" s="28"/>
    </row>
    <row r="23" spans="2:22">
      <c r="B23" s="28"/>
      <c r="M23" s="28"/>
      <c r="V23" s="28"/>
    </row>
    <row r="24" spans="2:22">
      <c r="B24" s="28"/>
      <c r="M24" s="28"/>
      <c r="V24" s="28"/>
    </row>
    <row r="25" spans="2:22">
      <c r="B25" s="28"/>
      <c r="M25" s="28"/>
      <c r="V25" s="28"/>
    </row>
    <row r="26" spans="2:22">
      <c r="B26" s="28"/>
      <c r="M26" s="28"/>
      <c r="V26" s="28"/>
    </row>
    <row r="27" spans="2:22">
      <c r="M27" s="28"/>
      <c r="V27" s="28"/>
    </row>
    <row r="28" spans="2:22">
      <c r="M28" s="28"/>
      <c r="V28" s="28"/>
    </row>
    <row r="29" spans="2:22">
      <c r="M29" s="28"/>
      <c r="V29" s="28"/>
    </row>
    <row r="30" spans="2:22">
      <c r="M30" s="28"/>
      <c r="V30" s="28"/>
    </row>
    <row r="31" spans="2:22">
      <c r="M31" s="28"/>
      <c r="V31" s="28"/>
    </row>
    <row r="32" spans="2:22">
      <c r="V32" s="28"/>
    </row>
    <row r="33" spans="22:22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K17" sqref="K17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8" t="s">
        <v>83</v>
      </c>
      <c r="C2" s="48" t="s">
        <v>398</v>
      </c>
      <c r="D2" s="11"/>
      <c r="E2" s="48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108603</v>
      </c>
      <c r="M2" s="19">
        <v>102947</v>
      </c>
      <c r="N2" s="22">
        <f>L2-M2</f>
        <v>5656</v>
      </c>
    </row>
    <row r="3" spans="2:15">
      <c r="B3" s="48" t="s">
        <v>71</v>
      </c>
      <c r="C3" s="48" t="s">
        <v>399</v>
      </c>
      <c r="D3" s="11">
        <v>50</v>
      </c>
      <c r="E3" s="48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48" t="s">
        <v>0</v>
      </c>
      <c r="C4" s="48" t="s">
        <v>399</v>
      </c>
      <c r="D4" s="11">
        <v>50</v>
      </c>
      <c r="E4" s="48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49" t="s">
        <v>401</v>
      </c>
    </row>
    <row r="5" spans="2:15">
      <c r="B5" s="48" t="s">
        <v>507</v>
      </c>
      <c r="C5" s="48" t="s">
        <v>399</v>
      </c>
      <c r="D5" s="11">
        <v>50</v>
      </c>
      <c r="E5" s="48" t="s">
        <v>507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>
      <c r="B6" s="48" t="s">
        <v>508</v>
      </c>
      <c r="C6" s="48" t="s">
        <v>399</v>
      </c>
      <c r="D6" s="11">
        <v>20</v>
      </c>
      <c r="E6" s="48" t="s">
        <v>508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>
      <c r="B7" s="48" t="s">
        <v>509</v>
      </c>
      <c r="C7" s="48" t="s">
        <v>399</v>
      </c>
      <c r="D7" s="11">
        <v>10</v>
      </c>
      <c r="E7" s="48" t="s">
        <v>509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7">
        <f>IF(M2=0,0%,N2/M2)</f>
        <v>5.4940891915257369E-2</v>
      </c>
    </row>
    <row r="8" spans="2:15">
      <c r="B8" s="48" t="s">
        <v>8</v>
      </c>
      <c r="C8" s="48" t="s">
        <v>400</v>
      </c>
      <c r="D8" s="11"/>
      <c r="E8" s="48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39">
        <f>File_Size_Comparision!F3</f>
        <v>3.1309297912713314E-2</v>
      </c>
    </row>
    <row r="9" spans="2:15">
      <c r="B9" s="48" t="s">
        <v>7</v>
      </c>
      <c r="C9" s="48" t="s">
        <v>399</v>
      </c>
      <c r="D9" s="11">
        <v>10</v>
      </c>
      <c r="E9" s="48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48" t="s">
        <v>510</v>
      </c>
      <c r="C10" s="48" t="s">
        <v>399</v>
      </c>
      <c r="D10" s="11">
        <v>10</v>
      </c>
      <c r="E10" s="48" t="s">
        <v>510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48" t="s">
        <v>511</v>
      </c>
      <c r="C11" s="48" t="s">
        <v>399</v>
      </c>
      <c r="D11" s="11">
        <v>50</v>
      </c>
      <c r="E11" s="48" t="s">
        <v>511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1"/>
    </row>
    <row r="12" spans="2:15">
      <c r="B12" s="55" t="s">
        <v>512</v>
      </c>
      <c r="C12" s="48" t="s">
        <v>399</v>
      </c>
      <c r="D12" s="11">
        <v>50</v>
      </c>
      <c r="E12" s="48" t="s">
        <v>512</v>
      </c>
      <c r="F12" s="11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5" t="s">
        <v>513</v>
      </c>
      <c r="C13" s="48" t="s">
        <v>399</v>
      </c>
      <c r="D13" s="11">
        <v>2</v>
      </c>
      <c r="E13" s="48" t="s">
        <v>513</v>
      </c>
      <c r="F13" s="11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48" t="s">
        <v>514</v>
      </c>
      <c r="C14" s="48" t="s">
        <v>399</v>
      </c>
      <c r="D14" s="11">
        <v>3</v>
      </c>
      <c r="E14" s="48" t="s">
        <v>514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48" t="s">
        <v>515</v>
      </c>
      <c r="C15" s="48" t="s">
        <v>400</v>
      </c>
      <c r="D15" s="11"/>
      <c r="E15" s="48" t="s">
        <v>515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48" t="s">
        <v>516</v>
      </c>
      <c r="C16" s="48" t="s">
        <v>399</v>
      </c>
      <c r="D16" s="11">
        <v>50</v>
      </c>
      <c r="E16" s="48" t="s">
        <v>516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1">
      <c r="B17" s="55" t="s">
        <v>517</v>
      </c>
      <c r="C17" s="48" t="s">
        <v>399</v>
      </c>
      <c r="D17" s="54">
        <v>101</v>
      </c>
      <c r="E17" s="56" t="s">
        <v>517</v>
      </c>
      <c r="F17" s="54">
        <v>101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  <c r="K17" t="s">
        <v>557</v>
      </c>
    </row>
    <row r="18" spans="2:11">
      <c r="B18" s="48" t="s">
        <v>518</v>
      </c>
      <c r="C18" s="48" t="s">
        <v>399</v>
      </c>
      <c r="D18" s="11">
        <v>50</v>
      </c>
      <c r="E18" s="48" t="s">
        <v>518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1">
      <c r="B19" s="48" t="s">
        <v>519</v>
      </c>
      <c r="C19" s="48" t="s">
        <v>399</v>
      </c>
      <c r="D19" s="11">
        <v>50</v>
      </c>
      <c r="E19" s="48" t="s">
        <v>519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K7" sqref="K7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3" t="s">
        <v>83</v>
      </c>
      <c r="C2" s="43" t="s">
        <v>398</v>
      </c>
      <c r="D2" s="11"/>
      <c r="E2" s="43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27446</v>
      </c>
      <c r="M2" s="19">
        <v>26214</v>
      </c>
      <c r="N2" s="22">
        <f>L2-M2</f>
        <v>1232</v>
      </c>
    </row>
    <row r="3" spans="2:15">
      <c r="B3" s="43" t="s">
        <v>84</v>
      </c>
      <c r="C3" s="43" t="s">
        <v>399</v>
      </c>
      <c r="D3" s="11">
        <v>10</v>
      </c>
      <c r="E3" s="43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3" t="s">
        <v>85</v>
      </c>
      <c r="C4" s="43" t="s">
        <v>399</v>
      </c>
      <c r="D4" s="11">
        <v>10</v>
      </c>
      <c r="E4" s="43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6" t="s">
        <v>401</v>
      </c>
    </row>
    <row r="5" spans="2:15">
      <c r="B5" s="43" t="s">
        <v>71</v>
      </c>
      <c r="C5" s="43" t="s">
        <v>399</v>
      </c>
      <c r="D5" s="11">
        <v>50</v>
      </c>
      <c r="E5" s="43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>
      <c r="B6" s="43" t="s">
        <v>0</v>
      </c>
      <c r="C6" s="43" t="s">
        <v>399</v>
      </c>
      <c r="D6" s="44">
        <v>20</v>
      </c>
      <c r="E6" s="43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>
      <c r="B7" s="43" t="s">
        <v>2</v>
      </c>
      <c r="C7" s="43" t="s">
        <v>399</v>
      </c>
      <c r="D7" s="54">
        <v>22</v>
      </c>
      <c r="E7" s="43" t="s">
        <v>2</v>
      </c>
      <c r="F7" s="54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K7" t="s">
        <v>558</v>
      </c>
      <c r="L7" s="23" t="s">
        <v>467</v>
      </c>
      <c r="M7" s="37">
        <f>IF(M2=0,0%,N2/M2)</f>
        <v>4.6997787441824979E-2</v>
      </c>
    </row>
    <row r="8" spans="2:15">
      <c r="B8" s="43" t="s">
        <v>3</v>
      </c>
      <c r="C8" s="43" t="s">
        <v>399</v>
      </c>
      <c r="D8" s="11">
        <v>100</v>
      </c>
      <c r="E8" s="43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39">
        <f>File_Size_Comparision!F4</f>
        <v>6.5252854812398097E-3</v>
      </c>
    </row>
    <row r="9" spans="2:15">
      <c r="B9" s="43" t="s">
        <v>4</v>
      </c>
      <c r="C9" s="43" t="s">
        <v>399</v>
      </c>
      <c r="D9" s="11">
        <v>100</v>
      </c>
      <c r="E9" s="43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3" t="s">
        <v>5</v>
      </c>
      <c r="C10" s="43" t="s">
        <v>399</v>
      </c>
      <c r="D10" s="11">
        <v>100</v>
      </c>
      <c r="E10" s="43" t="s">
        <v>5</v>
      </c>
      <c r="F10" s="11">
        <v>19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3" t="s">
        <v>6</v>
      </c>
      <c r="C11" s="43" t="s">
        <v>399</v>
      </c>
      <c r="D11" s="11">
        <v>10</v>
      </c>
      <c r="E11" s="43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1"/>
    </row>
    <row r="12" spans="2:15">
      <c r="B12" s="43" t="s">
        <v>7</v>
      </c>
      <c r="C12" s="43" t="s">
        <v>399</v>
      </c>
      <c r="D12" s="11">
        <v>10</v>
      </c>
      <c r="E12" s="43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3" t="s">
        <v>8</v>
      </c>
      <c r="C13" s="43" t="s">
        <v>400</v>
      </c>
      <c r="D13" s="11"/>
      <c r="E13" s="43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3" t="s">
        <v>9</v>
      </c>
      <c r="C14" s="43" t="s">
        <v>399</v>
      </c>
      <c r="D14" s="11">
        <v>100</v>
      </c>
      <c r="E14" s="43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3" t="s">
        <v>10</v>
      </c>
      <c r="C15" s="43" t="s">
        <v>399</v>
      </c>
      <c r="D15" s="11">
        <v>100</v>
      </c>
      <c r="E15" s="43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3" t="s">
        <v>11</v>
      </c>
      <c r="C16" s="43" t="s">
        <v>399</v>
      </c>
      <c r="D16" s="11">
        <v>100</v>
      </c>
      <c r="E16" s="43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3" t="s">
        <v>12</v>
      </c>
      <c r="C17" s="43" t="s">
        <v>399</v>
      </c>
      <c r="D17" s="11">
        <v>100</v>
      </c>
      <c r="E17" s="43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3" t="s">
        <v>13</v>
      </c>
      <c r="C18" s="43" t="s">
        <v>399</v>
      </c>
      <c r="D18" s="11">
        <v>100</v>
      </c>
      <c r="E18" s="43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3" t="s">
        <v>14</v>
      </c>
      <c r="C19" s="43" t="s">
        <v>399</v>
      </c>
      <c r="D19" s="11">
        <v>100</v>
      </c>
      <c r="E19" s="43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3" t="s">
        <v>15</v>
      </c>
      <c r="C20" s="43" t="s">
        <v>399</v>
      </c>
      <c r="D20" s="11">
        <v>100</v>
      </c>
      <c r="E20" s="43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3" t="s">
        <v>16</v>
      </c>
      <c r="C21" s="43" t="s">
        <v>399</v>
      </c>
      <c r="D21" s="44">
        <v>100</v>
      </c>
      <c r="E21" s="43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3" t="s">
        <v>17</v>
      </c>
      <c r="C22" s="43" t="s">
        <v>399</v>
      </c>
      <c r="D22" s="11">
        <v>100</v>
      </c>
      <c r="E22" s="43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3" t="s">
        <v>18</v>
      </c>
      <c r="C23" s="43" t="s">
        <v>399</v>
      </c>
      <c r="D23" s="11">
        <v>10</v>
      </c>
      <c r="E23" s="43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3" t="s">
        <v>19</v>
      </c>
      <c r="C24" s="43" t="s">
        <v>399</v>
      </c>
      <c r="D24" s="11">
        <v>50</v>
      </c>
      <c r="E24" s="43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3" t="s">
        <v>86</v>
      </c>
      <c r="C25" s="43" t="s">
        <v>399</v>
      </c>
      <c r="D25" s="11">
        <v>100</v>
      </c>
      <c r="E25" s="43" t="s">
        <v>86</v>
      </c>
      <c r="F25" s="11">
        <v>78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3" t="s">
        <v>87</v>
      </c>
      <c r="C26" s="43" t="s">
        <v>399</v>
      </c>
      <c r="D26" s="11">
        <v>100</v>
      </c>
      <c r="E26" s="43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3" t="s">
        <v>88</v>
      </c>
      <c r="C27" s="43" t="s">
        <v>399</v>
      </c>
      <c r="D27" s="11">
        <v>100</v>
      </c>
      <c r="E27" s="43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86" activePane="bottomLeft" state="frozen"/>
      <selection pane="bottomLeft" activeCell="L20" sqref="L20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0</v>
      </c>
      <c r="C2" s="17" t="s">
        <v>399</v>
      </c>
      <c r="D2" s="44">
        <v>20</v>
      </c>
      <c r="E2" s="1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164648</v>
      </c>
      <c r="M2" s="21">
        <v>164648</v>
      </c>
      <c r="N2" s="22">
        <f>L2-M2</f>
        <v>0</v>
      </c>
    </row>
    <row r="3" spans="2:1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128918</v>
      </c>
      <c r="N3" s="22">
        <f>L2-M3</f>
        <v>35730</v>
      </c>
    </row>
    <row r="4" spans="2:15">
      <c r="B4" s="1" t="s">
        <v>2</v>
      </c>
      <c r="C4" s="17" t="s">
        <v>399</v>
      </c>
      <c r="D4" s="54">
        <v>22</v>
      </c>
      <c r="E4" s="1" t="s">
        <v>2</v>
      </c>
      <c r="F4" s="54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3" t="s">
        <v>556</v>
      </c>
    </row>
    <row r="5" spans="2:15">
      <c r="B5" s="1" t="s">
        <v>3</v>
      </c>
      <c r="C5" s="17" t="s">
        <v>399</v>
      </c>
      <c r="D5" s="11">
        <v>30</v>
      </c>
      <c r="E5" s="1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0"/>
    </row>
    <row r="6" spans="2:15">
      <c r="B6" s="1" t="s">
        <v>4</v>
      </c>
      <c r="C6" s="17" t="s">
        <v>399</v>
      </c>
      <c r="D6" s="11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6"/>
    </row>
    <row r="7" spans="2:15">
      <c r="B7" s="1" t="s">
        <v>5</v>
      </c>
      <c r="C7" s="17" t="s">
        <v>399</v>
      </c>
      <c r="D7" s="11">
        <v>30</v>
      </c>
      <c r="E7" s="1" t="s">
        <v>5</v>
      </c>
      <c r="F7" s="11">
        <v>19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6"/>
    </row>
    <row r="8" spans="2:1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8" t="str">
        <f>IF(N2=0,"Pass","Fail")</f>
        <v>Pass</v>
      </c>
    </row>
    <row r="9" spans="2:1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39">
        <f>IF(M3=0,0%,N3/M3)</f>
        <v>0.27715291890969451</v>
      </c>
    </row>
    <row r="10" spans="2:15">
      <c r="B10" s="1" t="s">
        <v>8</v>
      </c>
      <c r="C10" s="17" t="s">
        <v>400</v>
      </c>
      <c r="D10" s="11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39">
        <f>File_Size_Comparision!F5</f>
        <v>0.25185096727967515</v>
      </c>
    </row>
    <row r="11" spans="2:15">
      <c r="B11" s="1" t="s">
        <v>9</v>
      </c>
      <c r="C11" s="17" t="s">
        <v>399</v>
      </c>
      <c r="D11" s="11">
        <v>50</v>
      </c>
      <c r="E11" s="1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1"/>
    </row>
    <row r="12" spans="2:15">
      <c r="B12" s="1" t="s">
        <v>10</v>
      </c>
      <c r="C12" s="17" t="s">
        <v>399</v>
      </c>
      <c r="D12" s="11">
        <v>50</v>
      </c>
      <c r="E12" s="1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7" t="s">
        <v>399</v>
      </c>
      <c r="D13" s="11">
        <v>100</v>
      </c>
      <c r="E13" s="1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7" t="s">
        <v>399</v>
      </c>
      <c r="D14" s="11">
        <v>20</v>
      </c>
      <c r="E14" s="1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1">
      <c r="B17" s="1" t="s">
        <v>15</v>
      </c>
      <c r="C17" s="17" t="s">
        <v>399</v>
      </c>
      <c r="D17" s="11">
        <v>15</v>
      </c>
      <c r="E17" s="1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1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1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1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1">
      <c r="B21" s="55" t="s">
        <v>19</v>
      </c>
      <c r="C21" s="17" t="s">
        <v>399</v>
      </c>
      <c r="D21" s="54">
        <v>22</v>
      </c>
      <c r="E21" s="56" t="s">
        <v>19</v>
      </c>
      <c r="F21" s="54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  <c r="K21" t="s">
        <v>555</v>
      </c>
    </row>
    <row r="22" spans="2:11">
      <c r="B22" s="1" t="s">
        <v>20</v>
      </c>
      <c r="C22" s="17" t="s">
        <v>399</v>
      </c>
      <c r="D22" s="11">
        <v>20</v>
      </c>
      <c r="E22" s="1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1">
      <c r="B23" s="1" t="s">
        <v>21</v>
      </c>
      <c r="C23" s="17" t="s">
        <v>399</v>
      </c>
      <c r="D23" s="11">
        <v>255</v>
      </c>
      <c r="E23" s="1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1">
      <c r="B24" s="1" t="s">
        <v>22</v>
      </c>
      <c r="C24" s="17" t="s">
        <v>399</v>
      </c>
      <c r="D24" s="11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1">
      <c r="B25" s="1" t="s">
        <v>23</v>
      </c>
      <c r="C25" s="17" t="s">
        <v>399</v>
      </c>
      <c r="D25" s="11">
        <v>50</v>
      </c>
      <c r="E25" s="1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1">
      <c r="B26" s="1" t="s">
        <v>24</v>
      </c>
      <c r="C26" s="17" t="s">
        <v>399</v>
      </c>
      <c r="D26" s="11">
        <v>20</v>
      </c>
      <c r="E26" s="1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1">
      <c r="B27" s="1" t="s">
        <v>25</v>
      </c>
      <c r="C27" s="17" t="s">
        <v>399</v>
      </c>
      <c r="D27" s="11">
        <v>50</v>
      </c>
      <c r="E27" s="1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1">
      <c r="B28" s="55" t="s">
        <v>26</v>
      </c>
      <c r="C28" s="17" t="s">
        <v>399</v>
      </c>
      <c r="D28" s="11">
        <v>20</v>
      </c>
      <c r="E28" s="1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1">
      <c r="B29" s="1" t="s">
        <v>27</v>
      </c>
      <c r="C29" s="17" t="s">
        <v>399</v>
      </c>
      <c r="D29" s="11">
        <v>100</v>
      </c>
      <c r="E29" s="1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1">
      <c r="B30" s="1" t="s">
        <v>28</v>
      </c>
      <c r="C30" s="17" t="s">
        <v>399</v>
      </c>
      <c r="D30" s="11">
        <v>20</v>
      </c>
      <c r="E30" s="1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1">
      <c r="B31" s="1" t="s">
        <v>29</v>
      </c>
      <c r="C31" s="17" t="s">
        <v>399</v>
      </c>
      <c r="D31" s="11">
        <v>50</v>
      </c>
      <c r="E31" s="1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1">
      <c r="B32" s="55" t="s">
        <v>30</v>
      </c>
      <c r="C32" s="17" t="s">
        <v>399</v>
      </c>
      <c r="D32" s="11">
        <v>20</v>
      </c>
      <c r="E32" s="1" t="s">
        <v>30</v>
      </c>
      <c r="F32" s="11">
        <v>8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>
      <c r="B33" s="1" t="s">
        <v>31</v>
      </c>
      <c r="C33" s="17" t="s">
        <v>399</v>
      </c>
      <c r="D33" s="11">
        <v>100</v>
      </c>
      <c r="E33" s="1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7" t="s">
        <v>399</v>
      </c>
      <c r="D34" s="11">
        <v>2</v>
      </c>
      <c r="E34" s="1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7" t="s">
        <v>399</v>
      </c>
      <c r="D35" s="11">
        <v>30</v>
      </c>
      <c r="E35" s="1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7" t="s">
        <v>400</v>
      </c>
      <c r="D36" s="11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7" t="s">
        <v>400</v>
      </c>
      <c r="D37" s="11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7" t="s">
        <v>400</v>
      </c>
      <c r="D38" s="11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7" t="s">
        <v>400</v>
      </c>
      <c r="D39" s="11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7" t="s">
        <v>400</v>
      </c>
      <c r="D40" s="11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7" t="s">
        <v>400</v>
      </c>
      <c r="D41" s="11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7" t="s">
        <v>400</v>
      </c>
      <c r="D42" s="11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7" t="s">
        <v>400</v>
      </c>
      <c r="D43" s="11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7" t="s">
        <v>400</v>
      </c>
      <c r="D44" s="11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7" t="s">
        <v>400</v>
      </c>
      <c r="D45" s="11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7" t="s">
        <v>400</v>
      </c>
      <c r="D46" s="11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7" t="s">
        <v>400</v>
      </c>
      <c r="D47" s="11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7" t="s">
        <v>399</v>
      </c>
      <c r="D48" s="11">
        <v>50</v>
      </c>
      <c r="E48" s="1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7" t="s">
        <v>399</v>
      </c>
      <c r="D49" s="11">
        <v>100</v>
      </c>
      <c r="E49" s="1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7" t="s">
        <v>399</v>
      </c>
      <c r="D50" s="11">
        <v>30</v>
      </c>
      <c r="E50" s="1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7" t="s">
        <v>399</v>
      </c>
      <c r="D51" s="11">
        <v>30</v>
      </c>
      <c r="E51" s="1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7" t="s">
        <v>399</v>
      </c>
      <c r="D53" s="11">
        <v>100</v>
      </c>
      <c r="E53" s="1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7" t="s">
        <v>399</v>
      </c>
      <c r="D54" s="11">
        <v>100</v>
      </c>
      <c r="E54" s="1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1" t="s">
        <v>86</v>
      </c>
      <c r="C74" s="31" t="s">
        <v>399</v>
      </c>
      <c r="D74" s="11">
        <v>500</v>
      </c>
      <c r="E74" s="31" t="s">
        <v>86</v>
      </c>
      <c r="F74" s="11">
        <v>78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6" t="s">
        <v>83</v>
      </c>
      <c r="C2" s="56" t="s">
        <v>399</v>
      </c>
      <c r="D2" s="11"/>
      <c r="E2" s="45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27446</v>
      </c>
      <c r="M2" s="19">
        <v>26214</v>
      </c>
      <c r="N2" s="22">
        <f>L2-M2</f>
        <v>1232</v>
      </c>
    </row>
    <row r="3" spans="2:15">
      <c r="B3" s="56" t="s">
        <v>84</v>
      </c>
      <c r="C3" s="56" t="s">
        <v>399</v>
      </c>
      <c r="D3" s="11">
        <v>50</v>
      </c>
      <c r="E3" s="45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56" t="s">
        <v>85</v>
      </c>
      <c r="C4" s="56" t="s">
        <v>399</v>
      </c>
      <c r="D4" s="11">
        <v>50</v>
      </c>
      <c r="E4" s="45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7" t="s">
        <v>401</v>
      </c>
    </row>
    <row r="5" spans="2:15">
      <c r="B5" s="56" t="s">
        <v>71</v>
      </c>
      <c r="C5" s="56" t="s">
        <v>399</v>
      </c>
      <c r="D5" s="11">
        <v>50</v>
      </c>
      <c r="E5" s="45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>
      <c r="B6" s="56" t="s">
        <v>0</v>
      </c>
      <c r="C6" s="56" t="s">
        <v>399</v>
      </c>
      <c r="D6" s="11">
        <v>20</v>
      </c>
      <c r="E6" s="45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>
      <c r="B7" s="56" t="s">
        <v>478</v>
      </c>
      <c r="C7" s="56" t="s">
        <v>399</v>
      </c>
      <c r="D7" s="11">
        <v>10</v>
      </c>
      <c r="E7" s="45" t="s">
        <v>524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7">
        <f>IF(M2=0,0%,N2/M2)</f>
        <v>4.6997787441824979E-2</v>
      </c>
    </row>
    <row r="8" spans="2:15">
      <c r="B8" s="56" t="s">
        <v>479</v>
      </c>
      <c r="C8" s="56" t="s">
        <v>399</v>
      </c>
      <c r="D8" s="11">
        <v>50</v>
      </c>
      <c r="E8" s="45" t="s">
        <v>525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39">
        <f>File_Size_Comparision!F6</f>
        <v>4.2253521126760445E-2</v>
      </c>
    </row>
    <row r="9" spans="2:15">
      <c r="B9" s="56" t="s">
        <v>480</v>
      </c>
      <c r="C9" s="56" t="s">
        <v>399</v>
      </c>
      <c r="D9" s="11">
        <v>50</v>
      </c>
      <c r="E9" s="45" t="s">
        <v>526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56" t="s">
        <v>481</v>
      </c>
      <c r="C10" s="56" t="s">
        <v>400</v>
      </c>
      <c r="D10" s="11">
        <v>50</v>
      </c>
      <c r="E10" s="45" t="s">
        <v>527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0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48" t="s">
        <v>83</v>
      </c>
      <c r="C2" s="48" t="s">
        <v>398</v>
      </c>
      <c r="D2" s="11"/>
      <c r="E2" s="48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48" t="s">
        <v>84</v>
      </c>
      <c r="C3" s="48" t="s">
        <v>399</v>
      </c>
      <c r="D3" s="11">
        <v>50</v>
      </c>
      <c r="E3" s="48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227993</v>
      </c>
      <c r="M3" s="19">
        <v>210288</v>
      </c>
      <c r="N3" s="22">
        <f>L3-M3</f>
        <v>17705</v>
      </c>
    </row>
    <row r="4" spans="2:15">
      <c r="B4" s="48" t="s">
        <v>85</v>
      </c>
      <c r="C4" s="48" t="s">
        <v>399</v>
      </c>
      <c r="D4" s="11">
        <v>50</v>
      </c>
      <c r="E4" s="48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48" t="s">
        <v>71</v>
      </c>
      <c r="C5" s="48" t="s">
        <v>399</v>
      </c>
      <c r="D5" s="11">
        <v>50</v>
      </c>
      <c r="E5" s="48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49" t="s">
        <v>401</v>
      </c>
    </row>
    <row r="6" spans="2:15">
      <c r="B6" s="48" t="s">
        <v>0</v>
      </c>
      <c r="C6" s="48" t="s">
        <v>399</v>
      </c>
      <c r="D6" s="11">
        <v>20</v>
      </c>
      <c r="E6" s="48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48" t="s">
        <v>89</v>
      </c>
      <c r="C7" s="48" t="s">
        <v>399</v>
      </c>
      <c r="D7" s="11">
        <v>50</v>
      </c>
      <c r="E7" s="48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48" t="s">
        <v>90</v>
      </c>
      <c r="C8" s="48" t="s">
        <v>400</v>
      </c>
      <c r="D8" s="11"/>
      <c r="E8" s="48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7">
        <f>IF(M3=0,0%,N3/M3)</f>
        <v>8.4194057673286166E-2</v>
      </c>
    </row>
    <row r="9" spans="2:15">
      <c r="B9" s="48" t="s">
        <v>91</v>
      </c>
      <c r="C9" s="48" t="s">
        <v>400</v>
      </c>
      <c r="D9" s="11"/>
      <c r="E9" s="48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39">
        <f>File_Size_Comparision!F7</f>
        <v>7.8125000000000111E-2</v>
      </c>
    </row>
    <row r="10" spans="2:15">
      <c r="B10" s="48" t="s">
        <v>92</v>
      </c>
      <c r="C10" s="48" t="s">
        <v>399</v>
      </c>
      <c r="D10" s="11">
        <v>50</v>
      </c>
      <c r="E10" s="48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48" t="s">
        <v>93</v>
      </c>
      <c r="C11" s="48" t="s">
        <v>399</v>
      </c>
      <c r="D11" s="11">
        <v>50</v>
      </c>
      <c r="E11" s="48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48" t="s">
        <v>94</v>
      </c>
      <c r="C12" s="48" t="s">
        <v>399</v>
      </c>
      <c r="D12" s="11">
        <v>50</v>
      </c>
      <c r="E12" s="48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48" t="s">
        <v>95</v>
      </c>
      <c r="C13" s="48" t="s">
        <v>399</v>
      </c>
      <c r="D13" s="11">
        <v>50</v>
      </c>
      <c r="E13" s="48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48" t="s">
        <v>96</v>
      </c>
      <c r="C14" s="48" t="s">
        <v>399</v>
      </c>
      <c r="D14" s="11">
        <v>50</v>
      </c>
      <c r="E14" s="48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48" t="s">
        <v>97</v>
      </c>
      <c r="C15" s="48" t="s">
        <v>399</v>
      </c>
      <c r="D15" s="11">
        <v>50</v>
      </c>
      <c r="E15" s="48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48" t="s">
        <v>98</v>
      </c>
      <c r="C16" s="48" t="s">
        <v>399</v>
      </c>
      <c r="D16" s="11">
        <v>50</v>
      </c>
      <c r="E16" s="48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48" t="s">
        <v>99</v>
      </c>
      <c r="C17" s="48" t="s">
        <v>399</v>
      </c>
      <c r="D17" s="11">
        <v>50</v>
      </c>
      <c r="E17" s="48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48" t="s">
        <v>100</v>
      </c>
      <c r="C18" s="48" t="s">
        <v>399</v>
      </c>
      <c r="D18" s="11">
        <v>50</v>
      </c>
      <c r="E18" s="48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48" t="s">
        <v>101</v>
      </c>
      <c r="C19" s="48" t="s">
        <v>399</v>
      </c>
      <c r="D19" s="11">
        <v>50</v>
      </c>
      <c r="E19" s="48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48" t="s">
        <v>102</v>
      </c>
      <c r="C20" s="48" t="s">
        <v>399</v>
      </c>
      <c r="D20" s="11">
        <v>50</v>
      </c>
      <c r="E20" s="48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48" t="s">
        <v>103</v>
      </c>
      <c r="C21" s="48" t="s">
        <v>399</v>
      </c>
      <c r="D21" s="11">
        <v>50</v>
      </c>
      <c r="E21" s="48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48" t="s">
        <v>104</v>
      </c>
      <c r="C22" s="48" t="s">
        <v>399</v>
      </c>
      <c r="D22" s="11">
        <v>50</v>
      </c>
      <c r="E22" s="48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48" t="s">
        <v>105</v>
      </c>
      <c r="C23" s="48" t="s">
        <v>399</v>
      </c>
      <c r="D23" s="11">
        <v>50</v>
      </c>
      <c r="E23" s="48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48" t="s">
        <v>106</v>
      </c>
      <c r="C24" s="48" t="s">
        <v>399</v>
      </c>
      <c r="D24" s="11">
        <v>50</v>
      </c>
      <c r="E24" s="48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48" t="s">
        <v>107</v>
      </c>
      <c r="C25" s="48" t="s">
        <v>399</v>
      </c>
      <c r="D25" s="11">
        <v>50</v>
      </c>
      <c r="E25" s="48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48" t="s">
        <v>108</v>
      </c>
      <c r="C26" s="48" t="s">
        <v>399</v>
      </c>
      <c r="D26" s="11">
        <v>50</v>
      </c>
      <c r="E26" s="48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173" activePane="bottomLeft" state="frozen"/>
      <selection pane="bottomLeft" activeCell="K2" sqref="K2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6" t="s">
        <v>109</v>
      </c>
      <c r="C2" s="56" t="s">
        <v>399</v>
      </c>
      <c r="D2" s="54">
        <v>37</v>
      </c>
      <c r="E2" s="1" t="s">
        <v>109</v>
      </c>
      <c r="F2" s="54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K2" t="s">
        <v>559</v>
      </c>
      <c r="L2" s="21">
        <v>984425</v>
      </c>
      <c r="M2" s="21">
        <v>984425</v>
      </c>
      <c r="N2" s="22">
        <f>L2-M2</f>
        <v>0</v>
      </c>
    </row>
    <row r="3" spans="2:15">
      <c r="B3" s="56" t="s">
        <v>110</v>
      </c>
      <c r="C3" s="56" t="s">
        <v>399</v>
      </c>
      <c r="D3" s="11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893768</v>
      </c>
      <c r="N3" s="22">
        <f>L2-M3</f>
        <v>90657</v>
      </c>
    </row>
    <row r="4" spans="2:15">
      <c r="B4" s="56" t="s">
        <v>111</v>
      </c>
      <c r="C4" s="56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56" t="s">
        <v>112</v>
      </c>
      <c r="C5" s="56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0"/>
    </row>
    <row r="6" spans="2:15">
      <c r="B6" s="56" t="s">
        <v>20</v>
      </c>
      <c r="C6" s="56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6"/>
    </row>
    <row r="7" spans="2:15">
      <c r="B7" s="56" t="s">
        <v>21</v>
      </c>
      <c r="C7" s="56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6"/>
    </row>
    <row r="8" spans="2:15">
      <c r="B8" s="56" t="s">
        <v>22</v>
      </c>
      <c r="C8" s="56" t="s">
        <v>399</v>
      </c>
      <c r="D8" s="11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>
      <c r="B9" s="56" t="s">
        <v>23</v>
      </c>
      <c r="C9" s="56" t="s">
        <v>399</v>
      </c>
      <c r="D9" s="11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39">
        <f>IF(M3=0,0%,N3/M3)</f>
        <v>0.10143236276080593</v>
      </c>
    </row>
    <row r="10" spans="2:15">
      <c r="B10" s="56" t="s">
        <v>24</v>
      </c>
      <c r="C10" s="56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39">
        <f>File_Size_Comparision!F8</f>
        <v>9.7902097902097834E-2</v>
      </c>
    </row>
    <row r="11" spans="2:15">
      <c r="B11" s="56" t="s">
        <v>25</v>
      </c>
      <c r="C11" s="56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56" t="s">
        <v>26</v>
      </c>
      <c r="C12" s="56" t="s">
        <v>399</v>
      </c>
      <c r="D12" s="11">
        <v>43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>
      <c r="B13" s="56" t="s">
        <v>28</v>
      </c>
      <c r="C13" s="56" t="s">
        <v>399</v>
      </c>
      <c r="D13" s="11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56" t="s">
        <v>29</v>
      </c>
      <c r="C14" s="56" t="s">
        <v>399</v>
      </c>
      <c r="D14" s="11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56" t="s">
        <v>30</v>
      </c>
      <c r="C15" s="56" t="s">
        <v>399</v>
      </c>
      <c r="D15" s="11">
        <v>20</v>
      </c>
      <c r="E15" s="1" t="s">
        <v>30</v>
      </c>
      <c r="F15" s="11">
        <v>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>
      <c r="B16" s="56" t="s">
        <v>31</v>
      </c>
      <c r="C16" s="56" t="s">
        <v>399</v>
      </c>
      <c r="D16" s="11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1">
      <c r="B17" s="56" t="s">
        <v>32</v>
      </c>
      <c r="C17" s="56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1">
      <c r="B18" s="56" t="s">
        <v>33</v>
      </c>
      <c r="C18" s="56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1">
      <c r="B19" s="56" t="s">
        <v>0</v>
      </c>
      <c r="C19" s="56" t="s">
        <v>399</v>
      </c>
      <c r="D19" s="11">
        <v>22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1">
      <c r="B20" s="56" t="s">
        <v>2</v>
      </c>
      <c r="C20" s="56" t="s">
        <v>399</v>
      </c>
      <c r="D20" s="54">
        <v>22</v>
      </c>
      <c r="E20" s="1" t="s">
        <v>2</v>
      </c>
      <c r="F20" s="54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  <c r="K20" t="s">
        <v>558</v>
      </c>
    </row>
    <row r="21" spans="2:11">
      <c r="B21" s="56" t="s">
        <v>3</v>
      </c>
      <c r="C21" s="56" t="s">
        <v>399</v>
      </c>
      <c r="D21" s="11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1">
      <c r="B22" s="56" t="s">
        <v>4</v>
      </c>
      <c r="C22" s="56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1">
      <c r="B23" s="56" t="s">
        <v>5</v>
      </c>
      <c r="C23" s="56" t="s">
        <v>399</v>
      </c>
      <c r="D23" s="11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1">
      <c r="B24" s="56" t="s">
        <v>7</v>
      </c>
      <c r="C24" s="56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1">
      <c r="B25" s="56" t="s">
        <v>8</v>
      </c>
      <c r="C25" s="56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1">
      <c r="B26" s="56" t="s">
        <v>9</v>
      </c>
      <c r="C26" s="56" t="s">
        <v>399</v>
      </c>
      <c r="D26" s="11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1">
      <c r="B27" s="56" t="s">
        <v>10</v>
      </c>
      <c r="C27" s="56" t="s">
        <v>399</v>
      </c>
      <c r="D27" s="11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1">
      <c r="B28" s="56" t="s">
        <v>11</v>
      </c>
      <c r="C28" s="56" t="s">
        <v>399</v>
      </c>
      <c r="D28" s="11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1">
      <c r="B29" s="56" t="s">
        <v>12</v>
      </c>
      <c r="C29" s="56" t="s">
        <v>399</v>
      </c>
      <c r="D29" s="11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1">
      <c r="B30" s="56" t="s">
        <v>13</v>
      </c>
      <c r="C30" s="56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1">
      <c r="B31" s="56" t="s">
        <v>14</v>
      </c>
      <c r="C31" s="56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1">
      <c r="B32" s="56" t="s">
        <v>15</v>
      </c>
      <c r="C32" s="56" t="s">
        <v>399</v>
      </c>
      <c r="D32" s="11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1">
      <c r="B33" s="56" t="s">
        <v>16</v>
      </c>
      <c r="C33" s="56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1">
      <c r="B34" s="56" t="s">
        <v>17</v>
      </c>
      <c r="C34" s="56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1">
      <c r="B35" s="56" t="s">
        <v>18</v>
      </c>
      <c r="C35" s="56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1">
      <c r="B36" s="56" t="s">
        <v>19</v>
      </c>
      <c r="C36" s="56" t="s">
        <v>399</v>
      </c>
      <c r="D36" s="54">
        <v>22</v>
      </c>
      <c r="E36" s="56" t="s">
        <v>19</v>
      </c>
      <c r="F36" s="54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  <c r="K36" t="s">
        <v>560</v>
      </c>
    </row>
    <row r="37" spans="2:11">
      <c r="B37" s="56" t="s">
        <v>113</v>
      </c>
      <c r="C37" s="56" t="s">
        <v>399</v>
      </c>
      <c r="D37" s="11">
        <v>36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1">
      <c r="B38" s="56" t="s">
        <v>114</v>
      </c>
      <c r="C38" s="56" t="s">
        <v>399</v>
      </c>
      <c r="D38" s="11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1">
      <c r="B39" s="56" t="s">
        <v>115</v>
      </c>
      <c r="C39" s="56" t="s">
        <v>399</v>
      </c>
      <c r="D39" s="11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1">
      <c r="B40" s="56" t="s">
        <v>116</v>
      </c>
      <c r="C40" s="56" t="s">
        <v>399</v>
      </c>
      <c r="D40" s="11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1">
      <c r="B41" s="56" t="s">
        <v>117</v>
      </c>
      <c r="C41" s="56" t="s">
        <v>399</v>
      </c>
      <c r="D41" s="11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1">
      <c r="B42" s="56" t="s">
        <v>118</v>
      </c>
      <c r="C42" s="56" t="s">
        <v>399</v>
      </c>
      <c r="D42" s="11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1">
      <c r="B43" s="56" t="s">
        <v>119</v>
      </c>
      <c r="C43" s="56" t="s">
        <v>399</v>
      </c>
      <c r="D43" s="11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1">
      <c r="B44" s="56" t="s">
        <v>120</v>
      </c>
      <c r="C44" s="56" t="s">
        <v>399</v>
      </c>
      <c r="D44" s="11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1">
      <c r="B45" s="56" t="s">
        <v>121</v>
      </c>
      <c r="C45" s="56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1">
      <c r="B46" s="56" t="s">
        <v>122</v>
      </c>
      <c r="C46" s="56" t="s">
        <v>399</v>
      </c>
      <c r="D46" s="11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1">
      <c r="B47" s="56" t="s">
        <v>123</v>
      </c>
      <c r="C47" s="56" t="s">
        <v>399</v>
      </c>
      <c r="D47" s="11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1">
      <c r="B48" s="56" t="s">
        <v>124</v>
      </c>
      <c r="C48" s="56" t="s">
        <v>399</v>
      </c>
      <c r="D48" s="11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>
      <c r="B49" s="56" t="s">
        <v>125</v>
      </c>
      <c r="C49" s="56" t="s">
        <v>399</v>
      </c>
      <c r="D49" s="11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>
      <c r="B50" s="56" t="s">
        <v>126</v>
      </c>
      <c r="C50" s="56" t="s">
        <v>399</v>
      </c>
      <c r="D50" s="11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>
      <c r="B51" s="56" t="s">
        <v>127</v>
      </c>
      <c r="C51" s="56" t="s">
        <v>399</v>
      </c>
      <c r="D51" s="11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>
      <c r="B52" s="56" t="s">
        <v>128</v>
      </c>
      <c r="C52" s="56" t="s">
        <v>399</v>
      </c>
      <c r="D52" s="11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>
      <c r="B53" s="56" t="s">
        <v>129</v>
      </c>
      <c r="C53" s="56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>
      <c r="B54" s="56" t="s">
        <v>130</v>
      </c>
      <c r="C54" s="56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>
      <c r="B55" s="56" t="s">
        <v>131</v>
      </c>
      <c r="C55" s="56" t="s">
        <v>399</v>
      </c>
      <c r="D55" s="11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>
      <c r="B56" s="56" t="s">
        <v>132</v>
      </c>
      <c r="C56" s="56" t="s">
        <v>399</v>
      </c>
      <c r="D56" s="11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>
      <c r="B57" s="56" t="s">
        <v>133</v>
      </c>
      <c r="C57" s="56" t="s">
        <v>399</v>
      </c>
      <c r="D57" s="11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>
      <c r="B58" s="56" t="s">
        <v>134</v>
      </c>
      <c r="C58" s="56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>
      <c r="B59" s="56" t="s">
        <v>135</v>
      </c>
      <c r="C59" s="56" t="s">
        <v>399</v>
      </c>
      <c r="D59" s="11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>
      <c r="B60" s="56" t="s">
        <v>136</v>
      </c>
      <c r="C60" s="56" t="s">
        <v>399</v>
      </c>
      <c r="D60" s="11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>
      <c r="B61" s="56" t="s">
        <v>137</v>
      </c>
      <c r="C61" s="56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>
      <c r="B62" s="56" t="s">
        <v>46</v>
      </c>
      <c r="C62" s="56" t="s">
        <v>399</v>
      </c>
      <c r="D62" s="11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>
      <c r="B63" s="56" t="s">
        <v>47</v>
      </c>
      <c r="C63" s="56" t="s">
        <v>399</v>
      </c>
      <c r="D63" s="11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>
      <c r="B64" s="56" t="s">
        <v>48</v>
      </c>
      <c r="C64" s="56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56" t="s">
        <v>49</v>
      </c>
      <c r="C65" s="56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56" t="s">
        <v>138</v>
      </c>
      <c r="C66" s="56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56" t="s">
        <v>139</v>
      </c>
      <c r="C67" s="56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56" t="s">
        <v>140</v>
      </c>
      <c r="C68" s="56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56" t="s">
        <v>141</v>
      </c>
      <c r="C69" s="56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56" t="s">
        <v>142</v>
      </c>
      <c r="C70" s="56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56" t="s">
        <v>143</v>
      </c>
      <c r="C71" s="56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56" t="s">
        <v>144</v>
      </c>
      <c r="C72" s="56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56" t="s">
        <v>145</v>
      </c>
      <c r="C73" s="56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56" t="s">
        <v>146</v>
      </c>
      <c r="C74" s="56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56" t="s">
        <v>147</v>
      </c>
      <c r="C75" s="56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56" t="s">
        <v>148</v>
      </c>
      <c r="C76" s="56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56" t="s">
        <v>149</v>
      </c>
      <c r="C77" s="56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56" t="s">
        <v>150</v>
      </c>
      <c r="C78" s="56" t="s">
        <v>399</v>
      </c>
      <c r="D78" s="11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56" t="s">
        <v>151</v>
      </c>
      <c r="C79" s="56" t="s">
        <v>399</v>
      </c>
      <c r="D79" s="11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56" t="s">
        <v>152</v>
      </c>
      <c r="C80" s="56" t="s">
        <v>399</v>
      </c>
      <c r="D80" s="11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56" t="s">
        <v>153</v>
      </c>
      <c r="C81" s="56" t="s">
        <v>399</v>
      </c>
      <c r="D81" s="11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56" t="s">
        <v>154</v>
      </c>
      <c r="C82" s="56" t="s">
        <v>399</v>
      </c>
      <c r="D82" s="11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56" t="s">
        <v>155</v>
      </c>
      <c r="C83" s="56" t="s">
        <v>399</v>
      </c>
      <c r="D83" s="11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56" t="s">
        <v>156</v>
      </c>
      <c r="C84" s="56" t="s">
        <v>399</v>
      </c>
      <c r="D84" s="11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56" t="s">
        <v>157</v>
      </c>
      <c r="C85" s="56" t="s">
        <v>399</v>
      </c>
      <c r="D85" s="11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56" t="s">
        <v>158</v>
      </c>
      <c r="C86" s="56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56" t="s">
        <v>159</v>
      </c>
      <c r="C87" s="56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56" t="s">
        <v>160</v>
      </c>
      <c r="C88" s="56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56" t="s">
        <v>161</v>
      </c>
      <c r="C89" s="56" t="s">
        <v>399</v>
      </c>
      <c r="D89" s="11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56" t="s">
        <v>162</v>
      </c>
      <c r="C90" s="56" t="s">
        <v>399</v>
      </c>
      <c r="D90" s="11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56" t="s">
        <v>163</v>
      </c>
      <c r="C91" s="56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56" t="s">
        <v>164</v>
      </c>
      <c r="C92" s="56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56" t="s">
        <v>165</v>
      </c>
      <c r="C93" s="56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56" t="s">
        <v>166</v>
      </c>
      <c r="C94" s="56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56" t="s">
        <v>167</v>
      </c>
      <c r="C95" s="56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56" t="s">
        <v>168</v>
      </c>
      <c r="C96" s="56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56" t="s">
        <v>169</v>
      </c>
      <c r="C97" s="56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56" t="s">
        <v>170</v>
      </c>
      <c r="C98" s="56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56" t="s">
        <v>171</v>
      </c>
      <c r="C99" s="56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56" t="s">
        <v>172</v>
      </c>
      <c r="C100" s="56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56" t="s">
        <v>173</v>
      </c>
      <c r="C101" s="56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56" t="s">
        <v>174</v>
      </c>
      <c r="C102" s="56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56" t="s">
        <v>175</v>
      </c>
      <c r="C103" s="56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56" t="s">
        <v>176</v>
      </c>
      <c r="C104" s="56" t="s">
        <v>399</v>
      </c>
      <c r="D104" s="11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56" t="s">
        <v>177</v>
      </c>
      <c r="C105" s="56" t="s">
        <v>399</v>
      </c>
      <c r="D105" s="11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56" t="s">
        <v>178</v>
      </c>
      <c r="C106" s="56" t="s">
        <v>399</v>
      </c>
      <c r="D106" s="11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56" t="s">
        <v>179</v>
      </c>
      <c r="C107" s="56" t="s">
        <v>399</v>
      </c>
      <c r="D107" s="11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56" t="s">
        <v>180</v>
      </c>
      <c r="C108" s="56" t="s">
        <v>399</v>
      </c>
      <c r="D108" s="11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56" t="s">
        <v>181</v>
      </c>
      <c r="C109" s="56" t="s">
        <v>399</v>
      </c>
      <c r="D109" s="11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56" t="s">
        <v>182</v>
      </c>
      <c r="C110" s="56" t="s">
        <v>399</v>
      </c>
      <c r="D110" s="11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56" t="s">
        <v>183</v>
      </c>
      <c r="C111" s="56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56" t="s">
        <v>184</v>
      </c>
      <c r="C112" s="56" t="s">
        <v>399</v>
      </c>
      <c r="D112" s="11">
        <v>200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56" t="s">
        <v>185</v>
      </c>
      <c r="C113" s="56" t="s">
        <v>398</v>
      </c>
      <c r="D113" s="11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56" t="s">
        <v>186</v>
      </c>
      <c r="C114" s="56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56" t="s">
        <v>187</v>
      </c>
      <c r="C115" s="56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56" t="s">
        <v>188</v>
      </c>
      <c r="C116" s="56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56" t="s">
        <v>189</v>
      </c>
      <c r="C117" s="56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56" t="s">
        <v>190</v>
      </c>
      <c r="C118" s="56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56" t="s">
        <v>191</v>
      </c>
      <c r="C119" s="56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56" t="s">
        <v>192</v>
      </c>
      <c r="C120" s="56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56" t="s">
        <v>193</v>
      </c>
      <c r="C121" s="56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56" t="s">
        <v>194</v>
      </c>
      <c r="C122" s="56" t="s">
        <v>399</v>
      </c>
      <c r="D122" s="11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56" t="s">
        <v>195</v>
      </c>
      <c r="C123" s="56" t="s">
        <v>405</v>
      </c>
      <c r="D123" s="11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56" t="s">
        <v>196</v>
      </c>
      <c r="C124" s="56" t="s">
        <v>405</v>
      </c>
      <c r="D124" s="11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56" t="s">
        <v>197</v>
      </c>
      <c r="C125" s="56" t="s">
        <v>405</v>
      </c>
      <c r="D125" s="11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56" t="s">
        <v>198</v>
      </c>
      <c r="C126" s="56" t="s">
        <v>405</v>
      </c>
      <c r="D126" s="11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56" t="s">
        <v>199</v>
      </c>
      <c r="C127" s="56" t="s">
        <v>405</v>
      </c>
      <c r="D127" s="11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56" t="s">
        <v>200</v>
      </c>
      <c r="C128" s="56" t="s">
        <v>405</v>
      </c>
      <c r="D128" s="11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56" t="s">
        <v>201</v>
      </c>
      <c r="C129" s="56" t="s">
        <v>405</v>
      </c>
      <c r="D129" s="11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56" t="s">
        <v>202</v>
      </c>
      <c r="C130" s="56" t="s">
        <v>405</v>
      </c>
      <c r="D130" s="11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56" t="s">
        <v>203</v>
      </c>
      <c r="C131" s="56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56" t="s">
        <v>204</v>
      </c>
      <c r="C132" s="56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56" t="s">
        <v>205</v>
      </c>
      <c r="C133" s="56" t="s">
        <v>405</v>
      </c>
      <c r="D133" s="11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56" t="s">
        <v>206</v>
      </c>
      <c r="C134" s="56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56" t="s">
        <v>207</v>
      </c>
      <c r="C135" s="56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56" t="s">
        <v>208</v>
      </c>
      <c r="C136" s="56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56" t="s">
        <v>209</v>
      </c>
      <c r="C137" s="56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56" t="s">
        <v>210</v>
      </c>
      <c r="C138" s="56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56" t="s">
        <v>406</v>
      </c>
      <c r="C139" s="56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56" t="s">
        <v>407</v>
      </c>
      <c r="C140" s="56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56" t="s">
        <v>211</v>
      </c>
      <c r="C141" s="56" t="s">
        <v>399</v>
      </c>
      <c r="D141" s="44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56" t="s">
        <v>212</v>
      </c>
      <c r="C142" s="56" t="s">
        <v>399</v>
      </c>
      <c r="D142" s="11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56" t="s">
        <v>51</v>
      </c>
      <c r="C143" s="56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56" t="s">
        <v>52</v>
      </c>
      <c r="C144" s="56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56" t="s">
        <v>53</v>
      </c>
      <c r="C145" s="56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56" t="s">
        <v>54</v>
      </c>
      <c r="C146" s="56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56" t="s">
        <v>55</v>
      </c>
      <c r="C147" s="56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56" t="s">
        <v>56</v>
      </c>
      <c r="C148" s="56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56" t="s">
        <v>57</v>
      </c>
      <c r="C149" s="56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56" t="s">
        <v>58</v>
      </c>
      <c r="C150" s="56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56" t="s">
        <v>59</v>
      </c>
      <c r="C151" s="56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56" t="s">
        <v>60</v>
      </c>
      <c r="C152" s="56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56" t="s">
        <v>61</v>
      </c>
      <c r="C153" s="56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56" t="s">
        <v>62</v>
      </c>
      <c r="C154" s="56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56" t="s">
        <v>63</v>
      </c>
      <c r="C155" s="56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56" t="s">
        <v>64</v>
      </c>
      <c r="C156" s="56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56" t="s">
        <v>65</v>
      </c>
      <c r="C157" s="56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56" t="s">
        <v>66</v>
      </c>
      <c r="C158" s="56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56" t="s">
        <v>67</v>
      </c>
      <c r="C159" s="56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56" t="s">
        <v>68</v>
      </c>
      <c r="C160" s="56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1">
      <c r="B161" s="56" t="s">
        <v>69</v>
      </c>
      <c r="C161" s="56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1">
      <c r="B162" s="56" t="s">
        <v>70</v>
      </c>
      <c r="C162" s="56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1">
      <c r="B163" s="56" t="s">
        <v>88</v>
      </c>
      <c r="C163" s="56" t="s">
        <v>399</v>
      </c>
      <c r="D163" s="54">
        <v>33</v>
      </c>
      <c r="E163" s="56" t="s">
        <v>88</v>
      </c>
      <c r="F163" s="54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  <c r="K163" t="s">
        <v>561</v>
      </c>
    </row>
    <row r="164" spans="2:11">
      <c r="B164" s="56" t="s">
        <v>213</v>
      </c>
      <c r="C164" s="56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1">
      <c r="B165" s="56" t="s">
        <v>214</v>
      </c>
      <c r="C165" s="56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1">
      <c r="B166" s="56" t="s">
        <v>408</v>
      </c>
      <c r="C166" s="56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1">
      <c r="B167" s="56" t="s">
        <v>409</v>
      </c>
      <c r="C167" s="56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1">
      <c r="B168" s="56" t="s">
        <v>215</v>
      </c>
      <c r="C168" s="56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1">
      <c r="B169" s="56" t="s">
        <v>216</v>
      </c>
      <c r="C169" s="56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1">
      <c r="B170" s="56" t="s">
        <v>217</v>
      </c>
      <c r="C170" s="56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1">
      <c r="B171" s="56" t="s">
        <v>218</v>
      </c>
      <c r="C171" s="56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1">
      <c r="B172" s="56" t="s">
        <v>219</v>
      </c>
      <c r="C172" s="56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1">
      <c r="B173" s="56" t="s">
        <v>220</v>
      </c>
      <c r="C173" s="56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1">
      <c r="B174" s="56" t="s">
        <v>221</v>
      </c>
      <c r="C174" s="56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1">
      <c r="B175" s="56" t="s">
        <v>222</v>
      </c>
      <c r="C175" s="56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1">
      <c r="B176" s="56" t="s">
        <v>223</v>
      </c>
      <c r="C176" s="56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56" t="s">
        <v>224</v>
      </c>
      <c r="C177" s="56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56" t="s">
        <v>225</v>
      </c>
      <c r="C178" s="56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56" t="s">
        <v>226</v>
      </c>
      <c r="C179" s="56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56" t="s">
        <v>227</v>
      </c>
      <c r="C180" s="56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56" t="s">
        <v>228</v>
      </c>
      <c r="C181" s="56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56" t="s">
        <v>229</v>
      </c>
      <c r="C182" s="56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56" t="s">
        <v>230</v>
      </c>
      <c r="C183" s="56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56" t="s">
        <v>231</v>
      </c>
      <c r="C184" s="56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56" t="s">
        <v>232</v>
      </c>
      <c r="C185" s="56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56" t="s">
        <v>233</v>
      </c>
      <c r="C186" s="56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56" t="s">
        <v>234</v>
      </c>
      <c r="C187" s="56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56" t="s">
        <v>235</v>
      </c>
      <c r="C188" s="56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56" t="s">
        <v>236</v>
      </c>
      <c r="C189" s="56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56" t="s">
        <v>237</v>
      </c>
      <c r="C190" s="56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56" t="s">
        <v>238</v>
      </c>
      <c r="C191" s="56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56" t="s">
        <v>239</v>
      </c>
      <c r="C192" s="56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56" t="s">
        <v>240</v>
      </c>
      <c r="C193" s="56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56" t="s">
        <v>241</v>
      </c>
      <c r="C194" s="56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56" t="s">
        <v>242</v>
      </c>
      <c r="C195" s="56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56" t="s">
        <v>243</v>
      </c>
      <c r="C196" s="56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56" t="s">
        <v>244</v>
      </c>
      <c r="C197" s="56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56" t="s">
        <v>245</v>
      </c>
      <c r="C198" s="56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56" t="s">
        <v>246</v>
      </c>
      <c r="C199" s="56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56" t="s">
        <v>247</v>
      </c>
      <c r="C200" s="56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56" t="s">
        <v>248</v>
      </c>
      <c r="C201" s="56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56" t="s">
        <v>249</v>
      </c>
      <c r="C202" s="56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56" t="s">
        <v>250</v>
      </c>
      <c r="C203" s="56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56" t="s">
        <v>251</v>
      </c>
      <c r="C204" s="56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56" t="s">
        <v>252</v>
      </c>
      <c r="C205" s="56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56" t="s">
        <v>253</v>
      </c>
      <c r="C206" s="56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56" t="s">
        <v>254</v>
      </c>
      <c r="C207" s="56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56" t="s">
        <v>255</v>
      </c>
      <c r="C208" s="56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56" t="s">
        <v>256</v>
      </c>
      <c r="C209" s="56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56" t="s">
        <v>257</v>
      </c>
      <c r="C210" s="56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56" t="s">
        <v>258</v>
      </c>
      <c r="C211" s="56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56" t="s">
        <v>259</v>
      </c>
      <c r="C212" s="56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56" t="s">
        <v>260</v>
      </c>
      <c r="C213" s="56" t="s">
        <v>399</v>
      </c>
      <c r="D213" s="11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56" t="s">
        <v>261</v>
      </c>
      <c r="C214" s="56" t="s">
        <v>399</v>
      </c>
      <c r="D214" s="11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56" t="s">
        <v>262</v>
      </c>
      <c r="C215" s="56" t="s">
        <v>399</v>
      </c>
      <c r="D215" s="11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56" t="s">
        <v>263</v>
      </c>
      <c r="C216" s="56" t="s">
        <v>399</v>
      </c>
      <c r="D216" s="11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56" t="s">
        <v>264</v>
      </c>
      <c r="C217" s="56" t="s">
        <v>399</v>
      </c>
      <c r="D217" s="11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56" t="s">
        <v>265</v>
      </c>
      <c r="C218" s="56" t="s">
        <v>399</v>
      </c>
      <c r="D218" s="11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56" t="s">
        <v>266</v>
      </c>
      <c r="C219" s="56" t="s">
        <v>399</v>
      </c>
      <c r="D219" s="11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56" t="s">
        <v>267</v>
      </c>
      <c r="C220" s="56" t="s">
        <v>399</v>
      </c>
      <c r="D220" s="11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56" t="s">
        <v>268</v>
      </c>
      <c r="C221" s="56" t="s">
        <v>399</v>
      </c>
      <c r="D221" s="11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56" t="s">
        <v>269</v>
      </c>
      <c r="C222" s="56" t="s">
        <v>399</v>
      </c>
      <c r="D222" s="11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56" t="s">
        <v>270</v>
      </c>
      <c r="C223" s="56" t="s">
        <v>399</v>
      </c>
      <c r="D223" s="11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56" t="s">
        <v>271</v>
      </c>
      <c r="C224" s="56" t="s">
        <v>399</v>
      </c>
      <c r="D224" s="11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56" t="s">
        <v>272</v>
      </c>
      <c r="C225" s="56" t="s">
        <v>399</v>
      </c>
      <c r="D225" s="11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56" t="s">
        <v>273</v>
      </c>
      <c r="C226" s="56" t="s">
        <v>399</v>
      </c>
      <c r="D226" s="11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56" t="s">
        <v>274</v>
      </c>
      <c r="C227" s="56" t="s">
        <v>399</v>
      </c>
      <c r="D227" s="11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56" t="s">
        <v>275</v>
      </c>
      <c r="C228" s="56" t="s">
        <v>399</v>
      </c>
      <c r="D228" s="11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56" t="s">
        <v>279</v>
      </c>
      <c r="C229" s="56" t="s">
        <v>399</v>
      </c>
      <c r="D229" s="11">
        <v>11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56" t="s">
        <v>280</v>
      </c>
      <c r="C230" s="56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56" t="s">
        <v>281</v>
      </c>
      <c r="C231" s="56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56" t="s">
        <v>291</v>
      </c>
      <c r="C232" s="56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56" t="s">
        <v>292</v>
      </c>
      <c r="C233" s="56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56" t="s">
        <v>293</v>
      </c>
      <c r="C234" s="56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56" t="s">
        <v>276</v>
      </c>
      <c r="C235" s="56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56" t="s">
        <v>277</v>
      </c>
      <c r="C236" s="56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56" t="s">
        <v>278</v>
      </c>
      <c r="C237" s="56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56" t="s">
        <v>282</v>
      </c>
      <c r="C238" s="56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56" t="s">
        <v>283</v>
      </c>
      <c r="C239" s="56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56" t="s">
        <v>284</v>
      </c>
      <c r="C240" s="56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56" t="s">
        <v>285</v>
      </c>
      <c r="C241" s="56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56" t="s">
        <v>286</v>
      </c>
      <c r="C242" s="56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56" t="s">
        <v>287</v>
      </c>
      <c r="C243" s="56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56" t="s">
        <v>288</v>
      </c>
      <c r="C244" s="56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56" t="s">
        <v>289</v>
      </c>
      <c r="C245" s="56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56" t="s">
        <v>290</v>
      </c>
      <c r="C246" s="56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56" t="s">
        <v>410</v>
      </c>
      <c r="C247" s="56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56" t="s">
        <v>411</v>
      </c>
      <c r="C248" s="56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56" t="s">
        <v>412</v>
      </c>
      <c r="C249" s="56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56" t="s">
        <v>294</v>
      </c>
      <c r="C250" s="56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56" t="s">
        <v>295</v>
      </c>
      <c r="C251" s="56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56" t="s">
        <v>86</v>
      </c>
      <c r="C252" s="56" t="s">
        <v>399</v>
      </c>
      <c r="D252" s="11">
        <v>255</v>
      </c>
      <c r="E252" s="1" t="s">
        <v>86</v>
      </c>
      <c r="F252" s="11">
        <v>73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56" t="s">
        <v>87</v>
      </c>
      <c r="C253" s="56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56" t="s">
        <v>296</v>
      </c>
      <c r="C254" s="56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56" t="s">
        <v>71</v>
      </c>
      <c r="C255" s="56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56" t="s">
        <v>297</v>
      </c>
      <c r="C256" s="56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56" t="s">
        <v>436</v>
      </c>
      <c r="C257" s="56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56" t="s">
        <v>437</v>
      </c>
      <c r="C258" s="56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56" t="s">
        <v>438</v>
      </c>
      <c r="C259" s="56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56" t="s">
        <v>439</v>
      </c>
      <c r="C260" s="56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56" t="s">
        <v>440</v>
      </c>
      <c r="C261" s="56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56" t="s">
        <v>441</v>
      </c>
      <c r="C262" s="56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56" t="s">
        <v>442</v>
      </c>
      <c r="C263" s="56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56" t="s">
        <v>443</v>
      </c>
      <c r="C264" s="56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56" t="s">
        <v>444</v>
      </c>
      <c r="C265" s="56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56" t="s">
        <v>445</v>
      </c>
      <c r="C266" s="56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56" t="s">
        <v>446</v>
      </c>
      <c r="C267" s="56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56" t="s">
        <v>447</v>
      </c>
      <c r="C268" s="56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56" t="s">
        <v>448</v>
      </c>
      <c r="C269" s="56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56" t="s">
        <v>449</v>
      </c>
      <c r="C270" s="56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56" t="s">
        <v>450</v>
      </c>
      <c r="C271" s="56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56" t="s">
        <v>451</v>
      </c>
      <c r="C272" s="56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56" t="s">
        <v>452</v>
      </c>
      <c r="C273" s="56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56" t="s">
        <v>453</v>
      </c>
      <c r="C274" s="56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56" t="s">
        <v>454</v>
      </c>
      <c r="C275" s="56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56" t="s">
        <v>455</v>
      </c>
      <c r="C276" s="56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6" t="s">
        <v>83</v>
      </c>
      <c r="C2" s="56" t="s">
        <v>398</v>
      </c>
      <c r="D2" s="11" t="s">
        <v>562</v>
      </c>
      <c r="E2" s="45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>
      <c r="B3" s="56" t="s">
        <v>84</v>
      </c>
      <c r="C3" s="56" t="s">
        <v>399</v>
      </c>
      <c r="D3" s="11">
        <v>50</v>
      </c>
      <c r="E3" s="45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>
      <c r="B4" s="56" t="s">
        <v>85</v>
      </c>
      <c r="C4" s="56" t="s">
        <v>399</v>
      </c>
      <c r="D4" s="11">
        <v>50</v>
      </c>
      <c r="E4" s="45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>
      <c r="B5" s="56" t="s">
        <v>71</v>
      </c>
      <c r="C5" s="56" t="s">
        <v>399</v>
      </c>
      <c r="D5" s="11">
        <v>50</v>
      </c>
      <c r="E5" s="45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56" t="s">
        <v>0</v>
      </c>
      <c r="C6" s="56" t="s">
        <v>399</v>
      </c>
      <c r="D6" s="11">
        <v>20</v>
      </c>
      <c r="E6" s="45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6" t="s">
        <v>401</v>
      </c>
      <c r="N6" s="40"/>
    </row>
    <row r="7" spans="2:15">
      <c r="B7" s="56" t="s">
        <v>491</v>
      </c>
      <c r="C7" s="56" t="s">
        <v>399</v>
      </c>
      <c r="D7" s="11">
        <v>50</v>
      </c>
      <c r="E7" s="45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6"/>
    </row>
    <row r="8" spans="2:15">
      <c r="B8" s="56" t="s">
        <v>492</v>
      </c>
      <c r="C8" s="56" t="s">
        <v>399</v>
      </c>
      <c r="D8" s="11">
        <v>20</v>
      </c>
      <c r="E8" s="45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6"/>
    </row>
    <row r="9" spans="2:15">
      <c r="B9" s="56" t="s">
        <v>493</v>
      </c>
      <c r="C9" s="56" t="s">
        <v>400</v>
      </c>
      <c r="D9" s="11">
        <v>50</v>
      </c>
      <c r="E9" s="45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>
      <c r="B10" s="56" t="s">
        <v>494</v>
      </c>
      <c r="C10" s="56" t="s">
        <v>400</v>
      </c>
      <c r="D10" s="11">
        <v>20</v>
      </c>
      <c r="E10" s="45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39">
        <f>IF(M4=0,0%,N4/M4)</f>
        <v>0</v>
      </c>
    </row>
    <row r="11" spans="2:15">
      <c r="B11" s="56" t="s">
        <v>495</v>
      </c>
      <c r="C11" s="56"/>
      <c r="D11" s="56" t="s">
        <v>562</v>
      </c>
      <c r="E11" s="45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39">
        <f>File_Size_Comparision!F9</f>
        <v>0</v>
      </c>
    </row>
    <row r="12" spans="2:15">
      <c r="B12" s="56" t="s">
        <v>496</v>
      </c>
      <c r="C12" s="56"/>
      <c r="D12" s="56" t="s">
        <v>562</v>
      </c>
      <c r="E12" s="45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2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6" t="s">
        <v>83</v>
      </c>
      <c r="C2" s="56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6" t="s">
        <v>84</v>
      </c>
      <c r="C3" s="56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10923</v>
      </c>
      <c r="M3" s="19">
        <v>10635</v>
      </c>
      <c r="N3" s="22">
        <f>L3-M3</f>
        <v>288</v>
      </c>
    </row>
    <row r="4" spans="2:15">
      <c r="B4" s="56" t="s">
        <v>85</v>
      </c>
      <c r="C4" s="56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6" t="s">
        <v>71</v>
      </c>
      <c r="C5" s="56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6" t="s">
        <v>0</v>
      </c>
      <c r="C6" s="56" t="s">
        <v>399</v>
      </c>
      <c r="D6" s="11">
        <v>20</v>
      </c>
      <c r="E6" s="1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>
      <c r="B7" s="56" t="s">
        <v>299</v>
      </c>
      <c r="C7" s="56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>
      <c r="B8" s="56" t="s">
        <v>300</v>
      </c>
      <c r="C8" s="56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7">
        <f>IF(M3=0,0%,N3/M3)</f>
        <v>2.7080394922425952E-2</v>
      </c>
    </row>
    <row r="9" spans="2:15">
      <c r="B9" s="56" t="s">
        <v>301</v>
      </c>
      <c r="C9" s="56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39">
        <f>File_Size_Comparision!F10</f>
        <v>2.6104417670682729E-2</v>
      </c>
    </row>
    <row r="10" spans="2:15">
      <c r="B10" s="56" t="s">
        <v>302</v>
      </c>
      <c r="C10" s="56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2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47" activePane="bottomLeft" state="frozen"/>
      <selection pane="bottomLeft" activeCell="A2" sqref="A2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style="59" bestFit="1" customWidth="1"/>
    <col min="5" max="5" width="27.7109375" bestFit="1" customWidth="1"/>
    <col min="6" max="6" width="13.5703125" style="59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58" t="s">
        <v>390</v>
      </c>
      <c r="E1" s="16" t="s">
        <v>72</v>
      </c>
      <c r="F1" s="58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6" t="s">
        <v>303</v>
      </c>
      <c r="C2" s="56" t="s">
        <v>399</v>
      </c>
      <c r="D2" s="11">
        <v>80</v>
      </c>
      <c r="E2" s="1" t="s">
        <v>303</v>
      </c>
      <c r="F2" s="1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288378</v>
      </c>
      <c r="M2" s="21">
        <v>288378</v>
      </c>
      <c r="N2" s="22">
        <f>L2-M2</f>
        <v>0</v>
      </c>
    </row>
    <row r="3" spans="2:15">
      <c r="B3" s="56" t="s">
        <v>20</v>
      </c>
      <c r="C3" s="56" t="s">
        <v>399</v>
      </c>
      <c r="D3" s="11">
        <v>20</v>
      </c>
      <c r="E3" s="1" t="s">
        <v>20</v>
      </c>
      <c r="F3" s="1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275863</v>
      </c>
      <c r="N3" s="22">
        <f>L2-M3</f>
        <v>12515</v>
      </c>
    </row>
    <row r="4" spans="2:15">
      <c r="B4" s="56" t="s">
        <v>21</v>
      </c>
      <c r="C4" s="56" t="s">
        <v>399</v>
      </c>
      <c r="D4" s="11">
        <v>255</v>
      </c>
      <c r="E4" s="1" t="s">
        <v>21</v>
      </c>
      <c r="F4" s="1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56" t="s">
        <v>0</v>
      </c>
      <c r="C5" s="56" t="s">
        <v>399</v>
      </c>
      <c r="D5" s="11">
        <v>30</v>
      </c>
      <c r="E5" s="1" t="s">
        <v>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0"/>
    </row>
    <row r="6" spans="2:15">
      <c r="B6" s="56" t="s">
        <v>3</v>
      </c>
      <c r="C6" s="56" t="s">
        <v>399</v>
      </c>
      <c r="D6" s="11">
        <v>30</v>
      </c>
      <c r="E6" s="1" t="s">
        <v>3</v>
      </c>
      <c r="F6" s="1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6"/>
    </row>
    <row r="7" spans="2:15">
      <c r="B7" s="56" t="s">
        <v>4</v>
      </c>
      <c r="C7" s="56" t="s">
        <v>399</v>
      </c>
      <c r="D7" s="11">
        <v>30</v>
      </c>
      <c r="E7" s="1" t="s">
        <v>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6"/>
    </row>
    <row r="8" spans="2:15">
      <c r="B8" s="56" t="s">
        <v>5</v>
      </c>
      <c r="C8" s="56" t="s">
        <v>399</v>
      </c>
      <c r="D8" s="11">
        <v>30</v>
      </c>
      <c r="E8" s="1" t="s">
        <v>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>
      <c r="B9" s="56" t="s">
        <v>7</v>
      </c>
      <c r="C9" s="56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39">
        <f>IF(M3=0,0%,N3/M3)</f>
        <v>4.5366721887313631E-2</v>
      </c>
    </row>
    <row r="10" spans="2:15">
      <c r="B10" s="56" t="s">
        <v>8</v>
      </c>
      <c r="C10" s="56" t="s">
        <v>400</v>
      </c>
      <c r="D10" s="11" t="s">
        <v>562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39">
        <f>File_Size_Comparision!F11</f>
        <v>2.3799094758358817E-2</v>
      </c>
    </row>
    <row r="11" spans="2:15">
      <c r="B11" s="56" t="s">
        <v>11</v>
      </c>
      <c r="C11" s="56" t="s">
        <v>399</v>
      </c>
      <c r="D11" s="11">
        <v>20</v>
      </c>
      <c r="E11" s="31" t="s">
        <v>11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56" t="s">
        <v>12</v>
      </c>
      <c r="C12" s="56" t="s">
        <v>399</v>
      </c>
      <c r="D12" s="11">
        <v>20</v>
      </c>
      <c r="E12" s="1" t="s">
        <v>12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56" t="s">
        <v>14</v>
      </c>
      <c r="C13" s="56" t="s">
        <v>399</v>
      </c>
      <c r="D13" s="11">
        <v>10</v>
      </c>
      <c r="E13" s="1" t="s">
        <v>14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56" t="s">
        <v>18</v>
      </c>
      <c r="C14" s="56" t="s">
        <v>399</v>
      </c>
      <c r="D14" s="11">
        <v>5</v>
      </c>
      <c r="E14" s="1" t="s">
        <v>18</v>
      </c>
      <c r="F14" s="1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56" t="s">
        <v>19</v>
      </c>
      <c r="C15" s="56" t="s">
        <v>399</v>
      </c>
      <c r="D15" s="54">
        <v>22</v>
      </c>
      <c r="E15" s="1" t="s">
        <v>19</v>
      </c>
      <c r="F15" s="54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  <c r="K15" t="s">
        <v>555</v>
      </c>
    </row>
    <row r="16" spans="2:15">
      <c r="B16" s="56" t="s">
        <v>22</v>
      </c>
      <c r="C16" s="56" t="s">
        <v>399</v>
      </c>
      <c r="D16" s="11">
        <v>20</v>
      </c>
      <c r="E16" s="1" t="s">
        <v>22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56" t="s">
        <v>23</v>
      </c>
      <c r="C17" s="56" t="s">
        <v>399</v>
      </c>
      <c r="D17" s="11">
        <v>50</v>
      </c>
      <c r="E17" s="1" t="s">
        <v>23</v>
      </c>
      <c r="F17" s="1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56" t="s">
        <v>24</v>
      </c>
      <c r="C18" s="56" t="s">
        <v>399</v>
      </c>
      <c r="D18" s="11">
        <v>20</v>
      </c>
      <c r="E18" s="1" t="s">
        <v>24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56" t="s">
        <v>25</v>
      </c>
      <c r="C19" s="56" t="s">
        <v>399</v>
      </c>
      <c r="D19" s="11">
        <v>50</v>
      </c>
      <c r="E19" s="1" t="s">
        <v>25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56" t="s">
        <v>28</v>
      </c>
      <c r="C20" s="56" t="s">
        <v>399</v>
      </c>
      <c r="D20" s="11">
        <v>20</v>
      </c>
      <c r="E20" s="1" t="s">
        <v>28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56" t="s">
        <v>29</v>
      </c>
      <c r="C21" s="56" t="s">
        <v>399</v>
      </c>
      <c r="D21" s="11">
        <v>100</v>
      </c>
      <c r="E21" s="1" t="s">
        <v>29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56" t="s">
        <v>30</v>
      </c>
      <c r="C22" s="56" t="s">
        <v>399</v>
      </c>
      <c r="D22" s="11">
        <v>20</v>
      </c>
      <c r="E22" s="1" t="s">
        <v>30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56" t="s">
        <v>31</v>
      </c>
      <c r="C23" s="56" t="s">
        <v>399</v>
      </c>
      <c r="D23" s="11">
        <v>100</v>
      </c>
      <c r="E23" s="1" t="s">
        <v>31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56" t="s">
        <v>32</v>
      </c>
      <c r="C24" s="56" t="s">
        <v>399</v>
      </c>
      <c r="D24" s="11">
        <v>2</v>
      </c>
      <c r="E24" s="1" t="s">
        <v>32</v>
      </c>
      <c r="F24" s="1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56" t="s">
        <v>33</v>
      </c>
      <c r="C25" s="56" t="s">
        <v>399</v>
      </c>
      <c r="D25" s="11">
        <v>30</v>
      </c>
      <c r="E25" s="1" t="s">
        <v>33</v>
      </c>
      <c r="F25" s="1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56" t="s">
        <v>304</v>
      </c>
      <c r="C26" s="56" t="s">
        <v>399</v>
      </c>
      <c r="D26" s="11">
        <v>20</v>
      </c>
      <c r="E26" s="33" t="s">
        <v>304</v>
      </c>
      <c r="F26" s="1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56" t="s">
        <v>305</v>
      </c>
      <c r="C27" s="56" t="s">
        <v>399</v>
      </c>
      <c r="D27" s="11">
        <v>70</v>
      </c>
      <c r="E27" s="1" t="s">
        <v>305</v>
      </c>
      <c r="F27" s="1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56" t="s">
        <v>306</v>
      </c>
      <c r="C28" s="56" t="s">
        <v>399</v>
      </c>
      <c r="D28" s="11">
        <v>30</v>
      </c>
      <c r="E28" s="1" t="s">
        <v>306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56" t="s">
        <v>307</v>
      </c>
      <c r="C29" s="56" t="s">
        <v>399</v>
      </c>
      <c r="D29" s="11">
        <v>40</v>
      </c>
      <c r="E29" s="1" t="s">
        <v>307</v>
      </c>
      <c r="F29" s="1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56" t="s">
        <v>308</v>
      </c>
      <c r="C30" s="56" t="s">
        <v>399</v>
      </c>
      <c r="D30" s="44">
        <v>10</v>
      </c>
      <c r="E30" s="1" t="s">
        <v>308</v>
      </c>
      <c r="F30" s="1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56" t="s">
        <v>309</v>
      </c>
      <c r="C31" s="56" t="s">
        <v>399</v>
      </c>
      <c r="D31" s="11">
        <v>50</v>
      </c>
      <c r="E31" s="1" t="s">
        <v>309</v>
      </c>
      <c r="F31" s="1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56" t="s">
        <v>310</v>
      </c>
      <c r="C32" s="56" t="s">
        <v>399</v>
      </c>
      <c r="D32" s="11">
        <v>30</v>
      </c>
      <c r="E32" s="1" t="s">
        <v>310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56" t="s">
        <v>114</v>
      </c>
      <c r="C33" s="56" t="s">
        <v>399</v>
      </c>
      <c r="D33" s="11">
        <v>30</v>
      </c>
      <c r="E33" s="1" t="s">
        <v>114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56" t="s">
        <v>311</v>
      </c>
      <c r="C34" s="56" t="s">
        <v>399</v>
      </c>
      <c r="D34" s="11">
        <v>30</v>
      </c>
      <c r="E34" s="1" t="s">
        <v>311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56" t="s">
        <v>312</v>
      </c>
      <c r="C35" s="56" t="s">
        <v>399</v>
      </c>
      <c r="D35" s="11">
        <v>10</v>
      </c>
      <c r="E35" s="1" t="s">
        <v>312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56" t="s">
        <v>313</v>
      </c>
      <c r="C36" s="56" t="s">
        <v>400</v>
      </c>
      <c r="D36" s="11" t="s">
        <v>562</v>
      </c>
      <c r="E36" s="1" t="s">
        <v>313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56" t="s">
        <v>314</v>
      </c>
      <c r="C37" s="56" t="s">
        <v>400</v>
      </c>
      <c r="D37" s="11" t="s">
        <v>562</v>
      </c>
      <c r="E37" s="1" t="s">
        <v>314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56" t="s">
        <v>315</v>
      </c>
      <c r="C38" s="56" t="s">
        <v>400</v>
      </c>
      <c r="D38" s="11" t="s">
        <v>562</v>
      </c>
      <c r="E38" s="1" t="s">
        <v>315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56" t="s">
        <v>192</v>
      </c>
      <c r="C39" s="56" t="s">
        <v>400</v>
      </c>
      <c r="D39" s="11" t="s">
        <v>562</v>
      </c>
      <c r="E39" s="1" t="s">
        <v>192</v>
      </c>
      <c r="F39" s="1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56" t="s">
        <v>316</v>
      </c>
      <c r="C40" s="56" t="s">
        <v>399</v>
      </c>
      <c r="D40" s="11">
        <v>11</v>
      </c>
      <c r="E40" s="1" t="s">
        <v>316</v>
      </c>
      <c r="F40" s="1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56" t="s">
        <v>317</v>
      </c>
      <c r="C41" s="56" t="s">
        <v>399</v>
      </c>
      <c r="D41" s="11">
        <v>256</v>
      </c>
      <c r="E41" s="1" t="s">
        <v>317</v>
      </c>
      <c r="F41" s="1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56" t="s">
        <v>318</v>
      </c>
      <c r="C42" s="56" t="s">
        <v>399</v>
      </c>
      <c r="D42" s="11">
        <v>12</v>
      </c>
      <c r="E42" s="1" t="s">
        <v>318</v>
      </c>
      <c r="F42" s="1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56" t="s">
        <v>319</v>
      </c>
      <c r="C43" s="56" t="s">
        <v>399</v>
      </c>
      <c r="D43" s="11">
        <v>200</v>
      </c>
      <c r="E43" s="1" t="s">
        <v>319</v>
      </c>
      <c r="F43" s="1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56" t="s">
        <v>320</v>
      </c>
      <c r="C44" s="56" t="s">
        <v>399</v>
      </c>
      <c r="D44" s="11">
        <v>200</v>
      </c>
      <c r="E44" s="1" t="s">
        <v>320</v>
      </c>
      <c r="F44" s="1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56" t="s">
        <v>321</v>
      </c>
      <c r="C45" s="56" t="s">
        <v>399</v>
      </c>
      <c r="D45" s="11">
        <v>10</v>
      </c>
      <c r="E45" s="1" t="s">
        <v>321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56" t="s">
        <v>322</v>
      </c>
      <c r="C46" s="56" t="s">
        <v>399</v>
      </c>
      <c r="D46" s="11">
        <v>100</v>
      </c>
      <c r="E46" s="1" t="s">
        <v>322</v>
      </c>
      <c r="F46" s="1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56" t="s">
        <v>323</v>
      </c>
      <c r="C47" s="56" t="s">
        <v>398</v>
      </c>
      <c r="D47" s="11" t="s">
        <v>562</v>
      </c>
      <c r="E47" s="1" t="s">
        <v>323</v>
      </c>
      <c r="F47" s="1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56" t="s">
        <v>324</v>
      </c>
      <c r="C48" s="56" t="s">
        <v>398</v>
      </c>
      <c r="D48" s="11" t="s">
        <v>562</v>
      </c>
      <c r="E48" s="1" t="s">
        <v>324</v>
      </c>
      <c r="F48" s="1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1">
      <c r="B49" s="56" t="s">
        <v>325</v>
      </c>
      <c r="C49" s="56" t="s">
        <v>399</v>
      </c>
      <c r="D49" s="11">
        <v>200</v>
      </c>
      <c r="E49" s="1" t="s">
        <v>325</v>
      </c>
      <c r="F49" s="1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1">
      <c r="B50" s="56" t="s">
        <v>326</v>
      </c>
      <c r="C50" s="56" t="s">
        <v>399</v>
      </c>
      <c r="D50" s="11">
        <v>10</v>
      </c>
      <c r="E50" s="1" t="s">
        <v>326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1">
      <c r="B51" s="56" t="s">
        <v>327</v>
      </c>
      <c r="C51" s="56" t="s">
        <v>399</v>
      </c>
      <c r="D51" s="11">
        <v>1</v>
      </c>
      <c r="E51" s="1" t="s">
        <v>327</v>
      </c>
      <c r="F51" s="1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1">
      <c r="B52" s="56" t="s">
        <v>328</v>
      </c>
      <c r="C52" s="56" t="s">
        <v>399</v>
      </c>
      <c r="D52" s="11">
        <v>1</v>
      </c>
      <c r="E52" s="1" t="s">
        <v>328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1">
      <c r="B53" s="56" t="s">
        <v>329</v>
      </c>
      <c r="C53" s="56" t="s">
        <v>399</v>
      </c>
      <c r="D53" s="11">
        <v>1</v>
      </c>
      <c r="E53" s="1" t="s">
        <v>329</v>
      </c>
      <c r="F53" s="1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1">
      <c r="B54" s="56" t="s">
        <v>330</v>
      </c>
      <c r="C54" s="56" t="s">
        <v>398</v>
      </c>
      <c r="D54" s="11" t="s">
        <v>562</v>
      </c>
      <c r="E54" s="1" t="s">
        <v>330</v>
      </c>
      <c r="F54" s="1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1">
      <c r="B55" s="56" t="s">
        <v>331</v>
      </c>
      <c r="C55" s="56" t="s">
        <v>398</v>
      </c>
      <c r="D55" s="11" t="s">
        <v>562</v>
      </c>
      <c r="E55" s="1" t="s">
        <v>331</v>
      </c>
      <c r="F55" s="1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1">
      <c r="B56" s="56" t="s">
        <v>332</v>
      </c>
      <c r="C56" s="56" t="s">
        <v>398</v>
      </c>
      <c r="D56" s="11" t="s">
        <v>562</v>
      </c>
      <c r="E56" s="1" t="s">
        <v>332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1">
      <c r="B57" s="56" t="s">
        <v>333</v>
      </c>
      <c r="C57" s="56" t="s">
        <v>399</v>
      </c>
      <c r="D57" s="11">
        <v>10</v>
      </c>
      <c r="E57" s="1" t="s">
        <v>333</v>
      </c>
      <c r="F57" s="1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1">
      <c r="B58" s="56" t="s">
        <v>334</v>
      </c>
      <c r="C58" s="56" t="s">
        <v>399</v>
      </c>
      <c r="D58" s="54">
        <v>64</v>
      </c>
      <c r="E58" s="56" t="s">
        <v>334</v>
      </c>
      <c r="F58" s="54">
        <v>64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  <c r="K58" t="s">
        <v>564</v>
      </c>
    </row>
    <row r="59" spans="2:11">
      <c r="B59" s="56" t="s">
        <v>195</v>
      </c>
      <c r="C59" s="56" t="s">
        <v>405</v>
      </c>
      <c r="D59" s="11" t="s">
        <v>563</v>
      </c>
      <c r="E59" s="1" t="s">
        <v>195</v>
      </c>
      <c r="F59" s="1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1">
      <c r="B60" s="56" t="s">
        <v>196</v>
      </c>
      <c r="C60" s="56" t="s">
        <v>405</v>
      </c>
      <c r="D60" s="11" t="s">
        <v>298</v>
      </c>
      <c r="E60" s="1" t="s">
        <v>196</v>
      </c>
      <c r="F60" s="1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1">
      <c r="B61" s="56" t="s">
        <v>198</v>
      </c>
      <c r="C61" s="56" t="s">
        <v>405</v>
      </c>
      <c r="D61" s="11" t="s">
        <v>298</v>
      </c>
      <c r="E61" s="1" t="s">
        <v>198</v>
      </c>
      <c r="F61" s="1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1">
      <c r="B62" s="56" t="s">
        <v>199</v>
      </c>
      <c r="C62" s="56" t="s">
        <v>405</v>
      </c>
      <c r="D62" s="11" t="s">
        <v>298</v>
      </c>
      <c r="E62" s="1" t="s">
        <v>199</v>
      </c>
      <c r="F62" s="1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1">
      <c r="B63" s="56" t="s">
        <v>201</v>
      </c>
      <c r="C63" s="56" t="s">
        <v>405</v>
      </c>
      <c r="D63" s="11" t="s">
        <v>298</v>
      </c>
      <c r="E63" s="1" t="s">
        <v>201</v>
      </c>
      <c r="F63" s="1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1">
      <c r="B64" s="56" t="s">
        <v>335</v>
      </c>
      <c r="C64" s="56" t="s">
        <v>405</v>
      </c>
      <c r="D64" s="11" t="s">
        <v>298</v>
      </c>
      <c r="E64" s="1" t="s">
        <v>335</v>
      </c>
      <c r="F64" s="1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56" t="s">
        <v>336</v>
      </c>
      <c r="C65" s="56" t="s">
        <v>405</v>
      </c>
      <c r="D65" s="11" t="s">
        <v>563</v>
      </c>
      <c r="E65" s="1" t="s">
        <v>336</v>
      </c>
      <c r="F65" s="1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56" t="s">
        <v>337</v>
      </c>
      <c r="C66" s="56" t="s">
        <v>405</v>
      </c>
      <c r="D66" s="11" t="s">
        <v>298</v>
      </c>
      <c r="E66" s="1" t="s">
        <v>337</v>
      </c>
      <c r="F66" s="1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56" t="s">
        <v>338</v>
      </c>
      <c r="C67" s="56" t="s">
        <v>405</v>
      </c>
      <c r="D67" s="11" t="s">
        <v>563</v>
      </c>
      <c r="E67" s="1" t="s">
        <v>338</v>
      </c>
      <c r="F67" s="1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56" t="s">
        <v>205</v>
      </c>
      <c r="C68" s="56" t="s">
        <v>405</v>
      </c>
      <c r="D68" s="11" t="s">
        <v>563</v>
      </c>
      <c r="E68" s="1" t="s">
        <v>205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56" t="s">
        <v>209</v>
      </c>
      <c r="C69" s="56" t="s">
        <v>399</v>
      </c>
      <c r="D69" s="11">
        <v>8</v>
      </c>
      <c r="E69" s="1" t="s">
        <v>209</v>
      </c>
      <c r="F69" s="1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56" t="s">
        <v>210</v>
      </c>
      <c r="C70" s="56" t="s">
        <v>399</v>
      </c>
      <c r="D70" s="11">
        <v>50</v>
      </c>
      <c r="E70" s="1" t="s">
        <v>210</v>
      </c>
      <c r="F70" s="1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56" t="s">
        <v>51</v>
      </c>
      <c r="C71" s="56" t="s">
        <v>399</v>
      </c>
      <c r="D71" s="11">
        <v>100</v>
      </c>
      <c r="E71" s="1" t="s">
        <v>51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56" t="s">
        <v>52</v>
      </c>
      <c r="C72" s="56" t="s">
        <v>399</v>
      </c>
      <c r="D72" s="11">
        <v>100</v>
      </c>
      <c r="E72" s="1" t="s">
        <v>52</v>
      </c>
      <c r="F72" s="1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56" t="s">
        <v>53</v>
      </c>
      <c r="C73" s="56" t="s">
        <v>399</v>
      </c>
      <c r="D73" s="11">
        <v>100</v>
      </c>
      <c r="E73" s="1" t="s">
        <v>53</v>
      </c>
      <c r="F73" s="1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56" t="s">
        <v>54</v>
      </c>
      <c r="C74" s="56" t="s">
        <v>399</v>
      </c>
      <c r="D74" s="11">
        <v>100</v>
      </c>
      <c r="E74" s="1" t="s">
        <v>54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56" t="s">
        <v>55</v>
      </c>
      <c r="C75" s="56" t="s">
        <v>399</v>
      </c>
      <c r="D75" s="11">
        <v>100</v>
      </c>
      <c r="E75" s="1" t="s">
        <v>55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56" t="s">
        <v>56</v>
      </c>
      <c r="C76" s="56" t="s">
        <v>399</v>
      </c>
      <c r="D76" s="11">
        <v>100</v>
      </c>
      <c r="E76" s="1" t="s">
        <v>56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56" t="s">
        <v>57</v>
      </c>
      <c r="C77" s="56" t="s">
        <v>399</v>
      </c>
      <c r="D77" s="11">
        <v>100</v>
      </c>
      <c r="E77" s="1" t="s">
        <v>57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56" t="s">
        <v>58</v>
      </c>
      <c r="C78" s="56" t="s">
        <v>399</v>
      </c>
      <c r="D78" s="11">
        <v>100</v>
      </c>
      <c r="E78" s="1" t="s">
        <v>58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56" t="s">
        <v>59</v>
      </c>
      <c r="C79" s="56" t="s">
        <v>399</v>
      </c>
      <c r="D79" s="11">
        <v>100</v>
      </c>
      <c r="E79" s="1" t="s">
        <v>59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56" t="s">
        <v>60</v>
      </c>
      <c r="C80" s="56" t="s">
        <v>399</v>
      </c>
      <c r="D80" s="11">
        <v>100</v>
      </c>
      <c r="E80" s="1" t="s">
        <v>60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56" t="s">
        <v>61</v>
      </c>
      <c r="C81" s="56" t="s">
        <v>399</v>
      </c>
      <c r="D81" s="11">
        <v>100</v>
      </c>
      <c r="E81" s="1" t="s">
        <v>61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56" t="s">
        <v>62</v>
      </c>
      <c r="C82" s="56" t="s">
        <v>399</v>
      </c>
      <c r="D82" s="11">
        <v>100</v>
      </c>
      <c r="E82" s="1" t="s">
        <v>62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56" t="s">
        <v>63</v>
      </c>
      <c r="C83" s="56" t="s">
        <v>399</v>
      </c>
      <c r="D83" s="11">
        <v>100</v>
      </c>
      <c r="E83" s="1" t="s">
        <v>63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56" t="s">
        <v>64</v>
      </c>
      <c r="C84" s="56" t="s">
        <v>399</v>
      </c>
      <c r="D84" s="11">
        <v>100</v>
      </c>
      <c r="E84" s="1" t="s">
        <v>64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56" t="s">
        <v>65</v>
      </c>
      <c r="C85" s="56" t="s">
        <v>399</v>
      </c>
      <c r="D85" s="11">
        <v>100</v>
      </c>
      <c r="E85" s="1" t="s">
        <v>65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56" t="s">
        <v>66</v>
      </c>
      <c r="C86" s="56" t="s">
        <v>399</v>
      </c>
      <c r="D86" s="11">
        <v>100</v>
      </c>
      <c r="E86" s="1" t="s">
        <v>66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56" t="s">
        <v>67</v>
      </c>
      <c r="C87" s="56" t="s">
        <v>399</v>
      </c>
      <c r="D87" s="11">
        <v>100</v>
      </c>
      <c r="E87" s="1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56" t="s">
        <v>68</v>
      </c>
      <c r="C88" s="56" t="s">
        <v>399</v>
      </c>
      <c r="D88" s="11">
        <v>100</v>
      </c>
      <c r="E88" s="1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56" t="s">
        <v>69</v>
      </c>
      <c r="C89" s="56" t="s">
        <v>399</v>
      </c>
      <c r="D89" s="11">
        <v>100</v>
      </c>
      <c r="E89" s="1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56" t="s">
        <v>70</v>
      </c>
      <c r="C90" s="56" t="s">
        <v>399</v>
      </c>
      <c r="D90" s="11">
        <v>100</v>
      </c>
      <c r="E90" s="1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56" t="s">
        <v>71</v>
      </c>
      <c r="C91" s="56" t="s">
        <v>399</v>
      </c>
      <c r="D91" s="11">
        <v>50</v>
      </c>
      <c r="E91" s="1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56" t="s">
        <v>297</v>
      </c>
      <c r="C92" s="56" t="s">
        <v>399</v>
      </c>
      <c r="D92" s="11">
        <v>20</v>
      </c>
      <c r="E92" s="1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56" t="s">
        <v>86</v>
      </c>
      <c r="C93" s="56" t="s">
        <v>399</v>
      </c>
      <c r="D93" s="11">
        <v>500</v>
      </c>
      <c r="E93" s="31" t="s">
        <v>86</v>
      </c>
      <c r="F93" s="1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56" t="s">
        <v>436</v>
      </c>
      <c r="C94" s="56" t="s">
        <v>399</v>
      </c>
      <c r="D94" s="11">
        <v>100</v>
      </c>
      <c r="E94" s="31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56" t="s">
        <v>437</v>
      </c>
      <c r="C95" s="56" t="s">
        <v>399</v>
      </c>
      <c r="D95" s="11">
        <v>100</v>
      </c>
      <c r="E95" s="31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56" t="s">
        <v>438</v>
      </c>
      <c r="C96" s="56" t="s">
        <v>399</v>
      </c>
      <c r="D96" s="11">
        <v>100</v>
      </c>
      <c r="E96" s="31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56" t="s">
        <v>439</v>
      </c>
      <c r="C97" s="56" t="s">
        <v>399</v>
      </c>
      <c r="D97" s="11">
        <v>100</v>
      </c>
      <c r="E97" s="31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56" t="s">
        <v>440</v>
      </c>
      <c r="C98" s="56" t="s">
        <v>399</v>
      </c>
      <c r="D98" s="11">
        <v>100</v>
      </c>
      <c r="E98" s="31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56" t="s">
        <v>441</v>
      </c>
      <c r="C99" s="56" t="s">
        <v>399</v>
      </c>
      <c r="D99" s="11">
        <v>100</v>
      </c>
      <c r="E99" s="31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56" t="s">
        <v>442</v>
      </c>
      <c r="C100" s="56" t="s">
        <v>399</v>
      </c>
      <c r="D100" s="11">
        <v>100</v>
      </c>
      <c r="E100" s="31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56" t="s">
        <v>443</v>
      </c>
      <c r="C101" s="56" t="s">
        <v>399</v>
      </c>
      <c r="D101" s="11">
        <v>100</v>
      </c>
      <c r="E101" s="31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56" t="s">
        <v>444</v>
      </c>
      <c r="C102" s="56" t="s">
        <v>399</v>
      </c>
      <c r="D102" s="11">
        <v>100</v>
      </c>
      <c r="E102" s="31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56" t="s">
        <v>445</v>
      </c>
      <c r="C103" s="56" t="s">
        <v>399</v>
      </c>
      <c r="D103" s="11">
        <v>100</v>
      </c>
      <c r="E103" s="31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56" t="s">
        <v>446</v>
      </c>
      <c r="C104" s="56" t="s">
        <v>399</v>
      </c>
      <c r="D104" s="11">
        <v>100</v>
      </c>
      <c r="E104" s="31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56" t="s">
        <v>447</v>
      </c>
      <c r="C105" s="56" t="s">
        <v>399</v>
      </c>
      <c r="D105" s="11">
        <v>100</v>
      </c>
      <c r="E105" s="31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56" t="s">
        <v>448</v>
      </c>
      <c r="C106" s="56" t="s">
        <v>399</v>
      </c>
      <c r="D106" s="11">
        <v>100</v>
      </c>
      <c r="E106" s="31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56" t="s">
        <v>449</v>
      </c>
      <c r="C107" s="56" t="s">
        <v>399</v>
      </c>
      <c r="D107" s="11">
        <v>100</v>
      </c>
      <c r="E107" s="31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56" t="s">
        <v>450</v>
      </c>
      <c r="C108" s="56" t="s">
        <v>399</v>
      </c>
      <c r="D108" s="11">
        <v>100</v>
      </c>
      <c r="E108" s="31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56" t="s">
        <v>451</v>
      </c>
      <c r="C109" s="56" t="s">
        <v>399</v>
      </c>
      <c r="D109" s="11">
        <v>100</v>
      </c>
      <c r="E109" s="31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56" t="s">
        <v>452</v>
      </c>
      <c r="C110" s="56" t="s">
        <v>399</v>
      </c>
      <c r="D110" s="11">
        <v>100</v>
      </c>
      <c r="E110" s="31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56" t="s">
        <v>453</v>
      </c>
      <c r="C111" s="56" t="s">
        <v>399</v>
      </c>
      <c r="D111" s="11">
        <v>100</v>
      </c>
      <c r="E111" s="31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56" t="s">
        <v>454</v>
      </c>
      <c r="C112" s="56" t="s">
        <v>399</v>
      </c>
      <c r="D112" s="11">
        <v>100</v>
      </c>
      <c r="E112" s="31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56" t="s">
        <v>455</v>
      </c>
      <c r="C113" s="56" t="s">
        <v>399</v>
      </c>
      <c r="D113" s="11">
        <v>100</v>
      </c>
      <c r="E113" s="31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6" t="s">
        <v>83</v>
      </c>
      <c r="C2" s="56" t="s">
        <v>398</v>
      </c>
      <c r="D2" s="11" t="s">
        <v>562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6" t="s">
        <v>71</v>
      </c>
      <c r="C3" s="56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427856</v>
      </c>
      <c r="M3" s="19">
        <v>381206</v>
      </c>
      <c r="N3" s="22">
        <f>L3-M3</f>
        <v>46650</v>
      </c>
    </row>
    <row r="4" spans="2:15">
      <c r="B4" s="56" t="s">
        <v>339</v>
      </c>
      <c r="C4" s="56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56" t="s">
        <v>340</v>
      </c>
      <c r="C5" s="56" t="s">
        <v>399</v>
      </c>
      <c r="D5" s="11">
        <v>30</v>
      </c>
      <c r="E5" s="1" t="s">
        <v>340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>
      <c r="B6" s="56" t="s">
        <v>341</v>
      </c>
      <c r="C6" s="56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>
      <c r="B7" s="56" t="s">
        <v>342</v>
      </c>
      <c r="C7" s="56" t="s">
        <v>400</v>
      </c>
      <c r="D7" s="11" t="s">
        <v>562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>
      <c r="B8" s="56" t="s">
        <v>343</v>
      </c>
      <c r="C8" s="56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7">
        <f>IF(M3=0,0%,N3/M3)</f>
        <v>0.12237477899088682</v>
      </c>
    </row>
    <row r="9" spans="2:15">
      <c r="B9" s="56" t="s">
        <v>344</v>
      </c>
      <c r="C9" s="56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39">
        <f>File_Size_Comparision!F12</f>
        <v>0.10183662280701745</v>
      </c>
    </row>
    <row r="10" spans="2:15">
      <c r="B10" s="56" t="s">
        <v>345</v>
      </c>
      <c r="C10" s="56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56" t="s">
        <v>346</v>
      </c>
      <c r="C11" s="56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56" t="s">
        <v>347</v>
      </c>
      <c r="C12" s="56" t="s">
        <v>400</v>
      </c>
      <c r="D12" s="11" t="s">
        <v>562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56" t="s">
        <v>348</v>
      </c>
      <c r="C13" s="56" t="s">
        <v>400</v>
      </c>
      <c r="D13" s="11" t="s">
        <v>562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56" t="s">
        <v>349</v>
      </c>
      <c r="C14" s="56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56" t="s">
        <v>350</v>
      </c>
      <c r="C15" s="56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6" t="s">
        <v>83</v>
      </c>
      <c r="C2" s="56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6" t="s">
        <v>84</v>
      </c>
      <c r="C3" s="56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17705</v>
      </c>
      <c r="M3" s="19">
        <v>17524</v>
      </c>
      <c r="N3" s="22">
        <f>L3-M3</f>
        <v>181</v>
      </c>
    </row>
    <row r="4" spans="2:15">
      <c r="B4" s="56" t="s">
        <v>85</v>
      </c>
      <c r="C4" s="56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6" t="s">
        <v>71</v>
      </c>
      <c r="C5" s="56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6" t="s">
        <v>0</v>
      </c>
      <c r="C6" s="56" t="s">
        <v>399</v>
      </c>
      <c r="D6" s="11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6" t="s">
        <v>89</v>
      </c>
      <c r="C7" s="56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6" t="s">
        <v>90</v>
      </c>
      <c r="C8" s="56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7">
        <f>IF(M3=0,0%,N3/M3)</f>
        <v>1.032869207943392E-2</v>
      </c>
    </row>
    <row r="9" spans="2:15">
      <c r="B9" s="56" t="s">
        <v>91</v>
      </c>
      <c r="C9" s="56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39">
        <f>File_Size_Comparision!F13</f>
        <v>1.0830324909747223E-2</v>
      </c>
    </row>
    <row r="10" spans="2:15">
      <c r="B10" s="56" t="s">
        <v>92</v>
      </c>
      <c r="C10" s="56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6" t="s">
        <v>93</v>
      </c>
      <c r="C11" s="56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6" t="s">
        <v>94</v>
      </c>
      <c r="C12" s="56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6" t="s">
        <v>95</v>
      </c>
      <c r="C13" s="56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6" t="s">
        <v>96</v>
      </c>
      <c r="C14" s="56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6" t="s">
        <v>97</v>
      </c>
      <c r="C15" s="56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6" t="s">
        <v>98</v>
      </c>
      <c r="C16" s="56" t="s">
        <v>399</v>
      </c>
      <c r="D16" s="11">
        <v>50</v>
      </c>
      <c r="E16" s="1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6" t="s">
        <v>99</v>
      </c>
      <c r="C17" s="56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6" t="s">
        <v>100</v>
      </c>
      <c r="C18" s="56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6" t="s">
        <v>101</v>
      </c>
      <c r="C19" s="56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6" t="s">
        <v>102</v>
      </c>
      <c r="C20" s="56" t="s">
        <v>399</v>
      </c>
      <c r="D20" s="11">
        <v>50</v>
      </c>
      <c r="E20" s="1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6" t="s">
        <v>103</v>
      </c>
      <c r="C21" s="56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6" t="s">
        <v>104</v>
      </c>
      <c r="C22" s="56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6" t="s">
        <v>105</v>
      </c>
      <c r="C23" s="56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6" t="s">
        <v>106</v>
      </c>
      <c r="C24" s="56" t="s">
        <v>399</v>
      </c>
      <c r="D24" s="11">
        <v>50</v>
      </c>
      <c r="E24" s="1" t="s">
        <v>106</v>
      </c>
      <c r="F24" s="11">
        <v>6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6" t="s">
        <v>107</v>
      </c>
      <c r="C25" s="56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6" t="s">
        <v>108</v>
      </c>
      <c r="C26" s="56" t="s">
        <v>399</v>
      </c>
      <c r="D26" s="11">
        <v>50</v>
      </c>
      <c r="E26" s="1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6" t="s">
        <v>83</v>
      </c>
      <c r="C2" s="56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6" t="s">
        <v>84</v>
      </c>
      <c r="C3" s="56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109154</v>
      </c>
      <c r="M3" s="19">
        <v>96620</v>
      </c>
      <c r="N3" s="22">
        <f>L3-M3</f>
        <v>12534</v>
      </c>
    </row>
    <row r="4" spans="2:15">
      <c r="B4" s="56" t="s">
        <v>85</v>
      </c>
      <c r="C4" s="56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6" t="s">
        <v>71</v>
      </c>
      <c r="C5" s="56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56" t="s">
        <v>0</v>
      </c>
      <c r="C6" s="56" t="s">
        <v>399</v>
      </c>
      <c r="D6" s="11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>
      <c r="B7" s="56" t="s">
        <v>351</v>
      </c>
      <c r="C7" s="56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>
      <c r="B8" s="56" t="s">
        <v>352</v>
      </c>
      <c r="C8" s="56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7">
        <f>IF(M3=0,0%,N3/M3)</f>
        <v>0.12972469468019043</v>
      </c>
    </row>
    <row r="9" spans="2:15">
      <c r="B9" s="56" t="s">
        <v>353</v>
      </c>
      <c r="C9" s="56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39">
        <f>File_Size_Comparision!F14</f>
        <v>0.11615720524017469</v>
      </c>
    </row>
    <row r="10" spans="2:15">
      <c r="B10" s="56" t="s">
        <v>354</v>
      </c>
      <c r="C10" s="56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56" t="s">
        <v>355</v>
      </c>
      <c r="C11" s="56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56" t="s">
        <v>356</v>
      </c>
      <c r="C12" s="56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56" t="s">
        <v>459</v>
      </c>
      <c r="C13" s="32" t="s">
        <v>399</v>
      </c>
      <c r="D13" s="11">
        <v>1</v>
      </c>
      <c r="E13" s="31" t="s">
        <v>528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asshrestha</cp:lastModifiedBy>
  <dcterms:created xsi:type="dcterms:W3CDTF">2013-12-03T07:41:54Z</dcterms:created>
  <dcterms:modified xsi:type="dcterms:W3CDTF">2017-01-31T08:32:03Z</dcterms:modified>
</cp:coreProperties>
</file>