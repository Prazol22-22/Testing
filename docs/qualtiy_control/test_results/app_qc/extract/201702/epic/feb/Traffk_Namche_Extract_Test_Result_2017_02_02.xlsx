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I7" i="14"/>
  <c r="H7"/>
  <c r="I3"/>
  <c r="H3"/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N3"/>
  <c r="M8" s="1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N2"/>
  <c r="M7" s="1"/>
  <c r="J2"/>
  <c r="I2"/>
  <c r="H2"/>
  <c r="F7" i="14" l="1"/>
  <c r="M9" i="19" s="1"/>
  <c r="F3" i="14"/>
  <c r="G3" s="1"/>
  <c r="G6" i="19"/>
  <c r="G16"/>
  <c r="G2"/>
  <c r="G7"/>
  <c r="G21"/>
  <c r="G12"/>
  <c r="G20"/>
  <c r="G2" i="18"/>
  <c r="G3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G5" i="18"/>
  <c r="G11"/>
  <c r="G15"/>
  <c r="G19"/>
  <c r="G6"/>
  <c r="G12"/>
  <c r="G16"/>
  <c r="N2" i="16"/>
  <c r="M7" s="1"/>
  <c r="N3" i="9"/>
  <c r="M8" s="1"/>
  <c r="M8" i="18" l="1"/>
  <c r="M5"/>
  <c r="G15" i="3" s="1"/>
  <c r="G7" i="14"/>
  <c r="M6" i="19"/>
  <c r="G24" i="3" s="1"/>
  <c r="N4" i="17"/>
  <c r="M10" s="1"/>
  <c r="N3"/>
  <c r="M9" s="1"/>
  <c r="G31" i="3" s="1"/>
  <c r="N2" i="15"/>
  <c r="M7" s="1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F14" i="14" l="1"/>
  <c r="G14" s="1"/>
  <c r="F12"/>
  <c r="G12" s="1"/>
  <c r="F13"/>
  <c r="G13" s="1"/>
  <c r="M8" i="17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9" i="11" l="1"/>
  <c r="M9" i="12"/>
  <c r="G9" i="15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G8"/>
  <c r="M5" l="1"/>
  <c r="G17" i="3" s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H6"/>
  <c r="H8"/>
  <c r="H9"/>
  <c r="H10"/>
  <c r="H11"/>
  <c r="H4"/>
  <c r="F5" l="1"/>
  <c r="G5" i="13"/>
  <c r="G11"/>
  <c r="G9"/>
  <c r="G7"/>
  <c r="G3"/>
  <c r="F11" i="14"/>
  <c r="G11" s="1"/>
  <c r="F10"/>
  <c r="G10" s="1"/>
  <c r="F9"/>
  <c r="M11" i="17" s="1"/>
  <c r="F6" i="14"/>
  <c r="G6" s="1"/>
  <c r="F8"/>
  <c r="M10" i="7" s="1"/>
  <c r="M10" i="2"/>
  <c r="G5" i="14"/>
  <c r="F4"/>
  <c r="M8" i="15" s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9" i="14" l="1"/>
  <c r="G8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<sst xmlns="http://schemas.openxmlformats.org/spreadsheetml/2006/main" count="2271" uniqueCount="569">
  <si>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</si>
  <si>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</si>
  <si>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</si>
  <si>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</si>
  <si>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</si>
  <si>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</si>
  <si>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</si>
  <si>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</si>
  <si>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</si>
  <si>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</si>
  <si>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</si>
  <si>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</si>
  <si>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</si>
  <si>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</si>
  <si>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</si>
  <si>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</si>
  <si>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</si>
  <si>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</si>
  <si>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</si>
  <si>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</si>
  <si>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</si>
  <si>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</si>
  <si>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</si>
  <si>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</si>
  <si>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</si>
  <si>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</si>
  <si>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</si>
  <si>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</si>
  <si>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</si>
  <si>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</si>
  <si>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</si>
  <si>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</si>
  <si>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</si>
  <si>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</si>
  <si>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</si>
  <si>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</si>
  <si>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</si>
  <si>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</si>
  <si>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</si>
  <si>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</si>
  <si>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</si>
  <si>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</si>
  <si>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</si>
  <si>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</si>
  <si>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</si>
  <si>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</si>
  <si>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</si>
  <si>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</si>
  <si>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</si>
  <si>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</si>
  <si>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</si>
  <si>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</si>
  <si>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</si>
  <si>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</si>
  <si>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</si>
  <si>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</si>
  <si>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</si>
  <si>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</si>
  <si>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</si>
  <si>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</si>
  <si>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</si>
  <si>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</si>
  <si>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</si>
  <si>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</si>
  <si>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</si>
  <si>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</si>
  <si>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</si>
  <si>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</si>
  <si>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</si>
  <si>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</si>
  <si>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</si>
  <si>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</si>
  <si>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</si>
  <si>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</si>
  <si>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</si>
  <si>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</si>
  <si>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</si>
  <si>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</si>
  <si>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</si>
  <si>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</si>
  <si>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</si>
  <si>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</si>
  <si>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</si>
  <si>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</si>
  <si>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</si>
  <si>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</si>
  <si>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</si>
  <si>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</si>
  <si>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</si>
  <si>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</si>
  <si>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</si>
  <si>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</si>
  <si>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</si>
  <si>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</si>
  <si>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</si>
  <si>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</si>
  <si>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</si>
  <si>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</si>
  <si>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</si>
  <si>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</si>
  <si>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</si>
  <si>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</si>
  <si>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</si>
  <si>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</si>
  <si>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</si>
  <si>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</si>
  <si>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</si>
  <si>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</si>
  <si>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</si>
  <si>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</si>
  <si>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</si>
  <si>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</si>
  <si>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</si>
  <si>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</si>
  <si>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</si>
  <si>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</si>
  <si>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</si>
  <si>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</si>
  <si>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</si>
  <si>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</si>
  <si>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</si>
  <si>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</si>
  <si>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</si>
  <si>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</si>
  <si>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</si>
  <si>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</si>
  <si>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</si>
  <si>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</si>
  <si>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</si>
  <si>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</si>
  <si>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</si>
  <si>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</si>
  <si>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</si>
  <si>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</si>
  <si>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</si>
  <si>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</si>
  <si>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</si>
  <si>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</si>
  <si>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</si>
  <si>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</si>
  <si>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</si>
  <si>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</si>
  <si>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</si>
  <si>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</si>
  <si>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</si>
  <si>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</si>
  <si>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</si>
  <si>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</si>
  <si>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</si>
  <si>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</si>
  <si>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</si>
  <si>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</si>
  <si>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</si>
  <si>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</si>
  <si>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</si>
  <si>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</si>
  <si>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</si>
  <si>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</si>
  <si>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</si>
  <si>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</si>
  <si>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</si>
  <si>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</si>
  <si>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</si>
  <si>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</si>
  <si>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</si>
  <si>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</si>
  <si>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</si>
  <si>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</si>
  <si>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</si>
  <si>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</si>
  <si>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</si>
  <si>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</si>
  <si>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</si>
  <si>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</si>
  <si>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</si>
  <si>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</si>
  <si>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</si>
  <si>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</si>
  <si>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</si>
  <si>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</si>
  <si>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</si>
  <si>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</si>
  <si>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</si>
  <si>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</si>
  <si>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</si>
  <si>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</si>
  <si>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</si>
  <si>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</si>
  <si>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</si>
  <si>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</si>
  <si>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</si>
  <si>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</si>
  <si>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</si>
  <si>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</si>
  <si>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</si>
  <si>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</si>
  <si>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</si>
  <si>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</si>
  <si>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</si>
  <si>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</si>
  <si>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</si>
  <si>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</si>
  <si>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</si>
  <si>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</si>
  <si>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</si>
  <si>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</si>
  <si>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</si>
  <si>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</si>
  <si>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</si>
  <si>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</si>
  <si>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</si>
  <si>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</si>
  <si>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</si>
  <si>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</si>
  <si>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</si>
  <si>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</si>
  <si>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</si>
  <si>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</si>
  <si>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</si>
  <si>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</si>
  <si>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</si>
  <si>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</si>
  <si>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</si>
  <si>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</si>
  <si>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</si>
  <si>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</si>
  <si>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</si>
  <si>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</si>
  <si>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</si>
  <si>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</si>
  <si>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</si>
  <si>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</si>
  <si>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</si>
  <si>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</si>
  <si>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</si>
  <si>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</si>
  <si>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</si>
  <si>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</si>
  <si>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</si>
  <si>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</si>
  <si>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</si>
  <si>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</si>
  <si>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</si>
  <si>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</si>
  <si>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</si>
  <si>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</si>
  <si>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</si>
  <si>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</si>
  <si>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</si>
  <si>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</si>
  <si>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</si>
  <si>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</si>
  <si>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</si>
  <si>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</si>
  <si>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</si>
  <si>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</si>
  <si>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</si>
  <si>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</si>
  <si>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</si>
  <si>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</si>
  <si>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</si>
  <si>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</si>
  <si>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</si>
  <si>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</si>
  <si>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</si>
  <si>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</si>
  <si>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</si>
  <si>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</si>
  <si>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</si>
  <si>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</si>
  <si>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</si>
  <si>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</si>
  <si>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</si>
  <si>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</si>
  <si>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</si>
  <si>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</si>
  <si>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</si>
  <si>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</si>
  <si>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</si>
  <si>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</si>
  <si>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</si>
  <si>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</si>
  <si>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</si>
  <si>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</si>
  <si>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</si>
  <si>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</si>
  <si>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</si>
  <si>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</si>
  <si>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</si>
  <si>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</si>
  <si>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</si>
  <si>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</si>
  <si>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</si>
  <si>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</si>
  <si>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</si>
  <si>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</si>
  <si>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</si>
  <si>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</si>
  <si>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</si>
  <si>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</si>
  <si>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</si>
  <si>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</si>
  <si>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</si>
  <si>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</si>
  <si>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</si>
  <si>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</si>
  <si>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</si>
  <si>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</si>
  <si>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</si>
  <si>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</si>
  <si>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</si>
  <si>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</si>
  <si>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</si>
  <si>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</si>
  <si>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</si>
  <si>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</si>
  <si>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</si>
  <si>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</si>
  <si>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</si>
  <si>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</si>
  <si>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</si>
  <si>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</si>
  <si>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</si>
  <si>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</si>
  <si>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</si>
  <si>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</si>
  <si>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</si>
  <si>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</si>
  <si>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</si>
  <si>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</si>
  <si>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</si>
  <si>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</si>
  <si>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</si>
  <si>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</si>
  <si>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</si>
  <si>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</si>
  <si>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</si>
  <si>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</si>
  <si>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</si>
  <si>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</si>
  <si>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</si>
  <si>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</si>
  <si>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</si>
  <si>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</si>
  <si>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</si>
  <si>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</si>
  <si>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</si>
  <si>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</si>
  <si>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</si>
  <si>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</si>
  <si>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</si>
  <si>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</si>
  <si>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</si>
  <si>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</si>
  <si>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</si>
  <si>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</si>
  <si>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</si>
  <si>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</si>
  <si>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</si>
  <si>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</si>
  <si>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</si>
  <si>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</si>
  <si>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</si>
  <si>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</si>
  <si>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</si>
  <si>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</si>
  <si>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</si>
  <si>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</si>
  <si>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</si>
  <si>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</si>
  <si>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</si>
  <si>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</si>
  <si>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</si>
  <si>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</si>
  <si>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</si>
  <si>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</si>
  <si>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</si>
  <si>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</si>
  <si>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</si>
  <si>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</si>
  <si>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</si>
  <si>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</si>
  <si>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</si>
  <si>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</si>
  <si>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</si>
  <si>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</si>
  <si>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</si>
  <si>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</si>
  <si>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</si>
  <si>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</si>
  <si>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</si>
  <si>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</si>
  <si>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</si>
  <si>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</si>
  <si>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</si>
  <si>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</si>
  <si>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</si>
  <si>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</si>
  <si>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</si>
  <si>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</si>
  <si>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</si>
  <si>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</si>
  <si>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</si>
  <si>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</si>
  <si>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</si>
  <si>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</si>
  <si>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</si>
  <si>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</si>
  <si>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</si>
  <si>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</si>
  <si>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</si>
  <si>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</si>
  <si>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</si>
  <si>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</si>
  <si>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</si>
  <si>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</si>
  <si>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</si>
  <si>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</si>
  <si>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</si>
  <si>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</si>
  <si>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</si>
  <si>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</si>
  <si>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</si>
  <si>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</si>
  <si>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</si>
  <si>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</si>
  <si>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</si>
  <si>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</si>
  <si>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</si>
  <si>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</si>
  <si>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</si>
  <si>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</si>
  <si>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</si>
  <si>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</si>
  <si>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</si>
  <si>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</si>
  <si>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</si>
  <si>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</si>
  <si>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</si>
  <si>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</si>
  <si>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</si>
  <si>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</si>
  <si>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</si>
  <si>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</si>
  <si>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</si>
  <si>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</si>
  <si>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</si>
  <si>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</si>
  <si>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</si>
  <si>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</si>
  <si>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</si>
  <si>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</si>
  <si>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</si>
  <si>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</si>
  <si>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</si>
  <si>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</si>
  <si>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</si>
  <si>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</si>
  <si>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</si>
  <si>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</si>
  <si>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</si>
  <si>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</si>
  <si>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</si>
  <si>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</si>
  <si>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</si>
  <si>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</si>
  <si>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</si>
  <si>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</si>
  <si>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</si>
  <si>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</si>
  <si>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</si>
  <si>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</si>
  <si>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</si>
  <si>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</si>
  <si>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</si>
  <si>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</si>
  <si>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</si>
  <si>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</si>
  <si>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</si>
  <si>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</si>
  <si>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</si>
  <si>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</si>
  <si>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</si>
  <si>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</si>
  <si>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</si>
  <si>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</si>
  <si>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</si>
  <si>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</si>
  <si>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</si>
  <si>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</si>
  <si>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</si>
  <si>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</si>
  <si>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</si>
  <si>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</si>
  <si>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</si>
  <si>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</si>
  <si>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</si>
  <si>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</si>
  <si>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</si>
  <si>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</si>
  <si>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</si>
  <si>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</si>
  <si>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</si>
  <si>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</si>
  <si>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</si>
  <si>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</si>
  <si>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151 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</si>
  <si>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</si>
  <si>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</si>
  <si>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</si>
  <si>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</si>
  <si>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</si>
  <si>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</si>
  <si>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</si>
  <si>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</si>
  <si>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</si>
  <si>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</si>
  <si>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</si>
  <si>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</si>
  <si>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</si>
  <si>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</si>
  <si>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</si>
  <si>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</si>
  <si>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</si>
  <si>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</si>
  <si>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</si>
  <si>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</si>
  <si>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</si>
  <si>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</si>
  <si>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</si>
  <si>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</si>
  <si>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</si>
  <si>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</si>
  <si>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</si>
  <si>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</si>
  <si>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</si>
  <si>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</si>
  <si>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</si>
  <si>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</si>
  <si>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</si>
  <si>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</si>
  <si>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</si>
  <si>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</si>
  <si>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</si>
  <si>
    <t>AchyutB</t>
  </si>
  <si>
    <t>3.94 MB</t>
  </si>
  <si>
    <t>1.57 MB</t>
  </si>
  <si>
    <t>76.84 MB</t>
  </si>
  <si>
    <t>721.89 KB</t>
  </si>
  <si>
    <t>585.07 KB</t>
  </si>
  <si>
    <t>479.89 MB</t>
  </si>
  <si>
    <t>151 Byte</t>
  </si>
  <si>
    <t>634.09 KB</t>
  </si>
  <si>
    <t>48.84 MB</t>
  </si>
  <si>
    <t>18.82 MB</t>
  </si>
  <si>
    <t>6.01 MB</t>
  </si>
  <si>
    <t>3.96 MB</t>
  </si>
  <si>
    <t>1.58 MB</t>
  </si>
  <si>
    <t>89.56 MB</t>
  </si>
  <si>
    <t>719.15 KB</t>
  </si>
  <si>
    <t>1.13 MB</t>
  </si>
  <si>
    <t>0.58 MB</t>
  </si>
  <si>
    <t>500.43 MB</t>
  </si>
  <si>
    <t>635.58 KB</t>
  </si>
  <si>
    <t>52.38 MB</t>
  </si>
  <si>
    <t>19.32 MB</t>
  </si>
  <si>
    <t>574.77 KB</t>
  </si>
  <si>
    <t>6.25 MB</t>
  </si>
  <si>
    <t>Partially Pass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</si>
</sst>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>
      <selection activeCell="B1" sqref="B1:G1"/>
    </sheetView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60" t="s">
        <v>386</v>
      </c>
      <c r="C1" s="60"/>
      <c r="D1" s="60"/>
      <c r="E1" s="60"/>
      <c r="F1" s="60"/>
      <c r="G1" s="60"/>
    </row>
    <row r="2" spans="2:7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62" t="s">
        <v>387</v>
      </c>
      <c r="C8" s="63"/>
      <c r="D8" s="63"/>
      <c r="E8" s="63"/>
      <c r="F8" s="63"/>
      <c r="G8" s="64"/>
    </row>
    <row r="9" spans="2:7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>
      <c r="B10" s="9">
        <v>42768</v>
      </c>
      <c r="C10" s="9">
        <v>42768</v>
      </c>
      <c r="D10" s="29" t="s">
        <v>503</v>
      </c>
      <c r="E10" s="7" t="s">
        <v>544</v>
      </c>
      <c r="F10" s="29" t="s">
        <v>568</v>
      </c>
      <c r="G10" s="8"/>
    </row>
    <row r="12" spans="2:7">
      <c r="B12" s="60" t="s">
        <v>388</v>
      </c>
      <c r="C12" s="60"/>
      <c r="D12" s="60"/>
      <c r="E12" s="60"/>
      <c r="F12" s="60"/>
      <c r="G12" s="60"/>
    </row>
    <row r="13" spans="2:7">
      <c r="B13" s="15" t="s">
        <v>361</v>
      </c>
      <c r="C13" s="61" t="s">
        <v>362</v>
      </c>
      <c r="D13" s="61"/>
      <c r="E13" s="61"/>
      <c r="F13" s="61"/>
      <c r="G13" s="15" t="s">
        <v>360</v>
      </c>
    </row>
    <row r="14" spans="2:7">
      <c r="B14" s="1" t="s">
        <v>363</v>
      </c>
      <c r="C14" s="59" t="s">
        <v>373</v>
      </c>
      <c r="D14" s="59"/>
      <c r="E14" s="59"/>
      <c r="F14" s="59"/>
      <c r="G14" s="11" t="str">
        <f>File_Size_Comparision!L2</f>
        <v>Fail</v>
      </c>
    </row>
    <row r="15" spans="2:7">
      <c r="B15" s="50" t="s">
        <v>364</v>
      </c>
      <c r="C15" s="59" t="s">
        <v>520</v>
      </c>
      <c r="D15" s="59"/>
      <c r="E15" s="59"/>
      <c r="F15" s="59"/>
      <c r="G15" s="11" t="str">
        <f>Care_Alerts!M5</f>
        <v>Pass</v>
      </c>
    </row>
    <row r="16" spans="2:7">
      <c r="B16" s="50" t="s">
        <v>365</v>
      </c>
      <c r="C16" s="59" t="s">
        <v>521</v>
      </c>
      <c r="D16" s="59"/>
      <c r="E16" s="59"/>
      <c r="F16" s="59"/>
      <c r="G16" s="11" t="str">
        <f>Care_Alerts!M6</f>
        <v>Pass</v>
      </c>
    </row>
    <row r="17" spans="2:7">
      <c r="B17" s="50" t="s">
        <v>366</v>
      </c>
      <c r="C17" s="59" t="s">
        <v>476</v>
      </c>
      <c r="D17" s="59"/>
      <c r="E17" s="59"/>
      <c r="F17" s="59"/>
      <c r="G17" s="11" t="str">
        <f>Demographics!M5</f>
        <v>Pass</v>
      </c>
    </row>
    <row r="18" spans="2:7">
      <c r="B18" s="50" t="s">
        <v>367</v>
      </c>
      <c r="C18" s="59" t="s">
        <v>477</v>
      </c>
      <c r="D18" s="59"/>
      <c r="E18" s="59"/>
      <c r="F18" s="59"/>
      <c r="G18" s="11" t="str">
        <f>Demographics!M6</f>
        <v>Pass</v>
      </c>
    </row>
    <row r="19" spans="2:7">
      <c r="B19" s="50" t="s">
        <v>368</v>
      </c>
      <c r="C19" s="59" t="s">
        <v>414</v>
      </c>
      <c r="D19" s="59"/>
      <c r="E19" s="59"/>
      <c r="F19" s="59"/>
      <c r="G19" s="11" t="str">
        <f>Eligibility!M6</f>
        <v>Pass</v>
      </c>
    </row>
    <row r="20" spans="2:7">
      <c r="B20" s="50" t="s">
        <v>369</v>
      </c>
      <c r="C20" s="59" t="s">
        <v>415</v>
      </c>
      <c r="D20" s="59"/>
      <c r="E20" s="59"/>
      <c r="F20" s="59"/>
      <c r="G20" s="11" t="str">
        <f>Eligibility!M7</f>
        <v>Pass</v>
      </c>
    </row>
    <row r="21" spans="2:7">
      <c r="B21" s="50" t="s">
        <v>370</v>
      </c>
      <c r="C21" s="59" t="s">
        <v>469</v>
      </c>
      <c r="D21" s="59"/>
      <c r="E21" s="59"/>
      <c r="F21" s="59"/>
      <c r="G21" s="11" t="str">
        <f>Eligibility!M8</f>
        <v>Pass</v>
      </c>
    </row>
    <row r="22" spans="2:7">
      <c r="B22" s="50" t="s">
        <v>371</v>
      </c>
      <c r="C22" s="59" t="s">
        <v>482</v>
      </c>
      <c r="D22" s="59"/>
      <c r="E22" s="59"/>
      <c r="F22" s="59"/>
      <c r="G22" s="11" t="str">
        <f>High_Cost!M5</f>
        <v>Pass</v>
      </c>
    </row>
    <row r="23" spans="2:7">
      <c r="B23" s="50" t="s">
        <v>372</v>
      </c>
      <c r="C23" s="59" t="s">
        <v>483</v>
      </c>
      <c r="D23" s="59"/>
      <c r="E23" s="59"/>
      <c r="F23" s="59"/>
      <c r="G23" s="11" t="str">
        <f>High_Cost!M6</f>
        <v>Pass</v>
      </c>
    </row>
    <row r="24" spans="2:7">
      <c r="B24" s="50" t="s">
        <v>374</v>
      </c>
      <c r="C24" s="59" t="s">
        <v>531</v>
      </c>
      <c r="D24" s="59"/>
      <c r="E24" s="59"/>
      <c r="F24" s="59"/>
      <c r="G24" s="11" t="str">
        <f>Historical_Scores!M6</f>
        <v>Pass</v>
      </c>
    </row>
    <row r="25" spans="2:7">
      <c r="B25" s="50" t="s">
        <v>416</v>
      </c>
      <c r="C25" s="59" t="s">
        <v>532</v>
      </c>
      <c r="D25" s="59"/>
      <c r="E25" s="59"/>
      <c r="F25" s="59"/>
      <c r="G25" s="11" t="str">
        <f>Historical_Scores!M7</f>
        <v>Pass</v>
      </c>
    </row>
    <row r="26" spans="2:7">
      <c r="B26" s="50" t="s">
        <v>417</v>
      </c>
      <c r="C26" s="59" t="s">
        <v>431</v>
      </c>
      <c r="D26" s="59"/>
      <c r="E26" s="59"/>
      <c r="F26" s="59"/>
      <c r="G26" s="11" t="str">
        <f>Medical_Claims!M6</f>
        <v>Pass</v>
      </c>
    </row>
    <row r="27" spans="2:7">
      <c r="B27" s="50" t="s">
        <v>418</v>
      </c>
      <c r="C27" s="59" t="s">
        <v>432</v>
      </c>
      <c r="D27" s="59"/>
      <c r="E27" s="59"/>
      <c r="F27" s="59"/>
      <c r="G27" s="11" t="str">
        <f>Medical_Claims!M7</f>
        <v>Pass</v>
      </c>
    </row>
    <row r="28" spans="2:7">
      <c r="B28" s="50" t="s">
        <v>419</v>
      </c>
      <c r="C28" s="59" t="s">
        <v>470</v>
      </c>
      <c r="D28" s="59"/>
      <c r="E28" s="59"/>
      <c r="F28" s="59"/>
      <c r="G28" s="11" t="str">
        <f>Medical_Claims!M8</f>
        <v>Pass</v>
      </c>
    </row>
    <row r="29" spans="2:7">
      <c r="B29" s="50" t="s">
        <v>472</v>
      </c>
      <c r="C29" s="59" t="s">
        <v>502</v>
      </c>
      <c r="D29" s="59"/>
      <c r="E29" s="59"/>
      <c r="F29" s="59"/>
      <c r="G29" s="11" t="str">
        <f>Participation!M7</f>
        <v>Pass</v>
      </c>
    </row>
    <row r="30" spans="2:7">
      <c r="B30" s="50" t="s">
        <v>473</v>
      </c>
      <c r="C30" s="59" t="s">
        <v>497</v>
      </c>
      <c r="D30" s="59"/>
      <c r="E30" s="59"/>
      <c r="F30" s="59"/>
      <c r="G30" s="11" t="str">
        <f>Participation!M8</f>
        <v>Pass</v>
      </c>
    </row>
    <row r="31" spans="2:7">
      <c r="B31" s="50" t="s">
        <v>474</v>
      </c>
      <c r="C31" s="59" t="s">
        <v>498</v>
      </c>
      <c r="D31" s="59"/>
      <c r="E31" s="59"/>
      <c r="F31" s="59"/>
      <c r="G31" s="39" t="str">
        <f>Participation!M9</f>
        <v>Pass</v>
      </c>
    </row>
    <row r="32" spans="2:7">
      <c r="B32" s="50" t="s">
        <v>484</v>
      </c>
      <c r="C32" s="59" t="s">
        <v>420</v>
      </c>
      <c r="D32" s="59"/>
      <c r="E32" s="59"/>
      <c r="F32" s="59"/>
      <c r="G32" s="11" t="str">
        <f>Member_PCP!M6</f>
        <v>Pass</v>
      </c>
    </row>
    <row r="33" spans="2:7">
      <c r="B33" s="50" t="s">
        <v>485</v>
      </c>
      <c r="C33" s="59" t="s">
        <v>425</v>
      </c>
      <c r="D33" s="59"/>
      <c r="E33" s="59"/>
      <c r="F33" s="59"/>
      <c r="G33" s="11" t="str">
        <f>Member_PCP!M7</f>
        <v>Pass</v>
      </c>
    </row>
    <row r="34" spans="2:7">
      <c r="B34" s="50" t="s">
        <v>486</v>
      </c>
      <c r="C34" s="59" t="s">
        <v>421</v>
      </c>
      <c r="D34" s="59"/>
      <c r="E34" s="59"/>
      <c r="F34" s="59"/>
      <c r="G34" s="11" t="str">
        <f>Pharmacy!M6</f>
        <v>Pass</v>
      </c>
    </row>
    <row r="35" spans="2:7">
      <c r="B35" s="50" t="s">
        <v>487</v>
      </c>
      <c r="C35" s="59" t="s">
        <v>426</v>
      </c>
      <c r="D35" s="59"/>
      <c r="E35" s="59"/>
      <c r="F35" s="59"/>
      <c r="G35" s="11" t="str">
        <f>Pharmacy!M7</f>
        <v>Pass</v>
      </c>
    </row>
    <row r="36" spans="2:7">
      <c r="B36" s="50" t="s">
        <v>499</v>
      </c>
      <c r="C36" s="59" t="s">
        <v>471</v>
      </c>
      <c r="D36" s="59"/>
      <c r="E36" s="59"/>
      <c r="F36" s="59"/>
      <c r="G36" s="11" t="str">
        <f>Pharmacy!M8</f>
        <v>Pass</v>
      </c>
    </row>
    <row r="37" spans="2:7">
      <c r="B37" s="50" t="s">
        <v>500</v>
      </c>
      <c r="C37" s="59" t="s">
        <v>422</v>
      </c>
      <c r="D37" s="59"/>
      <c r="E37" s="59"/>
      <c r="F37" s="59"/>
      <c r="G37" s="11" t="str">
        <f>Quality_Metrics!M6</f>
        <v>Pass</v>
      </c>
    </row>
    <row r="38" spans="2:7">
      <c r="B38" s="50" t="s">
        <v>501</v>
      </c>
      <c r="C38" s="59" t="s">
        <v>427</v>
      </c>
      <c r="D38" s="59"/>
      <c r="E38" s="59"/>
      <c r="F38" s="59"/>
      <c r="G38" s="11" t="str">
        <f>Quality_Metrics!M7</f>
        <v>Pass</v>
      </c>
    </row>
    <row r="39" spans="2:7">
      <c r="B39" s="50" t="s">
        <v>522</v>
      </c>
      <c r="C39" s="59" t="s">
        <v>423</v>
      </c>
      <c r="D39" s="59"/>
      <c r="E39" s="59"/>
      <c r="F39" s="59"/>
      <c r="G39" s="11" t="str">
        <f>Scores!M6</f>
        <v>Pass</v>
      </c>
    </row>
    <row r="40" spans="2:7">
      <c r="B40" s="50" t="s">
        <v>523</v>
      </c>
      <c r="C40" s="59" t="s">
        <v>428</v>
      </c>
      <c r="D40" s="59"/>
      <c r="E40" s="59"/>
      <c r="F40" s="59"/>
      <c r="G40" s="11" t="str">
        <f>Scores!M7</f>
        <v>Pass</v>
      </c>
    </row>
    <row r="41" spans="2:7">
      <c r="B41" s="50" t="s">
        <v>529</v>
      </c>
      <c r="C41" s="59" t="s">
        <v>424</v>
      </c>
      <c r="D41" s="59"/>
      <c r="E41" s="59"/>
      <c r="F41" s="59"/>
      <c r="G41" s="11" t="str">
        <f>Visit!M6</f>
        <v>Pass</v>
      </c>
    </row>
    <row r="42" spans="2:7">
      <c r="B42" s="50" t="s">
        <v>530</v>
      </c>
      <c r="C42" s="59" t="s">
        <v>429</v>
      </c>
      <c r="D42" s="59"/>
      <c r="E42" s="59"/>
      <c r="F42" s="59"/>
      <c r="G42" s="11" t="str">
        <f>Visit!M7</f>
        <v>Pass</v>
      </c>
    </row>
  </sheetData>
  <mergeCells count="33"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  <mergeCell ref="B1:G1"/>
    <mergeCell ref="C14:F14"/>
    <mergeCell ref="C13:F13"/>
    <mergeCell ref="B12:G12"/>
    <mergeCell ref="C19:F19"/>
    <mergeCell ref="C17:F17"/>
    <mergeCell ref="C16:F16"/>
    <mergeCell ref="C18:F18"/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V33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>
      <c r="B1" s="61" t="s">
        <v>391</v>
      </c>
      <c r="C1" s="61"/>
      <c r="D1" s="61" t="s">
        <v>357</v>
      </c>
      <c r="E1" s="61"/>
      <c r="F1" s="65" t="s">
        <v>375</v>
      </c>
      <c r="G1" s="65" t="s">
        <v>360</v>
      </c>
      <c r="M1" s="26" t="s">
        <v>413</v>
      </c>
    </row>
    <row r="2" spans="2:22">
      <c r="B2" s="15" t="s">
        <v>358</v>
      </c>
      <c r="C2" s="15" t="s">
        <v>359</v>
      </c>
      <c r="D2" s="15" t="s">
        <v>358</v>
      </c>
      <c r="E2" s="15" t="s">
        <v>359</v>
      </c>
      <c r="F2" s="65"/>
      <c r="G2" s="65"/>
      <c r="K2" s="24" t="s">
        <v>430</v>
      </c>
      <c r="L2" s="11" t="str">
        <f>IF(ISERROR(VLOOKUP($M$1,$G$2:$G$11,1,)),"Pass","Fail")</f>
        <v>Fail</v>
      </c>
    </row>
    <row r="3" spans="2:22">
      <c r="B3" s="52" t="s">
        <v>504</v>
      </c>
      <c r="C3" s="52" t="s">
        <v>545</v>
      </c>
      <c r="D3" s="52" t="s">
        <v>504</v>
      </c>
      <c r="E3" s="52" t="s">
        <v>556</v>
      </c>
      <c r="F3" s="2">
        <f>IF(I3=0,0%,(I3-H3)/I3)</f>
        <v>5.0505050505050553E-3</v>
      </c>
      <c r="G3" s="11" t="str">
        <f>IF(AND(F3&lt;=10%,F3&gt;=-10%),"Pass","Fail")</f>
        <v>Pass</v>
      </c>
      <c r="H3" s="53" t="str">
        <f>LEFT(C3, SEARCH(" ", C3, 1))</f>
        <v xml:space="preserve">3.94 </v>
      </c>
      <c r="I3" s="53" t="str">
        <f t="shared" ref="I3:I14" si="0">LEFT(E3, SEARCH(" ", E3, 1))</f>
        <v xml:space="preserve">3.96 </v>
      </c>
      <c r="K3" s="54"/>
      <c r="L3" s="37"/>
    </row>
    <row r="4" spans="2:22">
      <c r="B4" s="53" t="s">
        <v>488</v>
      </c>
      <c r="C4" s="52" t="s">
        <v>546</v>
      </c>
      <c r="D4" s="47" t="s">
        <v>488</v>
      </c>
      <c r="E4" s="52" t="s">
        <v>557</v>
      </c>
      <c r="F4" s="2">
        <f t="shared" ref="F4:F14" si="1">IF(I4=0,0%,(I4-H4)/I4)</f>
        <v>6.329113924050638E-3</v>
      </c>
      <c r="G4" s="11" t="str">
        <f t="shared" ref="G4:G13" si="2">IF(AND(F4&lt;=10%,F4&gt;=-10%),"Pass","Fail")</f>
        <v>Pass</v>
      </c>
      <c r="H4" s="1" t="str">
        <f>LEFT(C4, SEARCH(" ", C4, 1))</f>
        <v xml:space="preserve">1.57 </v>
      </c>
      <c r="I4" s="1" t="str">
        <f t="shared" si="0"/>
        <v xml:space="preserve">1.58 </v>
      </c>
    </row>
    <row r="5" spans="2:22">
      <c r="B5" s="53" t="s">
        <v>73</v>
      </c>
      <c r="C5" s="52" t="s">
        <v>547</v>
      </c>
      <c r="D5" s="47" t="s">
        <v>73</v>
      </c>
      <c r="E5" s="52" t="s">
        <v>558</v>
      </c>
      <c r="F5" s="2">
        <f t="shared" si="1"/>
        <v>0.14202769093345241</v>
      </c>
      <c r="G5" s="11" t="str">
        <f t="shared" si="2"/>
        <v>Fail</v>
      </c>
      <c r="H5" s="1" t="str">
        <f t="shared" ref="H5:H11" si="3">LEFT(C5, SEARCH(" ", C5, 1))</f>
        <v xml:space="preserve">76.84 </v>
      </c>
      <c r="I5" s="1" t="str">
        <f t="shared" si="0"/>
        <v xml:space="preserve">89.56 </v>
      </c>
    </row>
    <row r="6" spans="2:22">
      <c r="B6" s="53" t="s">
        <v>489</v>
      </c>
      <c r="C6" s="52" t="s">
        <v>548</v>
      </c>
      <c r="D6" s="47" t="s">
        <v>489</v>
      </c>
      <c r="E6" s="52" t="s">
        <v>559</v>
      </c>
      <c r="F6" s="2">
        <f t="shared" si="1"/>
        <v>-3.8100535354237768E-3</v>
      </c>
      <c r="G6" s="11" t="str">
        <f t="shared" si="2"/>
        <v>Pass</v>
      </c>
      <c r="H6" s="1" t="str">
        <f t="shared" si="3"/>
        <v xml:space="preserve">721.89 </v>
      </c>
      <c r="I6" s="1" t="str">
        <f t="shared" si="0"/>
        <v xml:space="preserve">719.15 </v>
      </c>
      <c r="M6" s="28"/>
    </row>
    <row r="7" spans="2:22">
      <c r="B7" s="53" t="s">
        <v>505</v>
      </c>
      <c r="C7" s="52" t="s">
        <v>561</v>
      </c>
      <c r="D7" s="50" t="s">
        <v>505</v>
      </c>
      <c r="E7" s="52" t="s">
        <v>560</v>
      </c>
      <c r="F7" s="2">
        <f t="shared" si="1"/>
        <v>0.48672566371681414</v>
      </c>
      <c r="G7" s="11" t="str">
        <f t="shared" si="2"/>
        <v>Fail</v>
      </c>
      <c r="H7" s="53" t="str">
        <f t="shared" si="3"/>
        <v xml:space="preserve">0.58 </v>
      </c>
      <c r="I7" s="53" t="str">
        <f t="shared" si="0"/>
        <v xml:space="preserve">1.13 </v>
      </c>
      <c r="M7" s="28"/>
    </row>
    <row r="8" spans="2:22">
      <c r="B8" s="53" t="s">
        <v>74</v>
      </c>
      <c r="C8" s="52" t="s">
        <v>550</v>
      </c>
      <c r="D8" s="47" t="s">
        <v>74</v>
      </c>
      <c r="E8" s="52" t="s">
        <v>562</v>
      </c>
      <c r="F8" s="2">
        <f t="shared" si="1"/>
        <v>4.104470155666131E-2</v>
      </c>
      <c r="G8" s="11" t="str">
        <f t="shared" si="2"/>
        <v>Pass</v>
      </c>
      <c r="H8" s="1" t="str">
        <f t="shared" si="3"/>
        <v xml:space="preserve">479.89 </v>
      </c>
      <c r="I8" s="1" t="str">
        <f t="shared" si="0"/>
        <v xml:space="preserve">500.43 </v>
      </c>
      <c r="M8" s="28"/>
    </row>
    <row r="9" spans="2:22">
      <c r="B9" s="53" t="s">
        <v>490</v>
      </c>
      <c r="C9" s="52" t="s">
        <v>551</v>
      </c>
      <c r="D9" s="47" t="s">
        <v>490</v>
      </c>
      <c r="E9" s="52" t="s">
        <v>551</v>
      </c>
      <c r="F9" s="2">
        <f t="shared" si="1"/>
        <v>0</v>
      </c>
      <c r="G9" s="11" t="str">
        <f t="shared" si="2"/>
        <v>Pass</v>
      </c>
      <c r="H9" s="1" t="str">
        <f t="shared" si="3"/>
        <v xml:space="preserve">151 </v>
      </c>
      <c r="I9" s="1" t="str">
        <f t="shared" si="0"/>
        <v xml:space="preserve">151 </v>
      </c>
      <c r="M9" s="28"/>
      <c r="T9" t="s">
        <v>504</v>
      </c>
      <c r="U9" t="s">
        <v>533</v>
      </c>
      <c r="V9" s="28"/>
    </row>
    <row r="10" spans="2:22">
      <c r="B10" s="53" t="s">
        <v>75</v>
      </c>
      <c r="C10" s="52" t="s">
        <v>552</v>
      </c>
      <c r="D10" s="47" t="s">
        <v>75</v>
      </c>
      <c r="E10" s="52" t="s">
        <v>563</v>
      </c>
      <c r="F10" s="2">
        <f t="shared" si="1"/>
        <v>2.344315428427592E-3</v>
      </c>
      <c r="G10" s="11" t="str">
        <f t="shared" si="2"/>
        <v>Pass</v>
      </c>
      <c r="H10" s="1" t="str">
        <f t="shared" si="3"/>
        <v xml:space="preserve">634.09 </v>
      </c>
      <c r="I10" s="1" t="str">
        <f t="shared" si="0"/>
        <v xml:space="preserve">635.58 </v>
      </c>
      <c r="M10" s="28"/>
      <c r="T10" t="s">
        <v>488</v>
      </c>
      <c r="U10" t="s">
        <v>534</v>
      </c>
      <c r="V10" s="28"/>
    </row>
    <row r="11" spans="2:22">
      <c r="B11" s="53" t="s">
        <v>76</v>
      </c>
      <c r="C11" s="52" t="s">
        <v>553</v>
      </c>
      <c r="D11" s="47" t="s">
        <v>76</v>
      </c>
      <c r="E11" s="52" t="s">
        <v>564</v>
      </c>
      <c r="F11" s="2">
        <f t="shared" si="1"/>
        <v>6.7583046964490245E-2</v>
      </c>
      <c r="G11" s="11" t="str">
        <f t="shared" si="2"/>
        <v>Pass</v>
      </c>
      <c r="H11" s="1" t="str">
        <f t="shared" si="3"/>
        <v xml:space="preserve">48.84 </v>
      </c>
      <c r="I11" s="1" t="str">
        <f t="shared" si="0"/>
        <v xml:space="preserve">52.38 </v>
      </c>
      <c r="M11" s="28"/>
      <c r="T11" t="s">
        <v>73</v>
      </c>
      <c r="U11" t="s">
        <v>535</v>
      </c>
      <c r="V11" s="28"/>
    </row>
    <row r="12" spans="2:22">
      <c r="B12" s="53" t="s">
        <v>77</v>
      </c>
      <c r="C12" s="52" t="s">
        <v>554</v>
      </c>
      <c r="D12" s="47" t="s">
        <v>77</v>
      </c>
      <c r="E12" s="52" t="s">
        <v>565</v>
      </c>
      <c r="F12" s="2">
        <f t="shared" si="1"/>
        <v>2.5879917184265008E-2</v>
      </c>
      <c r="G12" s="11" t="str">
        <f t="shared" si="2"/>
        <v>Pass</v>
      </c>
      <c r="H12" s="47" t="str">
        <f t="shared" ref="H12:H14" si="4">LEFT(C12, SEARCH(" ", C12, 1))</f>
        <v xml:space="preserve">18.82 </v>
      </c>
      <c r="I12" s="47" t="str">
        <f t="shared" si="0"/>
        <v xml:space="preserve">19.32 </v>
      </c>
      <c r="M12" s="28"/>
      <c r="T12" t="s">
        <v>489</v>
      </c>
      <c r="U12" t="s">
        <v>536</v>
      </c>
      <c r="V12" s="28"/>
    </row>
    <row r="13" spans="2:22">
      <c r="B13" s="53" t="s">
        <v>78</v>
      </c>
      <c r="C13" s="52" t="s">
        <v>549</v>
      </c>
      <c r="D13" s="47" t="s">
        <v>78</v>
      </c>
      <c r="E13" s="52" t="s">
        <v>566</v>
      </c>
      <c r="F13" s="2">
        <f t="shared" si="1"/>
        <v>-1.7920211562886142E-2</v>
      </c>
      <c r="G13" s="11" t="str">
        <f t="shared" si="2"/>
        <v>Pass</v>
      </c>
      <c r="H13" s="47" t="str">
        <f t="shared" si="4"/>
        <v xml:space="preserve">585.07 </v>
      </c>
      <c r="I13" s="47" t="str">
        <f t="shared" si="0"/>
        <v xml:space="preserve">574.77 </v>
      </c>
      <c r="M13" s="28"/>
      <c r="T13" t="s">
        <v>505</v>
      </c>
      <c r="U13" t="s">
        <v>537</v>
      </c>
      <c r="V13" s="28"/>
    </row>
    <row r="14" spans="2:22">
      <c r="B14" s="53" t="s">
        <v>79</v>
      </c>
      <c r="C14" s="52" t="s">
        <v>555</v>
      </c>
      <c r="D14" s="47" t="s">
        <v>79</v>
      </c>
      <c r="E14" s="52" t="s">
        <v>567</v>
      </c>
      <c r="F14" s="2">
        <f t="shared" si="1"/>
        <v>3.8400000000000031E-2</v>
      </c>
      <c r="G14" s="11" t="str">
        <f>IF(AND(F14&lt;=10%,F14&gt;=-10%),"Pass","Fail")</f>
        <v>Pass</v>
      </c>
      <c r="H14" s="47" t="str">
        <f t="shared" si="4"/>
        <v xml:space="preserve">6.01 </v>
      </c>
      <c r="I14" s="47" t="str">
        <f t="shared" si="0"/>
        <v xml:space="preserve">6.25 </v>
      </c>
      <c r="M14" s="28"/>
      <c r="T14" t="s">
        <v>74</v>
      </c>
      <c r="U14" t="s">
        <v>538</v>
      </c>
      <c r="V14" s="28"/>
    </row>
    <row r="15" spans="2:22">
      <c r="M15" s="28"/>
      <c r="T15" t="s">
        <v>490</v>
      </c>
      <c r="U15" t="s">
        <v>506</v>
      </c>
      <c r="V15" s="28"/>
    </row>
    <row r="16" spans="2:22">
      <c r="M16" s="28"/>
      <c r="T16" t="s">
        <v>75</v>
      </c>
      <c r="U16" t="s">
        <v>539</v>
      </c>
      <c r="V16" s="28"/>
    </row>
    <row r="17" spans="2:22">
      <c r="K17" s="28"/>
      <c r="M17" s="28"/>
      <c r="T17" t="s">
        <v>76</v>
      </c>
      <c r="U17" t="s">
        <v>540</v>
      </c>
      <c r="V17" s="28"/>
    </row>
    <row r="18" spans="2:22">
      <c r="E18" s="28"/>
      <c r="M18" s="28"/>
      <c r="T18" t="s">
        <v>77</v>
      </c>
      <c r="U18" t="s">
        <v>541</v>
      </c>
      <c r="V18" s="28"/>
    </row>
    <row r="19" spans="2:22">
      <c r="M19" s="28"/>
      <c r="T19" t="s">
        <v>78</v>
      </c>
      <c r="U19" t="s">
        <v>542</v>
      </c>
      <c r="V19" s="28"/>
    </row>
    <row r="20" spans="2:22">
      <c r="B20" s="28"/>
      <c r="M20" s="28"/>
      <c r="T20" t="s">
        <v>79</v>
      </c>
      <c r="U20" t="s">
        <v>543</v>
      </c>
      <c r="V20" s="28"/>
    </row>
    <row r="21" spans="2:22">
      <c r="B21" s="28"/>
      <c r="M21" s="28"/>
      <c r="V21" s="28"/>
    </row>
    <row r="22" spans="2:22">
      <c r="B22" s="28"/>
      <c r="M22" s="28"/>
      <c r="V22" s="28"/>
    </row>
    <row r="23" spans="2:22">
      <c r="B23" s="28"/>
      <c r="M23" s="28"/>
      <c r="V23" s="28"/>
    </row>
    <row r="24" spans="2:22">
      <c r="B24" s="28"/>
      <c r="M24" s="28"/>
      <c r="V24" s="28"/>
    </row>
    <row r="25" spans="2:22">
      <c r="B25" s="28"/>
      <c r="M25" s="28"/>
      <c r="V25" s="28"/>
    </row>
    <row r="26" spans="2:22">
      <c r="B26" s="28"/>
      <c r="M26" s="28"/>
      <c r="V26" s="28"/>
    </row>
    <row r="27" spans="2:22">
      <c r="M27" s="28"/>
      <c r="V27" s="28"/>
    </row>
    <row r="28" spans="2:22">
      <c r="M28" s="28"/>
      <c r="V28" s="28"/>
    </row>
    <row r="29" spans="2:22">
      <c r="M29" s="28"/>
      <c r="V29" s="28"/>
    </row>
    <row r="30" spans="2:22">
      <c r="M30" s="28"/>
      <c r="V30" s="28"/>
    </row>
    <row r="31" spans="2:22">
      <c r="M31" s="28"/>
      <c r="V31" s="28"/>
    </row>
    <row r="32" spans="2:22">
      <c r="V32" s="28"/>
    </row>
    <row r="33" spans="22:22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18577</v>
      </c>
      <c r="M2" s="19">
        <v>18431</v>
      </c>
      <c r="N2" s="22">
        <f>L2-M2</f>
        <v>146</v>
      </c>
    </row>
    <row r="3" spans="2:1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>
      <c r="B5" s="50" t="s">
        <v>507</v>
      </c>
      <c r="C5" s="50" t="s">
        <v>399</v>
      </c>
      <c r="D5" s="11">
        <v>50</v>
      </c>
      <c r="E5" s="50" t="s">
        <v>507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>
      <c r="B6" s="50" t="s">
        <v>508</v>
      </c>
      <c r="C6" s="50" t="s">
        <v>399</v>
      </c>
      <c r="D6" s="11">
        <v>20</v>
      </c>
      <c r="E6" s="50" t="s">
        <v>508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>
      <c r="B7" s="50" t="s">
        <v>509</v>
      </c>
      <c r="C7" s="50" t="s">
        <v>399</v>
      </c>
      <c r="D7" s="11">
        <v>10</v>
      </c>
      <c r="E7" s="50" t="s">
        <v>509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7.9214367098909451E-3</v>
      </c>
    </row>
    <row r="8" spans="2:1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5.0505050505050553E-3</v>
      </c>
    </row>
    <row r="9" spans="2:1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0" t="s">
        <v>510</v>
      </c>
      <c r="C10" s="50" t="s">
        <v>399</v>
      </c>
      <c r="D10" s="11">
        <v>10</v>
      </c>
      <c r="E10" s="50" t="s">
        <v>510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0" t="s">
        <v>511</v>
      </c>
      <c r="C11" s="50" t="s">
        <v>399</v>
      </c>
      <c r="D11" s="11">
        <v>50</v>
      </c>
      <c r="E11" s="50" t="s">
        <v>511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>
      <c r="B12" s="57" t="s">
        <v>512</v>
      </c>
      <c r="C12" s="50" t="s">
        <v>399</v>
      </c>
      <c r="D12" s="11">
        <v>54</v>
      </c>
      <c r="E12" s="50" t="s">
        <v>512</v>
      </c>
      <c r="F12" s="11">
        <v>54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7" t="s">
        <v>513</v>
      </c>
      <c r="C13" s="50" t="s">
        <v>399</v>
      </c>
      <c r="D13" s="11">
        <v>3</v>
      </c>
      <c r="E13" s="50" t="s">
        <v>513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0" t="s">
        <v>514</v>
      </c>
      <c r="C14" s="50" t="s">
        <v>399</v>
      </c>
      <c r="D14" s="11">
        <v>3</v>
      </c>
      <c r="E14" s="50" t="s">
        <v>514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0" t="s">
        <v>515</v>
      </c>
      <c r="C15" s="50" t="s">
        <v>400</v>
      </c>
      <c r="D15" s="11"/>
      <c r="E15" s="50" t="s">
        <v>515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0" t="s">
        <v>516</v>
      </c>
      <c r="C16" s="50" t="s">
        <v>399</v>
      </c>
      <c r="D16" s="11">
        <v>50</v>
      </c>
      <c r="E16" s="50" t="s">
        <v>516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7" t="s">
        <v>517</v>
      </c>
      <c r="C17" s="50" t="s">
        <v>399</v>
      </c>
      <c r="D17" s="11">
        <v>94</v>
      </c>
      <c r="E17" s="50" t="s">
        <v>517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0" t="s">
        <v>518</v>
      </c>
      <c r="C18" s="50" t="s">
        <v>399</v>
      </c>
      <c r="D18" s="11">
        <v>50</v>
      </c>
      <c r="E18" s="50" t="s">
        <v>518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0" t="s">
        <v>519</v>
      </c>
      <c r="C19" s="50" t="s">
        <v>399</v>
      </c>
      <c r="D19" s="11">
        <v>50</v>
      </c>
      <c r="E19" s="50" t="s">
        <v>519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4" t="s">
        <v>83</v>
      </c>
      <c r="C2" s="44" t="s">
        <v>398</v>
      </c>
      <c r="D2" s="11"/>
      <c r="E2" s="44" t="s">
        <v>83</v>
      </c>
      <c r="F2" s="11">
        <v>4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6169</v>
      </c>
      <c r="M2" s="19">
        <v>6080</v>
      </c>
      <c r="N2" s="22">
        <f>L2-M2</f>
        <v>89</v>
      </c>
    </row>
    <row r="3" spans="2:1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>
      <c r="B6" s="44" t="s">
        <v>0</v>
      </c>
      <c r="C6" s="44" t="s">
        <v>399</v>
      </c>
      <c r="D6" s="45">
        <v>32</v>
      </c>
      <c r="E6" s="44" t="s">
        <v>0</v>
      </c>
      <c r="F6" s="11">
        <v>32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>
      <c r="B7" s="44" t="s">
        <v>2</v>
      </c>
      <c r="C7" s="44" t="s">
        <v>399</v>
      </c>
      <c r="D7" s="45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1.4638157894736843E-2</v>
      </c>
    </row>
    <row r="8" spans="2:1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6.329113924050638E-3</v>
      </c>
    </row>
    <row r="9" spans="2:1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4" t="s">
        <v>5</v>
      </c>
      <c r="C10" s="44" t="s">
        <v>399</v>
      </c>
      <c r="D10" s="11">
        <v>100</v>
      </c>
      <c r="E10" s="44" t="s">
        <v>5</v>
      </c>
      <c r="F10" s="11">
        <v>20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4" t="s">
        <v>15</v>
      </c>
      <c r="C20" s="44" t="s">
        <v>399</v>
      </c>
      <c r="D20" s="11">
        <v>100</v>
      </c>
      <c r="E20" s="44" t="s">
        <v>15</v>
      </c>
      <c r="F20" s="11">
        <v>10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4" t="s">
        <v>18</v>
      </c>
      <c r="C23" s="44" t="s">
        <v>399</v>
      </c>
      <c r="D23" s="11">
        <v>10</v>
      </c>
      <c r="E23" s="44" t="s">
        <v>18</v>
      </c>
      <c r="F23" s="11">
        <v>1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0</v>
      </c>
      <c r="C2" s="17" t="s">
        <v>399</v>
      </c>
      <c r="D2" s="66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163833</v>
      </c>
      <c r="M2" s="58">
        <v>163833</v>
      </c>
      <c r="N2" s="22">
        <f>L2-M2</f>
        <v>0</v>
      </c>
    </row>
    <row r="3" spans="2:1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145713</v>
      </c>
      <c r="N3" s="22">
        <f>L2-M3</f>
        <v>18120</v>
      </c>
    </row>
    <row r="4" spans="2:15">
      <c r="B4" s="1" t="s">
        <v>2</v>
      </c>
      <c r="C4" s="17" t="s">
        <v>399</v>
      </c>
      <c r="D4" s="66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>
      <c r="B6" s="1" t="s">
        <v>4</v>
      </c>
      <c r="C6" s="17" t="s">
        <v>399</v>
      </c>
      <c r="D6" s="11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>
      <c r="B7" s="1" t="s">
        <v>5</v>
      </c>
      <c r="C7" s="17" t="s">
        <v>399</v>
      </c>
      <c r="D7" s="11">
        <v>30</v>
      </c>
      <c r="E7" s="1" t="s">
        <v>5</v>
      </c>
      <c r="F7" s="11">
        <v>20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0.12435403841798603</v>
      </c>
    </row>
    <row r="10" spans="2:15">
      <c r="B10" s="1" t="s">
        <v>8</v>
      </c>
      <c r="C10" s="17" t="s">
        <v>400</v>
      </c>
      <c r="D10" s="11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0.14202769093345241</v>
      </c>
    </row>
    <row r="11" spans="2:1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7" t="s">
        <v>399</v>
      </c>
      <c r="D13" s="11">
        <v>100</v>
      </c>
      <c r="E13" s="1" t="s">
        <v>11</v>
      </c>
      <c r="F13" s="11">
        <v>19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>
      <c r="B17" s="1" t="s">
        <v>15</v>
      </c>
      <c r="C17" s="17" t="s">
        <v>399</v>
      </c>
      <c r="D17" s="11">
        <v>15</v>
      </c>
      <c r="E17" s="1" t="s">
        <v>15</v>
      </c>
      <c r="F17" s="11">
        <v>10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>
      <c r="B20" s="1" t="s">
        <v>18</v>
      </c>
      <c r="C20" s="17" t="s">
        <v>399</v>
      </c>
      <c r="D20" s="11">
        <v>5</v>
      </c>
      <c r="E20" s="1" t="s">
        <v>18</v>
      </c>
      <c r="F20" s="11">
        <v>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>
      <c r="B21" s="57" t="s">
        <v>19</v>
      </c>
      <c r="C21" s="17" t="s">
        <v>399</v>
      </c>
      <c r="D21" s="45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>
      <c r="B24" s="1" t="s">
        <v>22</v>
      </c>
      <c r="C24" s="17" t="s">
        <v>399</v>
      </c>
      <c r="D24" s="11">
        <v>20</v>
      </c>
      <c r="E24" s="1" t="s">
        <v>22</v>
      </c>
      <c r="F24" s="11">
        <v>12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>
      <c r="B25" s="1" t="s">
        <v>23</v>
      </c>
      <c r="C25" s="17" t="s">
        <v>399</v>
      </c>
      <c r="D25" s="11">
        <v>50</v>
      </c>
      <c r="E25" s="1" t="s">
        <v>23</v>
      </c>
      <c r="F25" s="11">
        <v>12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>
      <c r="B27" s="1" t="s">
        <v>25</v>
      </c>
      <c r="C27" s="17" t="s">
        <v>399</v>
      </c>
      <c r="D27" s="11">
        <v>50</v>
      </c>
      <c r="E27" s="1" t="s">
        <v>25</v>
      </c>
      <c r="F27" s="11">
        <v>19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>
      <c r="B28" s="57" t="s">
        <v>26</v>
      </c>
      <c r="C28" s="17" t="s">
        <v>399</v>
      </c>
      <c r="D28" s="11">
        <v>56</v>
      </c>
      <c r="E28" s="1" t="s">
        <v>26</v>
      </c>
      <c r="F28" s="11">
        <v>56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>
      <c r="B29" s="1" t="s">
        <v>27</v>
      </c>
      <c r="C29" s="17" t="s">
        <v>399</v>
      </c>
      <c r="D29" s="11">
        <v>100</v>
      </c>
      <c r="E29" s="1" t="s">
        <v>27</v>
      </c>
      <c r="F29" s="11">
        <v>69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>
      <c r="B31" s="1" t="s">
        <v>29</v>
      </c>
      <c r="C31" s="17" t="s">
        <v>399</v>
      </c>
      <c r="D31" s="11">
        <v>50</v>
      </c>
      <c r="E31" s="1" t="s">
        <v>29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>
      <c r="B32" s="57" t="s">
        <v>30</v>
      </c>
      <c r="C32" s="17" t="s">
        <v>399</v>
      </c>
      <c r="D32" s="11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7" t="s">
        <v>400</v>
      </c>
      <c r="D36" s="11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7" t="s">
        <v>400</v>
      </c>
      <c r="D37" s="11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7" t="s">
        <v>400</v>
      </c>
      <c r="D38" s="11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7" t="s">
        <v>400</v>
      </c>
      <c r="D39" s="11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7" t="s">
        <v>400</v>
      </c>
      <c r="D40" s="11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7" t="s">
        <v>400</v>
      </c>
      <c r="D41" s="11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7" t="s">
        <v>400</v>
      </c>
      <c r="D42" s="11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7" t="s">
        <v>400</v>
      </c>
      <c r="D43" s="11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7" t="s">
        <v>400</v>
      </c>
      <c r="D44" s="11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7" t="s">
        <v>400</v>
      </c>
      <c r="D45" s="11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7" t="s">
        <v>400</v>
      </c>
      <c r="D46" s="11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7" t="s">
        <v>400</v>
      </c>
      <c r="D47" s="11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7" t="s">
        <v>399</v>
      </c>
      <c r="D49" s="11">
        <v>100</v>
      </c>
      <c r="E49" s="1" t="s">
        <v>47</v>
      </c>
      <c r="F49" s="11">
        <v>54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7" t="s">
        <v>399</v>
      </c>
      <c r="D51" s="11">
        <v>30</v>
      </c>
      <c r="E51" s="1" t="s">
        <v>49</v>
      </c>
      <c r="F51" s="11">
        <v>23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7" t="s">
        <v>83</v>
      </c>
      <c r="C2" s="47" t="s">
        <v>398</v>
      </c>
      <c r="D2" s="11"/>
      <c r="E2" s="47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6169</v>
      </c>
      <c r="M2" s="19">
        <v>6080</v>
      </c>
      <c r="N2" s="22">
        <f>L2-M2</f>
        <v>89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>
      <c r="B6" s="47" t="s">
        <v>0</v>
      </c>
      <c r="C6" s="47" t="s">
        <v>399</v>
      </c>
      <c r="D6" s="66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>
      <c r="B7" s="47" t="s">
        <v>478</v>
      </c>
      <c r="C7" s="47" t="s">
        <v>399</v>
      </c>
      <c r="D7" s="11">
        <v>10</v>
      </c>
      <c r="E7" s="47" t="s">
        <v>524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1.4638157894736843E-2</v>
      </c>
    </row>
    <row r="8" spans="2:15">
      <c r="B8" s="47" t="s">
        <v>479</v>
      </c>
      <c r="C8" s="47" t="s">
        <v>399</v>
      </c>
      <c r="D8" s="11">
        <v>50</v>
      </c>
      <c r="E8" s="47" t="s">
        <v>525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-3.8100535354237768E-3</v>
      </c>
    </row>
    <row r="9" spans="2:15">
      <c r="B9" s="47" t="s">
        <v>480</v>
      </c>
      <c r="C9" s="47" t="s">
        <v>399</v>
      </c>
      <c r="D9" s="11">
        <v>50</v>
      </c>
      <c r="E9" s="47" t="s">
        <v>526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7" t="s">
        <v>481</v>
      </c>
      <c r="C10" s="47" t="s">
        <v>399</v>
      </c>
      <c r="D10" s="11">
        <v>50</v>
      </c>
      <c r="E10" s="47" t="s">
        <v>527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6891</v>
      </c>
      <c r="M3" s="19">
        <v>3475</v>
      </c>
      <c r="N3" s="22">
        <f>L3-M3</f>
        <v>3416</v>
      </c>
    </row>
    <row r="4" spans="2:1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>
      <c r="B6" s="50" t="s">
        <v>0</v>
      </c>
      <c r="C6" s="50" t="s">
        <v>399</v>
      </c>
      <c r="D6" s="11">
        <v>20</v>
      </c>
      <c r="E6" s="50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0.9830215827338129</v>
      </c>
    </row>
    <row r="9" spans="2:1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0.48672566371681414</v>
      </c>
    </row>
    <row r="10" spans="2:1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0" t="s">
        <v>95</v>
      </c>
      <c r="C13" s="50" t="s">
        <v>399</v>
      </c>
      <c r="D13" s="11">
        <v>50</v>
      </c>
      <c r="E13" s="50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0" t="s">
        <v>104</v>
      </c>
      <c r="C22" s="50" t="s">
        <v>399</v>
      </c>
      <c r="D22" s="11">
        <v>50</v>
      </c>
      <c r="E22" s="50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0" t="s">
        <v>105</v>
      </c>
      <c r="C23" s="50" t="s">
        <v>399</v>
      </c>
      <c r="D23" s="11">
        <v>50</v>
      </c>
      <c r="E23" s="50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0" t="s">
        <v>108</v>
      </c>
      <c r="C26" s="50" t="s">
        <v>399</v>
      </c>
      <c r="D26" s="11">
        <v>50</v>
      </c>
      <c r="E26" s="50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7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299908</v>
      </c>
      <c r="M2" s="58">
        <v>299908</v>
      </c>
      <c r="N2" s="22">
        <f>L2-M2</f>
        <v>0</v>
      </c>
    </row>
    <row r="3" spans="2:15">
      <c r="B3" s="1" t="s">
        <v>110</v>
      </c>
      <c r="C3" s="17" t="s">
        <v>399</v>
      </c>
      <c r="D3" s="11">
        <v>25</v>
      </c>
      <c r="E3" s="1" t="s">
        <v>110</v>
      </c>
      <c r="F3" s="11">
        <v>6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287817</v>
      </c>
      <c r="N3" s="22">
        <f>L2-M3</f>
        <v>12091</v>
      </c>
    </row>
    <row r="4" spans="2:1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>
      <c r="B8" s="1" t="s">
        <v>22</v>
      </c>
      <c r="C8" s="17" t="s">
        <v>399</v>
      </c>
      <c r="D8" s="11">
        <v>20</v>
      </c>
      <c r="E8" s="1" t="s">
        <v>22</v>
      </c>
      <c r="F8" s="11">
        <v>12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>
      <c r="B9" s="1" t="s">
        <v>23</v>
      </c>
      <c r="C9" s="17" t="s">
        <v>399</v>
      </c>
      <c r="D9" s="11">
        <v>50</v>
      </c>
      <c r="E9" s="1" t="s">
        <v>23</v>
      </c>
      <c r="F9" s="11">
        <v>12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4.2009332318799796E-2</v>
      </c>
    </row>
    <row r="10" spans="2:1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4.104470155666131E-2</v>
      </c>
    </row>
    <row r="11" spans="2:1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57" t="s">
        <v>26</v>
      </c>
      <c r="C12" s="17" t="s">
        <v>399</v>
      </c>
      <c r="D12" s="56">
        <v>56</v>
      </c>
      <c r="E12" s="1" t="s">
        <v>26</v>
      </c>
      <c r="F12" s="11">
        <v>56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7" t="s">
        <v>399</v>
      </c>
      <c r="D14" s="11">
        <v>50</v>
      </c>
      <c r="E14" s="1" t="s">
        <v>29</v>
      </c>
      <c r="F14" s="11">
        <v>12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57" t="s">
        <v>30</v>
      </c>
      <c r="C15" s="17" t="s">
        <v>399</v>
      </c>
      <c r="D15" s="56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>
      <c r="B19" s="1" t="s">
        <v>0</v>
      </c>
      <c r="C19" s="17" t="s">
        <v>399</v>
      </c>
      <c r="D19" s="11">
        <v>20</v>
      </c>
      <c r="E19" s="1" t="s">
        <v>0</v>
      </c>
      <c r="F19" s="11">
        <v>20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>
      <c r="B21" s="1" t="s">
        <v>3</v>
      </c>
      <c r="C21" s="17" t="s">
        <v>399</v>
      </c>
      <c r="D21" s="11">
        <v>30</v>
      </c>
      <c r="E21" s="1" t="s">
        <v>3</v>
      </c>
      <c r="F21" s="11">
        <v>13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>
      <c r="B22" s="1" t="s">
        <v>4</v>
      </c>
      <c r="C22" s="17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>
      <c r="B23" s="1" t="s">
        <v>5</v>
      </c>
      <c r="C23" s="17" t="s">
        <v>399</v>
      </c>
      <c r="D23" s="11">
        <v>30</v>
      </c>
      <c r="E23" s="1" t="s">
        <v>5</v>
      </c>
      <c r="F23" s="11">
        <v>16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>
      <c r="B28" s="1" t="s">
        <v>11</v>
      </c>
      <c r="C28" s="17" t="s">
        <v>399</v>
      </c>
      <c r="D28" s="11">
        <v>50</v>
      </c>
      <c r="E28" s="1" t="s">
        <v>11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>
      <c r="B32" s="1" t="s">
        <v>15</v>
      </c>
      <c r="C32" s="17" t="s">
        <v>399</v>
      </c>
      <c r="D32" s="11">
        <v>15</v>
      </c>
      <c r="E32" s="1" t="s">
        <v>15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7" t="s">
        <v>399</v>
      </c>
      <c r="D35" s="11">
        <v>10</v>
      </c>
      <c r="E35" s="1" t="s">
        <v>18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57" t="s">
        <v>19</v>
      </c>
      <c r="C36" s="17" t="s">
        <v>399</v>
      </c>
      <c r="D36" s="45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7" t="s">
        <v>399</v>
      </c>
      <c r="D37" s="11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7" t="s">
        <v>399</v>
      </c>
      <c r="D40" s="11">
        <v>70</v>
      </c>
      <c r="E40" s="1" t="s">
        <v>116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7" t="s">
        <v>399</v>
      </c>
      <c r="D43" s="11">
        <v>40</v>
      </c>
      <c r="E43" s="1" t="s">
        <v>119</v>
      </c>
      <c r="F43" s="11">
        <v>23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7" t="s">
        <v>399</v>
      </c>
      <c r="D44" s="11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7" t="s">
        <v>399</v>
      </c>
      <c r="D48" s="11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>
      <c r="B49" s="1" t="s">
        <v>125</v>
      </c>
      <c r="C49" s="17" t="s">
        <v>399</v>
      </c>
      <c r="D49" s="11">
        <v>10</v>
      </c>
      <c r="E49" s="1" t="s">
        <v>125</v>
      </c>
      <c r="F49" s="11">
        <v>6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>
      <c r="B50" s="1" t="s">
        <v>126</v>
      </c>
      <c r="C50" s="17" t="s">
        <v>399</v>
      </c>
      <c r="D50" s="11">
        <v>100</v>
      </c>
      <c r="E50" s="1" t="s">
        <v>126</v>
      </c>
      <c r="F50" s="11">
        <v>74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>
      <c r="B51" s="1" t="s">
        <v>127</v>
      </c>
      <c r="C51" s="17" t="s">
        <v>399</v>
      </c>
      <c r="D51" s="11">
        <v>10</v>
      </c>
      <c r="E51" s="1" t="s">
        <v>127</v>
      </c>
      <c r="F51" s="11">
        <v>7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>
      <c r="B59" s="57" t="s">
        <v>135</v>
      </c>
      <c r="C59" s="17" t="s">
        <v>399</v>
      </c>
      <c r="D59" s="56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7" t="s">
        <v>399</v>
      </c>
      <c r="D90" s="11">
        <v>100</v>
      </c>
      <c r="E90" s="1" t="s">
        <v>162</v>
      </c>
      <c r="F90" s="11">
        <v>60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57" t="s">
        <v>167</v>
      </c>
      <c r="C95" s="17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67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57" t="s">
        <v>174</v>
      </c>
      <c r="C102" s="17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2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26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57" t="s">
        <v>184</v>
      </c>
      <c r="C112" s="17" t="s">
        <v>399</v>
      </c>
      <c r="D112" s="11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7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7" t="s">
        <v>399</v>
      </c>
      <c r="D121" s="11">
        <v>10</v>
      </c>
      <c r="E121" s="1" t="s">
        <v>193</v>
      </c>
      <c r="F121" s="11">
        <v>3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3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9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7" t="s">
        <v>399</v>
      </c>
      <c r="D163" s="11">
        <v>20</v>
      </c>
      <c r="E163" s="1" t="s">
        <v>88</v>
      </c>
      <c r="F163" s="11">
        <v>5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44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6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6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6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6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6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6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6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6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7" t="s">
        <v>399</v>
      </c>
      <c r="D229" s="11">
        <v>10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47" t="s">
        <v>83</v>
      </c>
      <c r="C2" s="47" t="s">
        <v>398</v>
      </c>
      <c r="D2" s="11"/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47" t="s">
        <v>0</v>
      </c>
      <c r="C6" s="4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>
      <c r="B7" s="47" t="s">
        <v>491</v>
      </c>
      <c r="C7" s="47" t="s">
        <v>399</v>
      </c>
      <c r="D7" s="11">
        <v>50</v>
      </c>
      <c r="E7" s="47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>
      <c r="B8" s="47" t="s">
        <v>492</v>
      </c>
      <c r="C8" s="47" t="s">
        <v>399</v>
      </c>
      <c r="D8" s="11">
        <v>20</v>
      </c>
      <c r="E8" s="47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>
      <c r="B9" s="47" t="s">
        <v>493</v>
      </c>
      <c r="C9" s="47" t="s">
        <v>399</v>
      </c>
      <c r="D9" s="11">
        <v>50</v>
      </c>
      <c r="E9" s="47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>
      <c r="B10" s="47" t="s">
        <v>494</v>
      </c>
      <c r="C10" s="47" t="s">
        <v>399</v>
      </c>
      <c r="D10" s="11">
        <v>20</v>
      </c>
      <c r="E10" s="47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>
      <c r="B11" s="47" t="s">
        <v>495</v>
      </c>
      <c r="C11" s="47" t="s">
        <v>400</v>
      </c>
      <c r="D11" s="47"/>
      <c r="E11" s="47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>
        <f>File_Size_Comparision!F9</f>
        <v>0</v>
      </c>
    </row>
    <row r="12" spans="2:15">
      <c r="B12" s="47" t="s">
        <v>496</v>
      </c>
      <c r="C12" s="47" t="s">
        <v>400</v>
      </c>
      <c r="D12" s="47"/>
      <c r="E12" s="47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2" sqref="B2:D10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5666</v>
      </c>
      <c r="M3" s="19">
        <v>5657</v>
      </c>
      <c r="N3" s="22">
        <f>L3-M3</f>
        <v>9</v>
      </c>
    </row>
    <row r="4" spans="2:1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>
      <c r="B7" s="1" t="s">
        <v>299</v>
      </c>
      <c r="C7" s="17" t="s">
        <v>399</v>
      </c>
      <c r="D7" s="11">
        <v>100</v>
      </c>
      <c r="E7" s="1" t="s">
        <v>299</v>
      </c>
      <c r="F7" s="11">
        <v>54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1.590949266395616E-3</v>
      </c>
    </row>
    <row r="9" spans="2:1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2.344315428427592E-3</v>
      </c>
    </row>
    <row r="10" spans="2:1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79817</v>
      </c>
      <c r="M2" s="58">
        <v>79817</v>
      </c>
      <c r="N2" s="22">
        <f>L2-M2</f>
        <v>0</v>
      </c>
    </row>
    <row r="3" spans="2:1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74318</v>
      </c>
      <c r="N3" s="22">
        <f>L2-M3</f>
        <v>5499</v>
      </c>
    </row>
    <row r="4" spans="2:1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57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>
      <c r="B8" s="1" t="s">
        <v>5</v>
      </c>
      <c r="C8" s="17" t="s">
        <v>399</v>
      </c>
      <c r="D8" s="1">
        <v>30</v>
      </c>
      <c r="E8" s="1" t="s">
        <v>5</v>
      </c>
      <c r="F8" s="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7.3992841572701099E-2</v>
      </c>
    </row>
    <row r="10" spans="2:15">
      <c r="B10" s="1" t="s">
        <v>8</v>
      </c>
      <c r="C10" s="17" t="s">
        <v>400</v>
      </c>
      <c r="D10" s="1"/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6.7583046964490245E-2</v>
      </c>
    </row>
    <row r="11" spans="2:15">
      <c r="B11" s="31" t="s">
        <v>11</v>
      </c>
      <c r="C11" s="17" t="s">
        <v>399</v>
      </c>
      <c r="D11" s="1">
        <v>20</v>
      </c>
      <c r="E11" s="31" t="s">
        <v>11</v>
      </c>
      <c r="F11" s="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7" t="s">
        <v>399</v>
      </c>
      <c r="D14" s="1">
        <v>5</v>
      </c>
      <c r="E14" s="1" t="s">
        <v>18</v>
      </c>
      <c r="F14" s="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7" t="s">
        <v>399</v>
      </c>
      <c r="D15" s="46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7" t="s">
        <v>399</v>
      </c>
      <c r="D16" s="1">
        <v>20</v>
      </c>
      <c r="E16" s="1" t="s">
        <v>22</v>
      </c>
      <c r="F16" s="1">
        <v>12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7" t="s">
        <v>399</v>
      </c>
      <c r="D17" s="1">
        <v>50</v>
      </c>
      <c r="E17" s="1" t="s">
        <v>23</v>
      </c>
      <c r="F17" s="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7" t="s">
        <v>399</v>
      </c>
      <c r="D21" s="1">
        <v>100</v>
      </c>
      <c r="E21" s="1" t="s">
        <v>29</v>
      </c>
      <c r="F21" s="1">
        <v>12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57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7" t="s">
        <v>399</v>
      </c>
      <c r="D27" s="1">
        <v>70</v>
      </c>
      <c r="E27" s="1" t="s">
        <v>305</v>
      </c>
      <c r="F27" s="1">
        <v>61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7" t="s">
        <v>400</v>
      </c>
      <c r="D36" s="1"/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7" t="s">
        <v>400</v>
      </c>
      <c r="D37" s="1"/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7" t="s">
        <v>400</v>
      </c>
      <c r="D38" s="1"/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7" t="s">
        <v>400</v>
      </c>
      <c r="D39" s="1"/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7" t="s">
        <v>399</v>
      </c>
      <c r="D45" s="1">
        <v>10</v>
      </c>
      <c r="E45" s="1" t="s">
        <v>321</v>
      </c>
      <c r="F45" s="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7" t="s">
        <v>398</v>
      </c>
      <c r="D47" s="1"/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7" t="s">
        <v>398</v>
      </c>
      <c r="D48" s="1"/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7" t="s">
        <v>398</v>
      </c>
      <c r="D54" s="1"/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7" t="s">
        <v>398</v>
      </c>
      <c r="D55" s="1"/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7" t="s">
        <v>398</v>
      </c>
      <c r="D56" s="1"/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7" t="s">
        <v>399</v>
      </c>
      <c r="D58" s="1">
        <v>50</v>
      </c>
      <c r="E58" s="1" t="s">
        <v>334</v>
      </c>
      <c r="F58" s="1">
        <v>36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7" t="s">
        <v>405</v>
      </c>
      <c r="D59" s="31" t="s">
        <v>456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7" t="s">
        <v>405</v>
      </c>
      <c r="D65" s="31" t="s">
        <v>456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7" t="s">
        <v>405</v>
      </c>
      <c r="D67" s="31" t="s">
        <v>456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7" t="s">
        <v>405</v>
      </c>
      <c r="D68" s="31" t="s">
        <v>456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1" t="s">
        <v>86</v>
      </c>
      <c r="C93" s="36"/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1" t="s">
        <v>436</v>
      </c>
      <c r="C94" s="36"/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1" t="s">
        <v>437</v>
      </c>
      <c r="C95" s="36"/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1" t="s">
        <v>438</v>
      </c>
      <c r="C96" s="36"/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1" t="s">
        <v>439</v>
      </c>
      <c r="C97" s="36"/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1" t="s">
        <v>440</v>
      </c>
      <c r="C98" s="36"/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1" t="s">
        <v>441</v>
      </c>
      <c r="C99" s="36"/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1" t="s">
        <v>442</v>
      </c>
      <c r="C100" s="36"/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1" t="s">
        <v>443</v>
      </c>
      <c r="C101" s="36"/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1" t="s">
        <v>444</v>
      </c>
      <c r="C102" s="36"/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1" t="s">
        <v>445</v>
      </c>
      <c r="C103" s="36"/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1" t="s">
        <v>446</v>
      </c>
      <c r="C104" s="36"/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1" t="s">
        <v>447</v>
      </c>
      <c r="C105" s="36"/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1" t="s">
        <v>448</v>
      </c>
      <c r="C106" s="36"/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1" t="s">
        <v>449</v>
      </c>
      <c r="C107" s="36"/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1" t="s">
        <v>450</v>
      </c>
      <c r="C108" s="36"/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1" t="s">
        <v>451</v>
      </c>
      <c r="C109" s="36"/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1" t="s">
        <v>452</v>
      </c>
      <c r="C110" s="36"/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1" t="s">
        <v>453</v>
      </c>
      <c r="C111" s="36"/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1" t="s">
        <v>454</v>
      </c>
      <c r="C112" s="36"/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1" t="s">
        <v>455</v>
      </c>
      <c r="C113" s="36"/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113865</v>
      </c>
      <c r="M3" s="19">
        <v>110985</v>
      </c>
      <c r="N3" s="22">
        <f>L3-M3</f>
        <v>2880</v>
      </c>
    </row>
    <row r="4" spans="2:1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1" t="s">
        <v>340</v>
      </c>
      <c r="C5" s="17" t="s">
        <v>399</v>
      </c>
      <c r="D5" s="11">
        <v>30</v>
      </c>
      <c r="E5" s="1" t="s">
        <v>340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2.5949452628733612E-2</v>
      </c>
    </row>
    <row r="9" spans="2:1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2.5879917184265008E-2</v>
      </c>
    </row>
    <row r="10" spans="2:1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3416</v>
      </c>
      <c r="M3" s="19">
        <v>3475</v>
      </c>
      <c r="N3" s="22">
        <f>L3-M3</f>
        <v>-59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-1.6978417266187051E-2</v>
      </c>
    </row>
    <row r="9" spans="2:1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-1.7920211562886142E-2</v>
      </c>
    </row>
    <row r="10" spans="2:1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1" t="s">
        <v>95</v>
      </c>
      <c r="C13" s="17" t="s">
        <v>399</v>
      </c>
      <c r="D13" s="11">
        <v>50</v>
      </c>
      <c r="E13" s="1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1" t="s">
        <v>104</v>
      </c>
      <c r="C22" s="17" t="s">
        <v>399</v>
      </c>
      <c r="D22" s="11">
        <v>50</v>
      </c>
      <c r="E22" s="1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55133</v>
      </c>
      <c r="M3" s="19">
        <v>53059</v>
      </c>
      <c r="N3" s="22">
        <f>L3-M3</f>
        <v>2074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>
      <c r="B7" s="1" t="s">
        <v>351</v>
      </c>
      <c r="C7" s="17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3.9088561789705802E-2</v>
      </c>
    </row>
    <row r="9" spans="2:1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3.8400000000000031E-2</v>
      </c>
    </row>
    <row r="10" spans="2:1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1" t="s">
        <v>355</v>
      </c>
      <c r="C11" s="17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31" t="s">
        <v>459</v>
      </c>
      <c r="C13" s="32" t="s">
        <v>399</v>
      </c>
      <c r="D13" s="11">
        <v>1</v>
      </c>
      <c r="E13" s="31" t="s">
        <v>528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2017-02-02T05:25:59Z</dcterms:modified>
</cp:coreProperties>
</file>