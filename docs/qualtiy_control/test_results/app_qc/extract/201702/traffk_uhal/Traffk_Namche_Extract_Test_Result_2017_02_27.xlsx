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44525"/>
</workbook>
</file>

<file path=xl/calcChain.xml><?xml version="1.0" encoding="utf-8"?>
<calcChain xmlns="http://schemas.openxmlformats.org/spreadsheetml/2006/main">
  <c r="G25" i="3" l="1"/>
  <c r="G24" i="3"/>
  <c r="G29" i="3"/>
  <c r="G16" i="3"/>
  <c r="G15" i="3"/>
  <c r="M9" i="12"/>
  <c r="M9" i="11"/>
  <c r="M9" i="19"/>
  <c r="M8" i="16" l="1"/>
  <c r="H2" i="19"/>
  <c r="I2" i="19"/>
  <c r="G2" i="19" s="1"/>
  <c r="J2" i="19"/>
  <c r="H3" i="19"/>
  <c r="I3" i="19"/>
  <c r="J3" i="19"/>
  <c r="N3" i="19"/>
  <c r="H4" i="19"/>
  <c r="I4" i="19"/>
  <c r="J4" i="19"/>
  <c r="H5" i="19"/>
  <c r="I5" i="19"/>
  <c r="J5" i="19"/>
  <c r="H6" i="19"/>
  <c r="I6" i="19"/>
  <c r="J6" i="19"/>
  <c r="H7" i="19"/>
  <c r="I7" i="19"/>
  <c r="G7" i="19" s="1"/>
  <c r="J7" i="19"/>
  <c r="H8" i="19"/>
  <c r="I8" i="19"/>
  <c r="J8" i="19"/>
  <c r="M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G13" i="19" s="1"/>
  <c r="J13" i="19"/>
  <c r="H14" i="19"/>
  <c r="I14" i="19"/>
  <c r="J14" i="19"/>
  <c r="H15" i="19"/>
  <c r="I15" i="19"/>
  <c r="J15" i="19"/>
  <c r="H16" i="19"/>
  <c r="I16" i="19"/>
  <c r="J16" i="19"/>
  <c r="H17" i="19"/>
  <c r="I17" i="19"/>
  <c r="G17" i="19" s="1"/>
  <c r="J17" i="19"/>
  <c r="H18" i="19"/>
  <c r="I18" i="19"/>
  <c r="J18" i="19"/>
  <c r="H19" i="19"/>
  <c r="I19" i="19"/>
  <c r="J19" i="19"/>
  <c r="H20" i="19"/>
  <c r="I20" i="19"/>
  <c r="J20" i="19"/>
  <c r="H21" i="19"/>
  <c r="I21" i="19"/>
  <c r="G21" i="19" s="1"/>
  <c r="J21" i="19"/>
  <c r="H22" i="19"/>
  <c r="I22" i="19"/>
  <c r="J22" i="19"/>
  <c r="H23" i="19"/>
  <c r="I23" i="19"/>
  <c r="J23" i="19"/>
  <c r="H24" i="19"/>
  <c r="I24" i="19"/>
  <c r="J24" i="19"/>
  <c r="H25" i="19"/>
  <c r="I25" i="19"/>
  <c r="G25" i="19" s="1"/>
  <c r="J25" i="19"/>
  <c r="H26" i="19"/>
  <c r="I26" i="19"/>
  <c r="J26" i="19"/>
  <c r="M8" i="18"/>
  <c r="M8" i="15"/>
  <c r="M10" i="2"/>
  <c r="N2" i="18"/>
  <c r="M5" i="18"/>
  <c r="M7" i="18"/>
  <c r="I2" i="18"/>
  <c r="J2" i="18"/>
  <c r="I3" i="18"/>
  <c r="J3" i="18"/>
  <c r="G3" i="18" s="1"/>
  <c r="I4" i="18"/>
  <c r="J4" i="18"/>
  <c r="I5" i="18"/>
  <c r="J5" i="18"/>
  <c r="I6" i="18"/>
  <c r="J6" i="18"/>
  <c r="I7" i="18"/>
  <c r="J7" i="18"/>
  <c r="G7" i="18" s="1"/>
  <c r="I8" i="18"/>
  <c r="J8" i="18"/>
  <c r="I9" i="18"/>
  <c r="J9" i="18"/>
  <c r="I10" i="18"/>
  <c r="J10" i="18"/>
  <c r="I11" i="18"/>
  <c r="J11" i="18"/>
  <c r="G11" i="18" s="1"/>
  <c r="I12" i="18"/>
  <c r="J12" i="18"/>
  <c r="I13" i="18"/>
  <c r="J13" i="18"/>
  <c r="I14" i="18"/>
  <c r="J14" i="18"/>
  <c r="I15" i="18"/>
  <c r="J15" i="18"/>
  <c r="G15" i="18" s="1"/>
  <c r="I16" i="18"/>
  <c r="J16" i="18"/>
  <c r="I17" i="18"/>
  <c r="J17" i="18"/>
  <c r="I18" i="18"/>
  <c r="J18" i="18"/>
  <c r="I19" i="18"/>
  <c r="J19" i="18"/>
  <c r="G19" i="18" s="1"/>
  <c r="H19" i="18"/>
  <c r="H18" i="18"/>
  <c r="G17" i="18"/>
  <c r="H17" i="18"/>
  <c r="M6" i="18" s="1"/>
  <c r="H16" i="18"/>
  <c r="H15" i="18"/>
  <c r="H14" i="18"/>
  <c r="G13" i="18"/>
  <c r="H13" i="18"/>
  <c r="H12" i="18"/>
  <c r="H11" i="18"/>
  <c r="H10" i="18"/>
  <c r="G9" i="18"/>
  <c r="H9" i="18"/>
  <c r="H8" i="18"/>
  <c r="H7" i="18"/>
  <c r="H6" i="18"/>
  <c r="G5" i="18"/>
  <c r="H5" i="18"/>
  <c r="H4" i="18"/>
  <c r="H3" i="18"/>
  <c r="H2" i="18"/>
  <c r="I4" i="14"/>
  <c r="I5" i="14"/>
  <c r="I6" i="14"/>
  <c r="I7" i="14"/>
  <c r="I8" i="14"/>
  <c r="I9" i="14"/>
  <c r="F9" i="14" s="1"/>
  <c r="G9" i="14" s="1"/>
  <c r="I10" i="14"/>
  <c r="F10" i="14" s="1"/>
  <c r="G10" i="14" s="1"/>
  <c r="I11" i="14"/>
  <c r="F11" i="14" s="1"/>
  <c r="G11" i="14" s="1"/>
  <c r="I12" i="14"/>
  <c r="F12" i="14" s="1"/>
  <c r="G12" i="14" s="1"/>
  <c r="I13" i="14"/>
  <c r="F13" i="14" s="1"/>
  <c r="G13" i="14" s="1"/>
  <c r="H4" i="14"/>
  <c r="H5" i="14"/>
  <c r="H6" i="14"/>
  <c r="H7" i="14"/>
  <c r="H8" i="14"/>
  <c r="H9" i="14"/>
  <c r="H10" i="14"/>
  <c r="H11" i="14"/>
  <c r="H12" i="14"/>
  <c r="H13" i="14"/>
  <c r="G23" i="19" l="1"/>
  <c r="G19" i="19"/>
  <c r="G15" i="19"/>
  <c r="G11" i="19"/>
  <c r="G5" i="19"/>
  <c r="G24" i="19"/>
  <c r="G20" i="19"/>
  <c r="G16" i="19"/>
  <c r="G12" i="19"/>
  <c r="G6" i="19"/>
  <c r="G26" i="19"/>
  <c r="G22" i="19"/>
  <c r="G18" i="19"/>
  <c r="G14" i="19"/>
  <c r="G10" i="19"/>
  <c r="G9" i="19"/>
  <c r="G8" i="19"/>
  <c r="G4" i="19"/>
  <c r="G3" i="19"/>
  <c r="M7" i="19"/>
  <c r="G4" i="18"/>
  <c r="G8" i="18"/>
  <c r="G12" i="18"/>
  <c r="G16" i="18"/>
  <c r="G2" i="18"/>
  <c r="G6" i="18"/>
  <c r="G10" i="18"/>
  <c r="G14" i="18"/>
  <c r="G18" i="18"/>
  <c r="F8" i="14"/>
  <c r="G8" i="14" s="1"/>
  <c r="F4" i="14"/>
  <c r="G4" i="14" s="1"/>
  <c r="F7" i="14"/>
  <c r="G7" i="14" s="1"/>
  <c r="F6" i="14"/>
  <c r="G6" i="14" s="1"/>
  <c r="F5" i="14"/>
  <c r="G5" i="14" s="1"/>
  <c r="M6" i="19" l="1"/>
  <c r="N2" i="16" l="1"/>
  <c r="M7" i="16" s="1"/>
  <c r="N3" i="9"/>
  <c r="M8" i="9" s="1"/>
  <c r="N4" i="17" l="1"/>
  <c r="M10" i="17" s="1"/>
  <c r="N3" i="17"/>
  <c r="M9" i="17" s="1"/>
  <c r="N2" i="15"/>
  <c r="M7" i="15" s="1"/>
  <c r="J11" i="17"/>
  <c r="J12" i="17"/>
  <c r="H11" i="17"/>
  <c r="H12" i="17"/>
  <c r="I11" i="17"/>
  <c r="G11" i="17" s="1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M8" i="17" s="1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G6" i="16" l="1"/>
  <c r="M9" i="13"/>
  <c r="G12" i="17"/>
  <c r="G6" i="17"/>
  <c r="G10" i="17"/>
  <c r="G5" i="17"/>
  <c r="G9" i="17"/>
  <c r="M6" i="16"/>
  <c r="G23" i="3" s="1"/>
  <c r="G4" i="17"/>
  <c r="G8" i="17"/>
  <c r="G3" i="17"/>
  <c r="G2" i="17"/>
  <c r="M7" i="17" s="1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7" i="15" l="1"/>
  <c r="G5" i="15"/>
  <c r="G9" i="15"/>
  <c r="G13" i="15"/>
  <c r="G17" i="15"/>
  <c r="G21" i="15"/>
  <c r="G25" i="15"/>
  <c r="M6" i="15"/>
  <c r="G18" i="3" s="1"/>
  <c r="M5" i="16"/>
  <c r="G22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M5" i="15" s="1"/>
  <c r="G8" i="15"/>
  <c r="G17" i="3" l="1"/>
  <c r="N3" i="10"/>
  <c r="M9" i="10" s="1"/>
  <c r="N2" i="10"/>
  <c r="M8" i="10" s="1"/>
  <c r="G33" i="3" s="1"/>
  <c r="N3" i="7"/>
  <c r="M9" i="7" s="1"/>
  <c r="N2" i="7"/>
  <c r="M8" i="7" s="1"/>
  <c r="G28" i="3" s="1"/>
  <c r="N2" i="2"/>
  <c r="M8" i="2" s="1"/>
  <c r="G21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39" i="3" s="1"/>
  <c r="M7" i="12"/>
  <c r="G37" i="3" s="1"/>
  <c r="M7" i="11"/>
  <c r="G35" i="3" s="1"/>
  <c r="M7" i="10"/>
  <c r="G32" i="3" s="1"/>
  <c r="M7" i="9"/>
  <c r="G30" i="3" s="1"/>
  <c r="M7" i="7"/>
  <c r="G27" i="3" s="1"/>
  <c r="M7" i="2"/>
  <c r="G20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G3" i="13" s="1"/>
  <c r="I4" i="13"/>
  <c r="J4" i="13"/>
  <c r="I5" i="13"/>
  <c r="J5" i="13"/>
  <c r="G5" i="13" s="1"/>
  <c r="I6" i="13"/>
  <c r="J6" i="13"/>
  <c r="I7" i="13"/>
  <c r="J7" i="13"/>
  <c r="G7" i="13" s="1"/>
  <c r="I8" i="13"/>
  <c r="J8" i="13"/>
  <c r="I9" i="13"/>
  <c r="J9" i="13"/>
  <c r="G9" i="13" s="1"/>
  <c r="I10" i="13"/>
  <c r="J10" i="13"/>
  <c r="I11" i="13"/>
  <c r="J11" i="13"/>
  <c r="G11" i="13" s="1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3" i="14"/>
  <c r="H3" i="14"/>
  <c r="M10" i="7" l="1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F3" i="14"/>
  <c r="G2" i="13"/>
  <c r="G26" i="12"/>
  <c r="G22" i="12"/>
  <c r="G10" i="12"/>
  <c r="G24" i="12"/>
  <c r="G20" i="12"/>
  <c r="G16" i="12"/>
  <c r="G12" i="12"/>
  <c r="G8" i="12"/>
  <c r="G4" i="12"/>
  <c r="G2" i="12"/>
  <c r="G2" i="7"/>
  <c r="M6" i="7" s="1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2" l="1"/>
  <c r="G19" i="3" s="1"/>
  <c r="M10" i="10"/>
  <c r="M9" i="9"/>
  <c r="M11" i="17"/>
  <c r="M6" i="11"/>
  <c r="G34" i="3" s="1"/>
  <c r="M6" i="13"/>
  <c r="G38" i="3" s="1"/>
  <c r="M6" i="12"/>
  <c r="G36" i="3" s="1"/>
  <c r="M6" i="10"/>
  <c r="G31" i="3" s="1"/>
  <c r="M6" i="9"/>
  <c r="G3" i="14"/>
  <c r="G26" i="3"/>
  <c r="L2" i="14" l="1"/>
  <c r="G14" i="3" s="1"/>
</calcChain>
</file>

<file path=xl/comments1.xml><?xml version="1.0" encoding="utf-8"?>
<comments xmlns="http://schemas.openxmlformats.org/spreadsheetml/2006/main">
  <authors>
    <author>svinduwa</author>
  </authors>
  <commentList>
    <comment ref="H1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care_alert_desc field length change from 50 to 94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22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37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22
</t>
        </r>
      </text>
    </comment>
    <comment ref="H163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dw_vendor_name field length change from 20 to 33</t>
        </r>
      </text>
    </comment>
  </commentList>
</comments>
</file>

<file path=xl/comments5.xml><?xml version="1.0" encoding="utf-8"?>
<comments xmlns="http://schemas.openxmlformats.org/spreadsheetml/2006/main">
  <authors>
    <author>svinduwa</author>
  </authors>
  <commentLis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filed length change from 20 to 22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64</t>
        </r>
      </text>
    </comment>
  </commentList>
</comments>
</file>

<file path=xl/sharedStrings.xml><?xml version="1.0" encoding="utf-8"?>
<sst xmlns="http://schemas.openxmlformats.org/spreadsheetml/2006/main" count="2276" uniqueCount="551">
  <si>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</si>
  <si>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</si>
  <si>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</si>
  <si>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</si>
  <si>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</si>
  <si>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</si>
  <si>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</si>
  <si>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</si>
  <si>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</si>
  <si>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</si>
  <si>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</si>
  <si>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</si>
  <si>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</si>
  <si>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</si>
  <si>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</si>
  <si>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</si>
  <si>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</si>
  <si>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</si>
  <si>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</si>
  <si>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</si>
  <si>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</si>
  <si>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</si>
  <si>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</si>
  <si>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</si>
  <si>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</si>
  <si>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</si>
  <si>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</si>
  <si>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</si>
  <si>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</si>
  <si>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</si>
  <si>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</si>
  <si>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</si>
  <si>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</si>
  <si>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</si>
  <si>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</si>
  <si>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</si>
  <si>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</si>
  <si>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</si>
  <si>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</si>
  <si>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</si>
  <si>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</si>
  <si>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</si>
  <si>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</si>
  <si>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</si>
  <si>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</si>
  <si>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</si>
  <si>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</si>
  <si>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</si>
  <si>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</si>
  <si>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</si>
  <si>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</si>
  <si>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</si>
  <si>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</si>
  <si>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</si>
  <si>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</si>
  <si>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</si>
  <si>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</si>
  <si>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</si>
  <si>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</si>
  <si>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</si>
  <si>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</si>
  <si>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</si>
  <si>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</si>
  <si>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</si>
  <si>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</si>
  <si>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</si>
  <si>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</si>
  <si>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</si>
  <si>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</si>
  <si>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</si>
  <si>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</si>
  <si>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</si>
  <si>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</si>
  <si>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</si>
  <si>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</si>
  <si>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</si>
  <si>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</si>
  <si>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</si>
  <si>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</si>
  <si>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</si>
  <si>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</si>
  <si>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</si>
  <si>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</si>
  <si>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</si>
  <si>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</si>
  <si>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</si>
  <si>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</si>
  <si>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</si>
  <si>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</si>
  <si>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</si>
  <si>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</si>
  <si>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</si>
  <si>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</si>
  <si>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</si>
  <si>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</si>
  <si>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</si>
  <si>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</si>
  <si>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</si>
  <si>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</si>
  <si>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</si>
  <si>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</si>
  <si>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</si>
  <si>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</si>
  <si>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</si>
  <si>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</si>
  <si>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</si>
  <si>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</si>
  <si>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</si>
  <si>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</si>
  <si>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</si>
  <si>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</si>
  <si>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</si>
  <si>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</si>
  <si>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</si>
  <si>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</si>
  <si>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</si>
  <si>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</si>
  <si>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</si>
  <si>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</si>
  <si>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</si>
  <si>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</si>
  <si>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</si>
  <si>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</si>
  <si>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</si>
  <si>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</si>
  <si>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</si>
  <si>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</si>
  <si>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</si>
  <si>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</si>
  <si>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</si>
  <si>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</si>
  <si>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</si>
  <si>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</si>
  <si>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</si>
  <si>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</si>
  <si>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</si>
  <si>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</si>
  <si>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</si>
  <si>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</si>
  <si>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</si>
  <si>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</si>
  <si>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</si>
  <si>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</si>
  <si>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</si>
  <si>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</si>
  <si>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</si>
  <si>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</si>
  <si>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</si>
  <si>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</si>
  <si>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</si>
  <si>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</si>
  <si>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</si>
  <si>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</si>
  <si>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</si>
  <si>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</si>
  <si>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</si>
  <si>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</si>
  <si>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</si>
  <si>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</si>
  <si>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</si>
  <si>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</si>
  <si>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</si>
  <si>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</si>
  <si>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</si>
  <si>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</si>
  <si>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</si>
  <si>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</si>
  <si>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</si>
  <si>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</si>
  <si>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</si>
  <si>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</si>
  <si>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</si>
  <si>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</si>
  <si>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</si>
  <si>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</si>
  <si>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</si>
  <si>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</si>
  <si>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</si>
  <si>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</si>
  <si>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</si>
  <si>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</si>
  <si>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</si>
  <si>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</si>
  <si>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</si>
  <si>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</si>
  <si>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</si>
  <si>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</si>
  <si>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</si>
  <si>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</si>
  <si>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</si>
  <si>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</si>
  <si>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</si>
  <si>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</si>
  <si>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</si>
  <si>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</si>
  <si>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</si>
  <si>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</si>
  <si>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</si>
  <si>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</si>
  <si>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</si>
  <si>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</si>
  <si>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</si>
  <si>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</si>
  <si>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</si>
  <si>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</si>
  <si>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</si>
  <si>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</si>
  <si>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</si>
  <si>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</si>
  <si>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</si>
  <si>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</si>
  <si>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</si>
  <si>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</si>
  <si>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</si>
  <si>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</si>
  <si>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</si>
  <si>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</si>
  <si>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</si>
  <si>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</si>
  <si>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</si>
  <si>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</si>
  <si>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</si>
  <si>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</si>
  <si>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</si>
  <si>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</si>
  <si>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</si>
  <si>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</si>
  <si>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</si>
  <si>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</si>
  <si>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</si>
  <si>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</si>
  <si>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</si>
  <si>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</si>
  <si>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</si>
  <si>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</si>
  <si>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</si>
  <si>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</si>
  <si>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</si>
  <si>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</si>
  <si>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</si>
  <si>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</si>
  <si>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</si>
  <si>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</si>
  <si>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</si>
  <si>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</si>
  <si>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</si>
  <si>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</si>
  <si>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</si>
  <si>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</si>
  <si>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</si>
  <si>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</si>
  <si>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</si>
  <si>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</si>
  <si>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</si>
  <si>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</si>
  <si>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</si>
  <si>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</si>
  <si>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</si>
  <si>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</si>
  <si>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</si>
  <si>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</si>
  <si>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</si>
  <si>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</si>
  <si>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</si>
  <si>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</si>
  <si>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</si>
  <si>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</si>
  <si>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</si>
  <si>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</si>
  <si>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</si>
  <si>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</si>
  <si>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</si>
  <si>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</si>
  <si>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</si>
  <si>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</si>
  <si>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</si>
  <si>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</si>
  <si>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</si>
  <si>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</si>
  <si>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</si>
  <si>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</si>
  <si>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</si>
  <si>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</si>
  <si>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</si>
  <si>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</si>
  <si>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</si>
  <si>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</si>
  <si>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</si>
  <si>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</si>
  <si>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</si>
  <si>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</si>
  <si>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</si>
  <si>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</si>
  <si>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</si>
  <si>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</si>
  <si>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</si>
  <si>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</si>
  <si>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</si>
  <si>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</si>
  <si>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</si>
  <si>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</si>
  <si>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</si>
  <si>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</si>
  <si>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</si>
  <si>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</si>
  <si>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</si>
  <si>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</si>
  <si>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</si>
  <si>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</si>
  <si>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</si>
  <si>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</si>
  <si>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</si>
  <si>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</si>
  <si>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</si>
  <si>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</si>
  <si>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</si>
  <si>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</si>
  <si>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</si>
  <si>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</si>
  <si>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</si>
  <si>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</si>
  <si>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</si>
  <si>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</si>
  <si>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</si>
  <si>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</si>
  <si>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</si>
  <si>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</si>
  <si>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</si>
  <si>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</si>
  <si>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</si>
  <si>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</si>
  <si>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</si>
  <si>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</si>
  <si>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</si>
  <si>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</si>
  <si>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</si>
  <si>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</si>
  <si>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</si>
  <si>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</si>
  <si>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</si>
  <si>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</si>
  <si>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</si>
  <si>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</si>
  <si>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</si>
  <si>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</si>
  <si>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</si>
  <si>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</si>
  <si>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</si>
  <si>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</si>
  <si>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</si>
  <si>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</si>
  <si>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</si>
  <si>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</si>
  <si>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</si>
  <si>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</si>
  <si>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</si>
  <si>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</si>
  <si>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</si>
  <si>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</si>
  <si>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</si>
  <si>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</si>
  <si>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</si>
  <si>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</si>
  <si>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</si>
  <si>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</si>
  <si>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</si>
  <si>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</si>
  <si>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</si>
  <si>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</si>
  <si>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</si>
  <si>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</si>
  <si>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</si>
  <si>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</si>
  <si>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</si>
  <si>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</si>
  <si>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</si>
  <si>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</si>
  <si>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</si>
  <si>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</si>
  <si>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</si>
  <si>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</si>
  <si>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</si>
  <si>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</si>
  <si>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</si>
  <si>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</si>
  <si>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</si>
  <si>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</si>
  <si>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</si>
  <si>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</si>
  <si>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</si>
  <si>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</si>
  <si>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</si>
  <si>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</si>
  <si>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</si>
  <si>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</si>
  <si>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</si>
  <si>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</si>
  <si>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</si>
  <si>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</si>
  <si>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</si>
  <si>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</si>
  <si>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</si>
  <si>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</si>
  <si>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</si>
  <si>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</si>
  <si>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</si>
  <si>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</si>
  <si>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</si>
  <si>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</si>
  <si>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</si>
  <si>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</si>
  <si>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</si>
  <si>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</si>
  <si>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</si>
  <si>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</si>
  <si>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</si>
  <si>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</si>
  <si>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</si>
  <si>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</si>
  <si>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</si>
  <si>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</si>
  <si>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</si>
  <si>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</si>
  <si>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</si>
  <si>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</si>
  <si>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</si>
  <si>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</si>
  <si>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</si>
  <si>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</si>
  <si>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</si>
  <si>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</si>
  <si>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</si>
  <si>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</si>
  <si>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</si>
  <si>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</si>
  <si>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</si>
  <si>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</si>
  <si>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</si>
  <si>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</si>
  <si>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</si>
  <si>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</si>
  <si>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</si>
  <si>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</si>
  <si>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</si>
  <si>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</si>
  <si>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</si>
  <si>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</si>
  <si>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</si>
  <si>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</si>
  <si>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</si>
  <si>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</si>
  <si>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</si>
  <si>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</si>
  <si>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</si>
  <si>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</si>
  <si>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</si>
  <si>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</si>
  <si>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</si>
  <si>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</si>
  <si>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</si>
  <si>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</si>
  <si>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</si>
  <si>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</si>
  <si>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</si>
  <si>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</si>
  <si>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</si>
  <si>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</si>
  <si>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</si>
  <si>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</si>
  <si>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</si>
  <si>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</si>
  <si>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</si>
  <si>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</si>
  <si>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</si>
  <si>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</si>
  <si>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</si>
  <si>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</si>
  <si>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</si>
  <si>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</si>
  <si>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</si>
  <si>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</si>
  <si>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</si>
  <si>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</si>
  <si>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</si>
  <si>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</si>
  <si>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</si>
  <si>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</si>
  <si>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</si>
  <si>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</si>
  <si>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</si>
  <si>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</si>
  <si>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</si>
  <si>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program_type</t>
  </si>
  <si>
    <t>program_code</t>
  </si>
  <si>
    <t>program_name</t>
  </si>
  <si>
    <t>program_status</t>
  </si>
  <si>
    <t>program_start_date</t>
  </si>
  <si>
    <t>program_end_date</t>
  </si>
  <si>
    <t>EX23</t>
  </si>
  <si>
    <t>EX24</t>
  </si>
  <si>
    <t>EX25</t>
  </si>
  <si>
    <t>UAT</t>
  </si>
  <si>
    <t>SubinV</t>
  </si>
  <si>
    <t>CareAlerts.csv</t>
  </si>
  <si>
    <t>HistoricalScores.csv</t>
  </si>
  <si>
    <t>21.08 MB</t>
  </si>
  <si>
    <t>6.13 MB</t>
  </si>
  <si>
    <t>83.74 MB</t>
  </si>
  <si>
    <t>2.84 MB</t>
  </si>
  <si>
    <t>35.84 MB</t>
  </si>
  <si>
    <t>1.43 GB</t>
  </si>
  <si>
    <t>996 KB</t>
  </si>
  <si>
    <t>205.47 MB</t>
  </si>
  <si>
    <t>72.96 MB</t>
  </si>
  <si>
    <t>2.77 MB</t>
  </si>
  <si>
    <t>11.45 MB</t>
  </si>
  <si>
    <t>23.00 MB</t>
  </si>
  <si>
    <t>6.79 MB</t>
  </si>
  <si>
    <t>93.59 MB</t>
  </si>
  <si>
    <t>2.99 MB</t>
  </si>
  <si>
    <t>38.81 MB</t>
  </si>
  <si>
    <t>1.78 GB</t>
  </si>
  <si>
    <t>997 KB</t>
  </si>
  <si>
    <t>214.07 MB</t>
  </si>
  <si>
    <t>78.11 MB</t>
  </si>
  <si>
    <t>2.94 MB</t>
  </si>
  <si>
    <t>11.84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</si>
  <si>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</si>
  <si>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</si>
  <si>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</si>
  <si>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</si>
  <si>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</si>
  <si>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</si>
  <si>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</si>
  <si>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</si>
  <si>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</si>
  <si>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</si>
  <si>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</si>
  <si>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</si>
  <si>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</si>
  <si>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diagnosis_code</t>
  </si>
  <si>
    <t>paid_amount</t>
  </si>
  <si>
    <t>superGrouperDescription</t>
  </si>
  <si>
    <t>grouperDescription</t>
  </si>
  <si>
    <t>admissionFromEr</t>
  </si>
  <si>
    <t xml:space="preserve">Verify Historical_Scores layout </t>
  </si>
  <si>
    <t>Verify Historical_Scores field length</t>
  </si>
  <si>
    <t>Verify Care_Alerts layout</t>
  </si>
  <si>
    <t>Verify Care_Alerts field length</t>
  </si>
  <si>
    <t>EX26</t>
  </si>
  <si>
    <t>Partially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</si>
</sst>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0" xfId="0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184"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57" t="s">
        <v>386</v>
      </c>
      <c r="C1" s="57"/>
      <c r="D1" s="57"/>
      <c r="E1" s="57"/>
      <c r="F1" s="57"/>
      <c r="G1" s="57"/>
    </row>
    <row r="2" spans="2:7" x14ac:dyDescent="0.25">
      <c r="B2" s="14" t="s">
        <v>376</v>
      </c>
      <c r="C2" s="15" t="s">
        <v>377</v>
      </c>
      <c r="D2" s="14" t="s">
        <v>378</v>
      </c>
      <c r="E2" s="14" t="s">
        <v>392</v>
      </c>
      <c r="F2" s="14" t="s">
        <v>379</v>
      </c>
      <c r="G2" s="14" t="s">
        <v>380</v>
      </c>
    </row>
    <row r="3" spans="2:7" x14ac:dyDescent="0.25">
      <c r="B3" s="9">
        <v>42418</v>
      </c>
      <c r="C3" s="28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8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8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8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57" t="s">
        <v>387</v>
      </c>
      <c r="C8" s="57"/>
      <c r="D8" s="57"/>
      <c r="E8" s="57"/>
      <c r="F8" s="57"/>
      <c r="G8" s="57"/>
    </row>
    <row r="9" spans="2:7" x14ac:dyDescent="0.25">
      <c r="B9" s="14" t="s">
        <v>381</v>
      </c>
      <c r="C9" s="14" t="s">
        <v>382</v>
      </c>
      <c r="D9" s="14" t="s">
        <v>383</v>
      </c>
      <c r="E9" s="14" t="s">
        <v>393</v>
      </c>
      <c r="F9" s="14" t="s">
        <v>384</v>
      </c>
      <c r="G9" s="14" t="s">
        <v>380</v>
      </c>
    </row>
    <row r="10" spans="2:7" x14ac:dyDescent="0.25">
      <c r="B10" s="9">
        <v>42793</v>
      </c>
      <c r="C10" s="9">
        <v>42793</v>
      </c>
      <c r="D10" s="30" t="s">
        <v>501</v>
      </c>
      <c r="E10" s="7" t="s">
        <v>502</v>
      </c>
      <c r="F10" s="30" t="s">
        <v>550</v>
      </c>
      <c r="G10" s="8"/>
    </row>
    <row r="12" spans="2:7" x14ac:dyDescent="0.25">
      <c r="B12" s="57" t="s">
        <v>388</v>
      </c>
      <c r="C12" s="57"/>
      <c r="D12" s="57"/>
      <c r="E12" s="57"/>
      <c r="F12" s="57"/>
      <c r="G12" s="57"/>
    </row>
    <row r="13" spans="2:7" x14ac:dyDescent="0.25">
      <c r="B13" s="16" t="s">
        <v>361</v>
      </c>
      <c r="C13" s="58" t="s">
        <v>362</v>
      </c>
      <c r="D13" s="58"/>
      <c r="E13" s="58"/>
      <c r="F13" s="58"/>
      <c r="G13" s="16" t="s">
        <v>360</v>
      </c>
    </row>
    <row r="14" spans="2:7" x14ac:dyDescent="0.25">
      <c r="B14" s="1" t="s">
        <v>363</v>
      </c>
      <c r="C14" s="56" t="s">
        <v>373</v>
      </c>
      <c r="D14" s="56"/>
      <c r="E14" s="56"/>
      <c r="F14" s="56"/>
      <c r="G14" s="12" t="str">
        <f>File_Size_Comparision!L2</f>
        <v>Fail</v>
      </c>
    </row>
    <row r="15" spans="2:7" x14ac:dyDescent="0.25">
      <c r="B15" s="50" t="s">
        <v>364</v>
      </c>
      <c r="C15" s="56" t="s">
        <v>547</v>
      </c>
      <c r="D15" s="56"/>
      <c r="E15" s="56"/>
      <c r="F15" s="56"/>
      <c r="G15" s="12" t="str">
        <f>Care_Alerts!M5</f>
        <v>Pass</v>
      </c>
    </row>
    <row r="16" spans="2:7" x14ac:dyDescent="0.25">
      <c r="B16" s="50" t="s">
        <v>365</v>
      </c>
      <c r="C16" s="56" t="s">
        <v>548</v>
      </c>
      <c r="D16" s="56"/>
      <c r="E16" s="56"/>
      <c r="F16" s="56"/>
      <c r="G16" s="12" t="str">
        <f>Care_Alerts!M6</f>
        <v>Pass</v>
      </c>
    </row>
    <row r="17" spans="2:7" x14ac:dyDescent="0.25">
      <c r="B17" s="50" t="s">
        <v>366</v>
      </c>
      <c r="C17" s="56" t="s">
        <v>478</v>
      </c>
      <c r="D17" s="56"/>
      <c r="E17" s="56"/>
      <c r="F17" s="56"/>
      <c r="G17" s="12" t="str">
        <f>Demographics!M5</f>
        <v>Pass</v>
      </c>
    </row>
    <row r="18" spans="2:7" x14ac:dyDescent="0.25">
      <c r="B18" s="50" t="s">
        <v>367</v>
      </c>
      <c r="C18" s="56" t="s">
        <v>479</v>
      </c>
      <c r="D18" s="56"/>
      <c r="E18" s="56"/>
      <c r="F18" s="56"/>
      <c r="G18" s="12" t="str">
        <f>Demographics!M6</f>
        <v>Pass</v>
      </c>
    </row>
    <row r="19" spans="2:7" x14ac:dyDescent="0.25">
      <c r="B19" s="50" t="s">
        <v>368</v>
      </c>
      <c r="C19" s="56" t="s">
        <v>414</v>
      </c>
      <c r="D19" s="56"/>
      <c r="E19" s="56"/>
      <c r="F19" s="56"/>
      <c r="G19" s="12" t="str">
        <f>Eligibility!M6</f>
        <v>Pass</v>
      </c>
    </row>
    <row r="20" spans="2:7" x14ac:dyDescent="0.25">
      <c r="B20" s="50" t="s">
        <v>369</v>
      </c>
      <c r="C20" s="56" t="s">
        <v>415</v>
      </c>
      <c r="D20" s="56"/>
      <c r="E20" s="56"/>
      <c r="F20" s="56"/>
      <c r="G20" s="12" t="str">
        <f>Eligibility!M7</f>
        <v>Pass</v>
      </c>
    </row>
    <row r="21" spans="2:7" x14ac:dyDescent="0.25">
      <c r="B21" s="50" t="s">
        <v>370</v>
      </c>
      <c r="C21" s="56" t="s">
        <v>469</v>
      </c>
      <c r="D21" s="56"/>
      <c r="E21" s="56"/>
      <c r="F21" s="56"/>
      <c r="G21" s="12" t="str">
        <f>Eligibility!M8</f>
        <v>Pass</v>
      </c>
    </row>
    <row r="22" spans="2:7" x14ac:dyDescent="0.25">
      <c r="B22" s="50" t="s">
        <v>371</v>
      </c>
      <c r="C22" s="56" t="s">
        <v>484</v>
      </c>
      <c r="D22" s="56"/>
      <c r="E22" s="56"/>
      <c r="F22" s="56"/>
      <c r="G22" s="12" t="str">
        <f>High_Cost!M5</f>
        <v>Pass</v>
      </c>
    </row>
    <row r="23" spans="2:7" x14ac:dyDescent="0.25">
      <c r="B23" s="50" t="s">
        <v>372</v>
      </c>
      <c r="C23" s="56" t="s">
        <v>485</v>
      </c>
      <c r="D23" s="56"/>
      <c r="E23" s="56"/>
      <c r="F23" s="56"/>
      <c r="G23" s="12" t="str">
        <f>High_Cost!M6</f>
        <v>Pass</v>
      </c>
    </row>
    <row r="24" spans="2:7" x14ac:dyDescent="0.25">
      <c r="B24" s="50" t="s">
        <v>374</v>
      </c>
      <c r="C24" s="56" t="s">
        <v>545</v>
      </c>
      <c r="D24" s="56"/>
      <c r="E24" s="56"/>
      <c r="F24" s="56"/>
      <c r="G24" s="12" t="str">
        <f>Historical_Scores!M6</f>
        <v>Pass</v>
      </c>
    </row>
    <row r="25" spans="2:7" x14ac:dyDescent="0.25">
      <c r="B25" s="50" t="s">
        <v>416</v>
      </c>
      <c r="C25" s="56" t="s">
        <v>546</v>
      </c>
      <c r="D25" s="56"/>
      <c r="E25" s="56"/>
      <c r="F25" s="56"/>
      <c r="G25" s="12" t="str">
        <f>Historical_Scores!M7</f>
        <v>Pass</v>
      </c>
    </row>
    <row r="26" spans="2:7" x14ac:dyDescent="0.25">
      <c r="B26" s="50" t="s">
        <v>417</v>
      </c>
      <c r="C26" s="56" t="s">
        <v>431</v>
      </c>
      <c r="D26" s="56"/>
      <c r="E26" s="56"/>
      <c r="F26" s="56"/>
      <c r="G26" s="12" t="str">
        <f>Medical_Claims!M6</f>
        <v>Pass</v>
      </c>
    </row>
    <row r="27" spans="2:7" x14ac:dyDescent="0.25">
      <c r="B27" s="50" t="s">
        <v>418</v>
      </c>
      <c r="C27" s="56" t="s">
        <v>432</v>
      </c>
      <c r="D27" s="56"/>
      <c r="E27" s="56"/>
      <c r="F27" s="56"/>
      <c r="G27" s="12" t="str">
        <f>Medical_Claims!M7</f>
        <v>Pass</v>
      </c>
    </row>
    <row r="28" spans="2:7" x14ac:dyDescent="0.25">
      <c r="B28" s="50" t="s">
        <v>419</v>
      </c>
      <c r="C28" s="56" t="s">
        <v>470</v>
      </c>
      <c r="D28" s="56"/>
      <c r="E28" s="56"/>
      <c r="F28" s="56"/>
      <c r="G28" s="12" t="str">
        <f>Medical_Claims!M8</f>
        <v>Pass</v>
      </c>
    </row>
    <row r="29" spans="2:7" x14ac:dyDescent="0.25">
      <c r="B29" s="50" t="s">
        <v>472</v>
      </c>
      <c r="C29" s="59" t="s">
        <v>420</v>
      </c>
      <c r="D29" s="60"/>
      <c r="E29" s="60"/>
      <c r="F29" s="61"/>
      <c r="G29" s="12" t="str">
        <f>Member_PCP!M6</f>
        <v>Pass</v>
      </c>
    </row>
    <row r="30" spans="2:7" x14ac:dyDescent="0.25">
      <c r="B30" s="50" t="s">
        <v>473</v>
      </c>
      <c r="C30" s="56" t="s">
        <v>425</v>
      </c>
      <c r="D30" s="56"/>
      <c r="E30" s="56"/>
      <c r="F30" s="56"/>
      <c r="G30" s="12" t="str">
        <f>Member_PCP!M7</f>
        <v>Pass</v>
      </c>
    </row>
    <row r="31" spans="2:7" x14ac:dyDescent="0.25">
      <c r="B31" s="50" t="s">
        <v>474</v>
      </c>
      <c r="C31" s="56" t="s">
        <v>421</v>
      </c>
      <c r="D31" s="56"/>
      <c r="E31" s="56"/>
      <c r="F31" s="56"/>
      <c r="G31" s="12" t="str">
        <f>Pharmacy!M6</f>
        <v>Pass</v>
      </c>
    </row>
    <row r="32" spans="2:7" x14ac:dyDescent="0.25">
      <c r="B32" s="50" t="s">
        <v>486</v>
      </c>
      <c r="C32" s="56" t="s">
        <v>426</v>
      </c>
      <c r="D32" s="56"/>
      <c r="E32" s="56"/>
      <c r="F32" s="56"/>
      <c r="G32" s="12" t="str">
        <f>Pharmacy!M7</f>
        <v>Pass</v>
      </c>
    </row>
    <row r="33" spans="2:7" x14ac:dyDescent="0.25">
      <c r="B33" s="50" t="s">
        <v>487</v>
      </c>
      <c r="C33" s="56" t="s">
        <v>471</v>
      </c>
      <c r="D33" s="56"/>
      <c r="E33" s="56"/>
      <c r="F33" s="56"/>
      <c r="G33" s="12" t="str">
        <f>Pharmacy!M8</f>
        <v>Pass</v>
      </c>
    </row>
    <row r="34" spans="2:7" x14ac:dyDescent="0.25">
      <c r="B34" s="50" t="s">
        <v>488</v>
      </c>
      <c r="C34" s="56" t="s">
        <v>422</v>
      </c>
      <c r="D34" s="56"/>
      <c r="E34" s="56"/>
      <c r="F34" s="56"/>
      <c r="G34" s="12" t="str">
        <f>Quality_Metrics!M6</f>
        <v>Pass</v>
      </c>
    </row>
    <row r="35" spans="2:7" x14ac:dyDescent="0.25">
      <c r="B35" s="50" t="s">
        <v>489</v>
      </c>
      <c r="C35" s="56" t="s">
        <v>427</v>
      </c>
      <c r="D35" s="56"/>
      <c r="E35" s="56"/>
      <c r="F35" s="56"/>
      <c r="G35" s="12" t="str">
        <f>Quality_Metrics!M7</f>
        <v>Pass</v>
      </c>
    </row>
    <row r="36" spans="2:7" x14ac:dyDescent="0.25">
      <c r="B36" s="50" t="s">
        <v>498</v>
      </c>
      <c r="C36" s="56" t="s">
        <v>423</v>
      </c>
      <c r="D36" s="56"/>
      <c r="E36" s="56"/>
      <c r="F36" s="56"/>
      <c r="G36" s="12" t="str">
        <f>Scores!M6</f>
        <v>Pass</v>
      </c>
    </row>
    <row r="37" spans="2:7" x14ac:dyDescent="0.25">
      <c r="B37" s="50" t="s">
        <v>499</v>
      </c>
      <c r="C37" s="56" t="s">
        <v>428</v>
      </c>
      <c r="D37" s="56"/>
      <c r="E37" s="56"/>
      <c r="F37" s="56"/>
      <c r="G37" s="12" t="str">
        <f>Scores!M7</f>
        <v>Pass</v>
      </c>
    </row>
    <row r="38" spans="2:7" x14ac:dyDescent="0.25">
      <c r="B38" s="50" t="s">
        <v>500</v>
      </c>
      <c r="C38" s="56" t="s">
        <v>424</v>
      </c>
      <c r="D38" s="56"/>
      <c r="E38" s="56"/>
      <c r="F38" s="56"/>
      <c r="G38" s="12" t="str">
        <f>Visit!M6</f>
        <v>Pass</v>
      </c>
    </row>
    <row r="39" spans="2:7" x14ac:dyDescent="0.25">
      <c r="B39" s="50" t="s">
        <v>549</v>
      </c>
      <c r="C39" s="56" t="s">
        <v>429</v>
      </c>
      <c r="D39" s="56"/>
      <c r="E39" s="56"/>
      <c r="F39" s="56"/>
      <c r="G39" s="12" t="str">
        <f>Visit!M7</f>
        <v>Pass</v>
      </c>
    </row>
  </sheetData>
  <mergeCells count="30">
    <mergeCell ref="C18:F18"/>
    <mergeCell ref="C22:F22"/>
    <mergeCell ref="C39:F39"/>
    <mergeCell ref="B8:G8"/>
    <mergeCell ref="C36:F36"/>
    <mergeCell ref="C38:F38"/>
    <mergeCell ref="C35:F35"/>
    <mergeCell ref="C37:F37"/>
    <mergeCell ref="C21:F21"/>
    <mergeCell ref="C28:F28"/>
    <mergeCell ref="C33:F33"/>
    <mergeCell ref="C23:F23"/>
    <mergeCell ref="C15:F15"/>
    <mergeCell ref="C16:F16"/>
    <mergeCell ref="C24:F24"/>
    <mergeCell ref="C25:F25"/>
    <mergeCell ref="B1:G1"/>
    <mergeCell ref="C14:F14"/>
    <mergeCell ref="C34:F34"/>
    <mergeCell ref="C20:F20"/>
    <mergeCell ref="C27:F27"/>
    <mergeCell ref="C30:F30"/>
    <mergeCell ref="C32:F32"/>
    <mergeCell ref="C13:F13"/>
    <mergeCell ref="C29:F29"/>
    <mergeCell ref="C31:F31"/>
    <mergeCell ref="B12:G12"/>
    <mergeCell ref="C19:F19"/>
    <mergeCell ref="C26:F26"/>
    <mergeCell ref="C17:F17"/>
  </mergeCells>
  <conditionalFormatting sqref="F10 G14:G39">
    <cfRule type="cellIs" dxfId="183" priority="41" operator="equal">
      <formula>"Fail"</formula>
    </cfRule>
    <cfRule type="cellIs" dxfId="182" priority="42" operator="equal">
      <formula>"Pass"</formula>
    </cfRule>
  </conditionalFormatting>
  <conditionalFormatting sqref="F10 G14:G39">
    <cfRule type="cellIs" dxfId="181" priority="39" operator="equal">
      <formula>"Not Tested"</formula>
    </cfRule>
    <cfRule type="cellIs" dxfId="180" priority="40" operator="equal">
      <formula>"Partially Pass"</formula>
    </cfRule>
  </conditionalFormatting>
  <conditionalFormatting sqref="F10">
    <cfRule type="containsText" dxfId="179" priority="1" operator="containsText" text="Partially Pass">
      <formula>NOT(ISERROR(SEARCH("Partially Pass",F10)))</formula>
    </cfRule>
    <cfRule type="containsText" dxfId="178" priority="2" operator="containsText" text="Pass">
      <formula>NOT(ISERROR(SEARCH("Pass",F10)))</formula>
    </cfRule>
    <cfRule type="cellIs" dxfId="177" priority="25" operator="equal">
      <formula>"Not Tested"</formula>
    </cfRule>
    <cfRule type="cellIs" dxfId="176" priority="26" operator="equal">
      <formula>"Pending"</formula>
    </cfRule>
    <cfRule type="cellIs" dxfId="175" priority="27" operator="equal">
      <formula>"Ongoing"</formula>
    </cfRule>
    <cfRule type="cellIs" dxfId="174" priority="28" operator="equal">
      <formula>"Blocked"</formula>
    </cfRule>
    <cfRule type="cellIs" dxfId="173" priority="29" operator="equal">
      <formula>"Fail"</formula>
    </cfRule>
    <cfRule type="cellIs" dxfId="172" priority="30" operator="equal">
      <formula>"Partially Fail"</formula>
    </cfRule>
    <cfRule type="cellIs" dxfId="171" priority="31" operator="equal">
      <formula>"Pass"</formula>
    </cfRule>
  </conditionalFormatting>
  <conditionalFormatting sqref="F10">
    <cfRule type="cellIs" dxfId="170" priority="32" operator="equal">
      <formula>"Not Tested"</formula>
    </cfRule>
    <cfRule type="cellIs" dxfId="169" priority="33" operator="equal">
      <formula>"Pending"</formula>
    </cfRule>
    <cfRule type="cellIs" dxfId="168" priority="34" operator="equal">
      <formula>"Ongoing"</formula>
    </cfRule>
    <cfRule type="cellIs" dxfId="167" priority="35" operator="equal">
      <formula>"Blocked"</formula>
    </cfRule>
    <cfRule type="cellIs" dxfId="166" priority="36" operator="equal">
      <formula>"Fail"</formula>
    </cfRule>
    <cfRule type="cellIs" dxfId="165" priority="37" operator="equal">
      <formula>"Partially Pass"</formula>
    </cfRule>
    <cfRule type="cellIs" dxfId="164" priority="38" operator="equal">
      <formula>"Pass"</formula>
    </cfRule>
  </conditionalFormatting>
  <conditionalFormatting sqref="G39">
    <cfRule type="cellIs" dxfId="163" priority="5" operator="equal">
      <formula>"Fail"</formula>
    </cfRule>
    <cfRule type="cellIs" dxfId="162" priority="6" operator="equal">
      <formula>"Pass"</formula>
    </cfRule>
  </conditionalFormatting>
  <conditionalFormatting sqref="G39">
    <cfRule type="cellIs" dxfId="161" priority="3" operator="equal">
      <formula>"Not Tested"</formula>
    </cfRule>
    <cfRule type="cellIs" dxfId="160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8.42578125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</cols>
  <sheetData>
    <row r="1" spans="2:13" x14ac:dyDescent="0.25">
      <c r="B1" s="58" t="s">
        <v>391</v>
      </c>
      <c r="C1" s="58"/>
      <c r="D1" s="58" t="s">
        <v>357</v>
      </c>
      <c r="E1" s="58"/>
      <c r="F1" s="62" t="s">
        <v>375</v>
      </c>
      <c r="G1" s="62" t="s">
        <v>360</v>
      </c>
      <c r="M1" s="27" t="s">
        <v>413</v>
      </c>
    </row>
    <row r="2" spans="2:13" x14ac:dyDescent="0.25">
      <c r="B2" s="16" t="s">
        <v>358</v>
      </c>
      <c r="C2" s="16" t="s">
        <v>359</v>
      </c>
      <c r="D2" s="16" t="s">
        <v>358</v>
      </c>
      <c r="E2" s="16" t="s">
        <v>359</v>
      </c>
      <c r="F2" s="62"/>
      <c r="G2" s="62"/>
      <c r="K2" s="25" t="s">
        <v>430</v>
      </c>
      <c r="L2" s="12" t="str">
        <f>IF(ISERROR(VLOOKUP($M$1,$G$2:$G$10,1,)),"Pass","Fail")</f>
        <v>Fail</v>
      </c>
    </row>
    <row r="3" spans="2:13" x14ac:dyDescent="0.25">
      <c r="B3" s="52" t="s">
        <v>503</v>
      </c>
      <c r="C3" s="11" t="s">
        <v>505</v>
      </c>
      <c r="D3" s="52" t="s">
        <v>503</v>
      </c>
      <c r="E3" s="50" t="s">
        <v>516</v>
      </c>
      <c r="F3" s="2">
        <f>IF(I3=0,0%,(I3-H3)/I3)</f>
        <v>8.3478260869565293E-2</v>
      </c>
      <c r="G3" s="12" t="str">
        <f>IF(AND(F3&lt;=10%,F3&gt;=-10%),"Pass","Fail")</f>
        <v>Pass</v>
      </c>
      <c r="H3" s="1" t="str">
        <f>LEFT(C3, SEARCH(" ", C3, 1))</f>
        <v xml:space="preserve">21.08 </v>
      </c>
      <c r="I3" s="1" t="str">
        <f>LEFT(E3, SEARCH(" ", E3, 1))</f>
        <v xml:space="preserve">23.00 </v>
      </c>
    </row>
    <row r="4" spans="2:13" x14ac:dyDescent="0.25">
      <c r="B4" s="50" t="s">
        <v>490</v>
      </c>
      <c r="C4" s="11" t="s">
        <v>506</v>
      </c>
      <c r="D4" s="50" t="s">
        <v>490</v>
      </c>
      <c r="E4" s="50" t="s">
        <v>517</v>
      </c>
      <c r="F4" s="2">
        <f t="shared" ref="F4:F13" si="0">IF(I4=0,0%,(I4-H4)/I4)</f>
        <v>9.7201767304860104E-2</v>
      </c>
      <c r="G4" s="12" t="str">
        <f t="shared" ref="G4:G13" si="1">IF(AND(F4&lt;=10%,F4&gt;=-10%),"Pass","Fail")</f>
        <v>Pass</v>
      </c>
      <c r="H4" s="50" t="str">
        <f t="shared" ref="H4:H13" si="2">LEFT(C4, SEARCH(" ", C4, 1))</f>
        <v xml:space="preserve">6.13 </v>
      </c>
      <c r="I4" s="50" t="str">
        <f t="shared" ref="I4:I13" si="3">LEFT(E4, SEARCH(" ", E4, 1))</f>
        <v xml:space="preserve">6.79 </v>
      </c>
    </row>
    <row r="5" spans="2:13" x14ac:dyDescent="0.25">
      <c r="B5" s="50" t="s">
        <v>73</v>
      </c>
      <c r="C5" s="11" t="s">
        <v>507</v>
      </c>
      <c r="D5" s="50" t="s">
        <v>73</v>
      </c>
      <c r="E5" s="50" t="s">
        <v>518</v>
      </c>
      <c r="F5" s="2">
        <f t="shared" si="0"/>
        <v>0.10524628699647406</v>
      </c>
      <c r="G5" s="12" t="str">
        <f t="shared" si="1"/>
        <v>Fail</v>
      </c>
      <c r="H5" s="50" t="str">
        <f t="shared" si="2"/>
        <v xml:space="preserve">83.74 </v>
      </c>
      <c r="I5" s="50" t="str">
        <f t="shared" si="3"/>
        <v xml:space="preserve">93.59 </v>
      </c>
    </row>
    <row r="6" spans="2:13" x14ac:dyDescent="0.25">
      <c r="B6" s="50" t="s">
        <v>491</v>
      </c>
      <c r="C6" s="11" t="s">
        <v>508</v>
      </c>
      <c r="D6" s="50" t="s">
        <v>491</v>
      </c>
      <c r="E6" s="50" t="s">
        <v>519</v>
      </c>
      <c r="F6" s="2">
        <f t="shared" si="0"/>
        <v>5.0167224080267671E-2</v>
      </c>
      <c r="G6" s="12" t="str">
        <f t="shared" si="1"/>
        <v>Pass</v>
      </c>
      <c r="H6" s="50" t="str">
        <f t="shared" si="2"/>
        <v xml:space="preserve">2.84 </v>
      </c>
      <c r="I6" s="50" t="str">
        <f t="shared" si="3"/>
        <v xml:space="preserve">2.99 </v>
      </c>
    </row>
    <row r="7" spans="2:13" x14ac:dyDescent="0.25">
      <c r="B7" s="50" t="s">
        <v>504</v>
      </c>
      <c r="C7" s="11" t="s">
        <v>509</v>
      </c>
      <c r="D7" s="50" t="s">
        <v>504</v>
      </c>
      <c r="E7" s="50" t="s">
        <v>520</v>
      </c>
      <c r="F7" s="2">
        <f t="shared" si="0"/>
        <v>7.6526668384436961E-2</v>
      </c>
      <c r="G7" s="12" t="str">
        <f t="shared" si="1"/>
        <v>Pass</v>
      </c>
      <c r="H7" s="50" t="str">
        <f t="shared" si="2"/>
        <v xml:space="preserve">35.84 </v>
      </c>
      <c r="I7" s="50" t="str">
        <f t="shared" si="3"/>
        <v xml:space="preserve">38.81 </v>
      </c>
    </row>
    <row r="8" spans="2:13" x14ac:dyDescent="0.25">
      <c r="B8" s="50" t="s">
        <v>74</v>
      </c>
      <c r="C8" s="11" t="s">
        <v>510</v>
      </c>
      <c r="D8" s="50" t="s">
        <v>74</v>
      </c>
      <c r="E8" s="50" t="s">
        <v>521</v>
      </c>
      <c r="F8" s="2">
        <f t="shared" si="0"/>
        <v>0.1966292134831461</v>
      </c>
      <c r="G8" s="12" t="str">
        <f t="shared" si="1"/>
        <v>Fail</v>
      </c>
      <c r="H8" s="50" t="str">
        <f t="shared" si="2"/>
        <v xml:space="preserve">1.43 </v>
      </c>
      <c r="I8" s="50" t="str">
        <f t="shared" si="3"/>
        <v xml:space="preserve">1.78 </v>
      </c>
    </row>
    <row r="9" spans="2:13" x14ac:dyDescent="0.25">
      <c r="B9" s="50" t="s">
        <v>75</v>
      </c>
      <c r="C9" s="11" t="s">
        <v>511</v>
      </c>
      <c r="D9" s="50" t="s">
        <v>75</v>
      </c>
      <c r="E9" s="50" t="s">
        <v>522</v>
      </c>
      <c r="F9" s="2">
        <f t="shared" si="0"/>
        <v>1.0030090270812437E-3</v>
      </c>
      <c r="G9" s="12" t="str">
        <f t="shared" si="1"/>
        <v>Pass</v>
      </c>
      <c r="H9" s="50" t="str">
        <f t="shared" si="2"/>
        <v xml:space="preserve">996 </v>
      </c>
      <c r="I9" s="50" t="str">
        <f t="shared" si="3"/>
        <v xml:space="preserve">997 </v>
      </c>
    </row>
    <row r="10" spans="2:13" x14ac:dyDescent="0.25">
      <c r="B10" s="50" t="s">
        <v>76</v>
      </c>
      <c r="C10" s="11" t="s">
        <v>512</v>
      </c>
      <c r="D10" s="50" t="s">
        <v>76</v>
      </c>
      <c r="E10" s="50" t="s">
        <v>523</v>
      </c>
      <c r="F10" s="2">
        <f t="shared" si="0"/>
        <v>4.0173774933432965E-2</v>
      </c>
      <c r="G10" s="12" t="str">
        <f t="shared" si="1"/>
        <v>Pass</v>
      </c>
      <c r="H10" s="50" t="str">
        <f t="shared" si="2"/>
        <v xml:space="preserve">205.47 </v>
      </c>
      <c r="I10" s="50" t="str">
        <f t="shared" si="3"/>
        <v xml:space="preserve">214.07 </v>
      </c>
    </row>
    <row r="11" spans="2:13" x14ac:dyDescent="0.25">
      <c r="B11" s="50" t="s">
        <v>77</v>
      </c>
      <c r="C11" s="11" t="s">
        <v>513</v>
      </c>
      <c r="D11" s="50" t="s">
        <v>77</v>
      </c>
      <c r="E11" s="50" t="s">
        <v>524</v>
      </c>
      <c r="F11" s="2">
        <f t="shared" si="0"/>
        <v>6.5932659070541619E-2</v>
      </c>
      <c r="G11" s="12" t="str">
        <f t="shared" si="1"/>
        <v>Pass</v>
      </c>
      <c r="H11" s="50" t="str">
        <f t="shared" si="2"/>
        <v xml:space="preserve">72.96 </v>
      </c>
      <c r="I11" s="50" t="str">
        <f t="shared" si="3"/>
        <v xml:space="preserve">78.11 </v>
      </c>
    </row>
    <row r="12" spans="2:13" x14ac:dyDescent="0.25">
      <c r="B12" s="50" t="s">
        <v>78</v>
      </c>
      <c r="C12" s="11" t="s">
        <v>514</v>
      </c>
      <c r="D12" s="50" t="s">
        <v>78</v>
      </c>
      <c r="E12" s="50" t="s">
        <v>525</v>
      </c>
      <c r="F12" s="2">
        <f t="shared" si="0"/>
        <v>5.7823129251700654E-2</v>
      </c>
      <c r="G12" s="12" t="str">
        <f t="shared" si="1"/>
        <v>Pass</v>
      </c>
      <c r="H12" s="50" t="str">
        <f t="shared" si="2"/>
        <v xml:space="preserve">2.77 </v>
      </c>
      <c r="I12" s="50" t="str">
        <f t="shared" si="3"/>
        <v xml:space="preserve">2.94 </v>
      </c>
      <c r="M12" s="29"/>
    </row>
    <row r="13" spans="2:13" x14ac:dyDescent="0.25">
      <c r="B13" s="50" t="s">
        <v>79</v>
      </c>
      <c r="C13" s="11" t="s">
        <v>515</v>
      </c>
      <c r="D13" s="50" t="s">
        <v>79</v>
      </c>
      <c r="E13" s="50" t="s">
        <v>526</v>
      </c>
      <c r="F13" s="2">
        <f t="shared" si="0"/>
        <v>3.2939189189189234E-2</v>
      </c>
      <c r="G13" s="12" t="str">
        <f t="shared" si="1"/>
        <v>Pass</v>
      </c>
      <c r="H13" s="50" t="str">
        <f t="shared" si="2"/>
        <v xml:space="preserve">11.45 </v>
      </c>
      <c r="I13" s="50" t="str">
        <f t="shared" si="3"/>
        <v xml:space="preserve">11.84 </v>
      </c>
      <c r="M13" s="29"/>
    </row>
    <row r="14" spans="2:13" x14ac:dyDescent="0.25">
      <c r="M14" s="29"/>
    </row>
    <row r="15" spans="2:13" x14ac:dyDescent="0.25">
      <c r="M15" s="29"/>
    </row>
    <row r="16" spans="2:13" x14ac:dyDescent="0.25">
      <c r="K16" s="29"/>
    </row>
    <row r="17" spans="2:5" x14ac:dyDescent="0.25">
      <c r="E17" s="29"/>
    </row>
    <row r="19" spans="2:5" x14ac:dyDescent="0.25">
      <c r="B19" s="29"/>
    </row>
    <row r="20" spans="2:5" x14ac:dyDescent="0.25">
      <c r="B20" s="29"/>
    </row>
    <row r="21" spans="2:5" x14ac:dyDescent="0.25">
      <c r="B21" s="29"/>
    </row>
    <row r="22" spans="2:5" x14ac:dyDescent="0.25">
      <c r="B22" s="29"/>
    </row>
    <row r="23" spans="2:5" x14ac:dyDescent="0.25">
      <c r="B23" s="29"/>
    </row>
    <row r="24" spans="2:5" x14ac:dyDescent="0.25">
      <c r="B24" s="29"/>
    </row>
    <row r="25" spans="2:5" x14ac:dyDescent="0.25">
      <c r="B25" s="29"/>
    </row>
  </sheetData>
  <mergeCells count="4">
    <mergeCell ref="B1:C1"/>
    <mergeCell ref="D1:E1"/>
    <mergeCell ref="G1:G2"/>
    <mergeCell ref="F1:F2"/>
  </mergeCells>
  <conditionalFormatting sqref="G3:G13">
    <cfRule type="cellIs" dxfId="159" priority="5" operator="equal">
      <formula>"Fail"</formula>
    </cfRule>
    <cfRule type="cellIs" dxfId="158" priority="6" operator="equal">
      <formula>"Pass"</formula>
    </cfRule>
  </conditionalFormatting>
  <conditionalFormatting sqref="L2">
    <cfRule type="cellIs" dxfId="157" priority="3" operator="equal">
      <formula>"Fail"</formula>
    </cfRule>
    <cfRule type="cellIs" dxfId="156" priority="4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9"/>
  <sheetViews>
    <sheetView showGridLines="0" workbookViewId="0"/>
  </sheetViews>
  <sheetFormatPr defaultRowHeight="15" x14ac:dyDescent="0.25"/>
  <cols>
    <col min="1" max="1" width="3.7109375" customWidth="1"/>
    <col min="2" max="2" width="19.28515625" bestFit="1" customWidth="1"/>
    <col min="3" max="3" width="13.5703125" customWidth="1"/>
    <col min="4" max="4" width="16" customWidth="1"/>
    <col min="5" max="5" width="19.7109375" customWidth="1"/>
    <col min="6" max="6" width="16.28515625" customWidth="1"/>
    <col min="7" max="7" width="13" customWidth="1"/>
    <col min="8" max="8" width="13.7109375" customWidth="1"/>
    <col min="9" max="10" width="0" hidden="1" customWidth="1"/>
    <col min="12" max="13" width="14.5703125" customWidth="1"/>
    <col min="14" max="14" width="10.42578125" bestFit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 x14ac:dyDescent="0.25">
      <c r="B2" s="50" t="s">
        <v>83</v>
      </c>
      <c r="C2" s="50" t="s">
        <v>398</v>
      </c>
      <c r="D2" s="12"/>
      <c r="E2" s="50" t="s">
        <v>83</v>
      </c>
      <c r="F2" s="12">
        <v>6</v>
      </c>
      <c r="G2" s="12" t="str">
        <f t="shared" ref="G2:G19" si="0"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50">
        <v>116165</v>
      </c>
      <c r="M2" s="20">
        <v>108603</v>
      </c>
      <c r="N2" s="20">
        <f>L2-M2</f>
        <v>7562</v>
      </c>
    </row>
    <row r="3" spans="2:15" x14ac:dyDescent="0.25">
      <c r="B3" s="50" t="s">
        <v>71</v>
      </c>
      <c r="C3" s="50" t="s">
        <v>399</v>
      </c>
      <c r="D3" s="12">
        <v>50</v>
      </c>
      <c r="E3" s="50" t="s">
        <v>71</v>
      </c>
      <c r="F3" s="12">
        <v>32</v>
      </c>
      <c r="G3" s="12" t="str">
        <f t="shared" si="0"/>
        <v>Pass</v>
      </c>
      <c r="H3" s="12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50" t="s">
        <v>0</v>
      </c>
      <c r="C4" s="50" t="s">
        <v>399</v>
      </c>
      <c r="D4" s="12">
        <v>50</v>
      </c>
      <c r="E4" s="50" t="s">
        <v>0</v>
      </c>
      <c r="F4" s="12">
        <v>19</v>
      </c>
      <c r="G4" s="12" t="str">
        <f t="shared" si="0"/>
        <v>Pass</v>
      </c>
      <c r="H4" s="12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5" t="s">
        <v>403</v>
      </c>
      <c r="M4" s="51" t="s">
        <v>401</v>
      </c>
      <c r="N4" s="54"/>
    </row>
    <row r="5" spans="2:15" x14ac:dyDescent="0.25">
      <c r="B5" s="50" t="s">
        <v>527</v>
      </c>
      <c r="C5" s="50" t="s">
        <v>399</v>
      </c>
      <c r="D5" s="12">
        <v>50</v>
      </c>
      <c r="E5" s="50" t="s">
        <v>527</v>
      </c>
      <c r="F5" s="12">
        <v>17</v>
      </c>
      <c r="G5" s="12" t="str">
        <f t="shared" si="0"/>
        <v>Pass</v>
      </c>
      <c r="H5" s="12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4" t="s">
        <v>81</v>
      </c>
      <c r="M5" s="12" t="str">
        <f>IF(ISERROR(VLOOKUP($O$1,$G$2:$G$19,1,)),"Pass","Fail")</f>
        <v>Pass</v>
      </c>
      <c r="N5" s="54"/>
    </row>
    <row r="6" spans="2:15" x14ac:dyDescent="0.25">
      <c r="B6" s="50" t="s">
        <v>528</v>
      </c>
      <c r="C6" s="50" t="s">
        <v>399</v>
      </c>
      <c r="D6" s="12">
        <v>20</v>
      </c>
      <c r="E6" s="50" t="s">
        <v>528</v>
      </c>
      <c r="F6" s="12">
        <v>19</v>
      </c>
      <c r="G6" s="12" t="str">
        <f t="shared" si="0"/>
        <v>Pass</v>
      </c>
      <c r="H6" s="12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4" t="s">
        <v>402</v>
      </c>
      <c r="M6" s="12" t="str">
        <f>IF(ISERROR(VLOOKUP($O$1,$H$2:$H$19,1,)),"Pass","Fail")</f>
        <v>Pass</v>
      </c>
      <c r="N6" s="54"/>
    </row>
    <row r="7" spans="2:15" x14ac:dyDescent="0.25">
      <c r="B7" s="50" t="s">
        <v>529</v>
      </c>
      <c r="C7" s="50" t="s">
        <v>399</v>
      </c>
      <c r="D7" s="12">
        <v>10</v>
      </c>
      <c r="E7" s="50" t="s">
        <v>529</v>
      </c>
      <c r="F7" s="12">
        <v>0</v>
      </c>
      <c r="G7" s="12" t="str">
        <f t="shared" si="0"/>
        <v>Pass</v>
      </c>
      <c r="H7" s="12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4" t="s">
        <v>467</v>
      </c>
      <c r="M7" s="39">
        <f>IF(M2=0,0%,N2/M2)</f>
        <v>6.9629752400946571E-2</v>
      </c>
      <c r="N7" s="54"/>
    </row>
    <row r="8" spans="2:15" x14ac:dyDescent="0.25">
      <c r="B8" s="50" t="s">
        <v>8</v>
      </c>
      <c r="C8" s="50" t="s">
        <v>400</v>
      </c>
      <c r="D8" s="12"/>
      <c r="E8" s="50" t="s">
        <v>8</v>
      </c>
      <c r="F8" s="12">
        <v>10</v>
      </c>
      <c r="G8" s="12" t="str">
        <f t="shared" si="0"/>
        <v>Pass</v>
      </c>
      <c r="H8" s="12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4" t="s">
        <v>466</v>
      </c>
      <c r="M8" s="41">
        <f>File_Size_Comparision!F3</f>
        <v>8.3478260869565293E-2</v>
      </c>
      <c r="N8" s="54"/>
    </row>
    <row r="9" spans="2:15" x14ac:dyDescent="0.25">
      <c r="B9" s="50" t="s">
        <v>7</v>
      </c>
      <c r="C9" s="50" t="s">
        <v>399</v>
      </c>
      <c r="D9" s="12">
        <v>10</v>
      </c>
      <c r="E9" s="50" t="s">
        <v>7</v>
      </c>
      <c r="F9" s="12">
        <v>6</v>
      </c>
      <c r="G9" s="12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50" t="s">
        <v>530</v>
      </c>
      <c r="C10" s="50" t="s">
        <v>399</v>
      </c>
      <c r="D10" s="12">
        <v>10</v>
      </c>
      <c r="E10" s="50" t="s">
        <v>530</v>
      </c>
      <c r="F10" s="12">
        <v>6</v>
      </c>
      <c r="G10" s="12" t="str">
        <f t="shared" si="0"/>
        <v>Pass</v>
      </c>
      <c r="H10" s="12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50" t="s">
        <v>531</v>
      </c>
      <c r="C11" s="50" t="s">
        <v>399</v>
      </c>
      <c r="D11" s="12">
        <v>50</v>
      </c>
      <c r="E11" s="50" t="s">
        <v>531</v>
      </c>
      <c r="F11" s="12">
        <v>22</v>
      </c>
      <c r="G11" s="12" t="str">
        <f t="shared" si="0"/>
        <v>Pass</v>
      </c>
      <c r="H11" s="12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</row>
    <row r="12" spans="2:15" x14ac:dyDescent="0.25">
      <c r="B12" s="50" t="s">
        <v>532</v>
      </c>
      <c r="C12" s="50" t="s">
        <v>399</v>
      </c>
      <c r="D12" s="12">
        <v>50</v>
      </c>
      <c r="E12" s="50" t="s">
        <v>532</v>
      </c>
      <c r="F12" s="12">
        <v>10</v>
      </c>
      <c r="G12" s="12" t="str">
        <f t="shared" si="0"/>
        <v>Pass</v>
      </c>
      <c r="H12" s="12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0" t="s">
        <v>533</v>
      </c>
      <c r="C13" s="50" t="s">
        <v>399</v>
      </c>
      <c r="D13" s="12">
        <v>2</v>
      </c>
      <c r="E13" s="50" t="s">
        <v>533</v>
      </c>
      <c r="F13" s="12">
        <v>2</v>
      </c>
      <c r="G13" s="12" t="str">
        <f t="shared" si="0"/>
        <v>Pass</v>
      </c>
      <c r="H13" s="12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50" t="s">
        <v>534</v>
      </c>
      <c r="C14" s="50" t="s">
        <v>399</v>
      </c>
      <c r="D14" s="12">
        <v>3</v>
      </c>
      <c r="E14" s="50" t="s">
        <v>534</v>
      </c>
      <c r="F14" s="12">
        <v>2</v>
      </c>
      <c r="G14" s="12" t="str">
        <f t="shared" si="0"/>
        <v>Pass</v>
      </c>
      <c r="H14" s="12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50" t="s">
        <v>535</v>
      </c>
      <c r="C15" s="50" t="s">
        <v>400</v>
      </c>
      <c r="D15" s="12"/>
      <c r="E15" s="50" t="s">
        <v>535</v>
      </c>
      <c r="F15" s="12">
        <v>10</v>
      </c>
      <c r="G15" s="12" t="str">
        <f t="shared" si="0"/>
        <v>Pass</v>
      </c>
      <c r="H15" s="12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50" t="s">
        <v>536</v>
      </c>
      <c r="C16" s="50" t="s">
        <v>399</v>
      </c>
      <c r="D16" s="12">
        <v>50</v>
      </c>
      <c r="E16" s="50" t="s">
        <v>536</v>
      </c>
      <c r="F16" s="12">
        <v>21</v>
      </c>
      <c r="G16" s="12" t="str">
        <f t="shared" si="0"/>
        <v>Pass</v>
      </c>
      <c r="H16" s="12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537</v>
      </c>
      <c r="C17" s="50" t="s">
        <v>399</v>
      </c>
      <c r="D17" s="53">
        <v>94</v>
      </c>
      <c r="E17" s="50" t="s">
        <v>537</v>
      </c>
      <c r="F17" s="53">
        <v>94</v>
      </c>
      <c r="G17" s="12" t="str">
        <f t="shared" si="0"/>
        <v>Pass</v>
      </c>
      <c r="H17" s="12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538</v>
      </c>
      <c r="C18" s="50" t="s">
        <v>399</v>
      </c>
      <c r="D18" s="12">
        <v>50</v>
      </c>
      <c r="E18" s="50" t="s">
        <v>538</v>
      </c>
      <c r="F18" s="12">
        <v>15</v>
      </c>
      <c r="G18" s="12" t="str">
        <f t="shared" si="0"/>
        <v>Pass</v>
      </c>
      <c r="H18" s="12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539</v>
      </c>
      <c r="C19" s="50" t="s">
        <v>399</v>
      </c>
      <c r="D19" s="12">
        <v>50</v>
      </c>
      <c r="E19" s="50" t="s">
        <v>539</v>
      </c>
      <c r="F19" s="12">
        <v>15</v>
      </c>
      <c r="G19" s="12" t="str">
        <f t="shared" si="0"/>
        <v>Pass</v>
      </c>
      <c r="H19" s="12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55" priority="7" operator="equal">
      <formula>"Fail"</formula>
    </cfRule>
    <cfRule type="cellIs" dxfId="154" priority="8" operator="equal">
      <formula>"Pass"</formula>
    </cfRule>
  </conditionalFormatting>
  <conditionalFormatting sqref="G2:H19">
    <cfRule type="cellIs" dxfId="153" priority="5" operator="equal">
      <formula>"Fail"</formula>
    </cfRule>
    <cfRule type="cellIs" dxfId="152" priority="6" operator="equal">
      <formula>"Pass"</formula>
    </cfRule>
  </conditionalFormatting>
  <conditionalFormatting sqref="M5:M6">
    <cfRule type="cellIs" dxfId="151" priority="1" operator="equal">
      <formula>"Fail"</formula>
    </cfRule>
    <cfRule type="cellIs" dxfId="150" priority="2" operator="equal">
      <formula>"Pass"</formula>
    </cfRule>
  </conditionalFormatting>
  <conditionalFormatting sqref="M5:M6">
    <cfRule type="cellIs" dxfId="149" priority="3" operator="equal">
      <formula>"Fail"</formula>
    </cfRule>
    <cfRule type="cellIs" dxfId="148" priority="4" operator="equal">
      <formula>"Pass"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 x14ac:dyDescent="0.25">
      <c r="B2" s="45" t="s">
        <v>83</v>
      </c>
      <c r="C2" s="45" t="s">
        <v>399</v>
      </c>
      <c r="D2" s="12"/>
      <c r="E2" s="45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29303</v>
      </c>
      <c r="M2" s="20">
        <v>27446</v>
      </c>
      <c r="N2" s="23">
        <f>L2-M2</f>
        <v>1857</v>
      </c>
    </row>
    <row r="3" spans="2:15" x14ac:dyDescent="0.25">
      <c r="B3" s="45" t="s">
        <v>84</v>
      </c>
      <c r="C3" s="45" t="s">
        <v>399</v>
      </c>
      <c r="D3" s="12">
        <v>10</v>
      </c>
      <c r="E3" s="45" t="s">
        <v>84</v>
      </c>
      <c r="F3" s="12">
        <v>0</v>
      </c>
      <c r="G3" s="12" t="str">
        <f t="shared" ref="G3:G27" si="0">IF(I3=J3,"Pass","Fail")</f>
        <v>Pass</v>
      </c>
      <c r="H3" s="13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5" t="s">
        <v>85</v>
      </c>
      <c r="C4" s="45" t="s">
        <v>399</v>
      </c>
      <c r="D4" s="12">
        <v>10</v>
      </c>
      <c r="E4" s="45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5" t="s">
        <v>403</v>
      </c>
      <c r="M4" s="48" t="s">
        <v>401</v>
      </c>
    </row>
    <row r="5" spans="2:15" x14ac:dyDescent="0.25">
      <c r="B5" s="45" t="s">
        <v>71</v>
      </c>
      <c r="C5" s="45" t="s">
        <v>399</v>
      </c>
      <c r="D5" s="12">
        <v>50</v>
      </c>
      <c r="E5" s="45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81</v>
      </c>
      <c r="M5" s="12" t="str">
        <f>IF(ISERROR(VLOOKUP($O$1,$G$2:$G$27,1,)),"Pass","Fail")</f>
        <v>Pass</v>
      </c>
    </row>
    <row r="6" spans="2:15" x14ac:dyDescent="0.25">
      <c r="B6" s="45" t="s">
        <v>0</v>
      </c>
      <c r="C6" s="45" t="s">
        <v>399</v>
      </c>
      <c r="D6" s="12">
        <v>20</v>
      </c>
      <c r="E6" s="45" t="s">
        <v>0</v>
      </c>
      <c r="F6" s="12">
        <v>19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402</v>
      </c>
      <c r="M6" s="12" t="str">
        <f>IF(ISERROR(VLOOKUP($O$1,$H$2:$H$27,1,)),"Pass","Fail")</f>
        <v>Pass</v>
      </c>
    </row>
    <row r="7" spans="2:15" x14ac:dyDescent="0.25">
      <c r="B7" s="45" t="s">
        <v>2</v>
      </c>
      <c r="C7" s="45" t="s">
        <v>399</v>
      </c>
      <c r="D7" s="53">
        <v>22</v>
      </c>
      <c r="E7" s="45" t="s">
        <v>2</v>
      </c>
      <c r="F7" s="12">
        <v>22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4" t="s">
        <v>467</v>
      </c>
      <c r="M7" s="39">
        <f>IF(M2=0,0%,N2/M2)</f>
        <v>6.76601326240618E-2</v>
      </c>
    </row>
    <row r="8" spans="2:15" x14ac:dyDescent="0.25">
      <c r="B8" s="45" t="s">
        <v>3</v>
      </c>
      <c r="C8" s="45" t="s">
        <v>399</v>
      </c>
      <c r="D8" s="12">
        <v>100</v>
      </c>
      <c r="E8" s="45" t="s">
        <v>3</v>
      </c>
      <c r="F8" s="12">
        <v>17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4" t="s">
        <v>466</v>
      </c>
      <c r="M8" s="41">
        <f>File_Size_Comparision!F4</f>
        <v>9.7201767304860104E-2</v>
      </c>
    </row>
    <row r="9" spans="2:15" x14ac:dyDescent="0.25">
      <c r="B9" s="45" t="s">
        <v>4</v>
      </c>
      <c r="C9" s="45" t="s">
        <v>399</v>
      </c>
      <c r="D9" s="12">
        <v>100</v>
      </c>
      <c r="E9" s="45" t="s">
        <v>4</v>
      </c>
      <c r="F9" s="12">
        <v>0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5" t="s">
        <v>5</v>
      </c>
      <c r="C10" s="45" t="s">
        <v>400</v>
      </c>
      <c r="D10" s="12">
        <v>100</v>
      </c>
      <c r="E10" s="45" t="s">
        <v>5</v>
      </c>
      <c r="F10" s="12">
        <v>19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5" t="s">
        <v>6</v>
      </c>
      <c r="C11" s="45" t="s">
        <v>399</v>
      </c>
      <c r="D11" s="12">
        <v>10</v>
      </c>
      <c r="E11" s="45" t="s">
        <v>6</v>
      </c>
      <c r="F11" s="12">
        <v>6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3"/>
    </row>
    <row r="12" spans="2:15" x14ac:dyDescent="0.25">
      <c r="B12" s="45" t="s">
        <v>7</v>
      </c>
      <c r="C12" s="45" t="s">
        <v>399</v>
      </c>
      <c r="D12" s="12">
        <v>10</v>
      </c>
      <c r="E12" s="45" t="s">
        <v>7</v>
      </c>
      <c r="F12" s="12">
        <v>1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5" t="s">
        <v>8</v>
      </c>
      <c r="C13" s="45" t="s">
        <v>399</v>
      </c>
      <c r="D13" s="12" t="s">
        <v>476</v>
      </c>
      <c r="E13" s="45" t="s">
        <v>8</v>
      </c>
      <c r="F13" s="12">
        <v>10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5" t="s">
        <v>9</v>
      </c>
      <c r="C14" s="45" t="s">
        <v>399</v>
      </c>
      <c r="D14" s="12">
        <v>100</v>
      </c>
      <c r="E14" s="45" t="s">
        <v>9</v>
      </c>
      <c r="F14" s="12">
        <v>0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5" t="s">
        <v>10</v>
      </c>
      <c r="C15" s="45" t="s">
        <v>399</v>
      </c>
      <c r="D15" s="12">
        <v>100</v>
      </c>
      <c r="E15" s="45" t="s">
        <v>10</v>
      </c>
      <c r="F15" s="12">
        <v>0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5" t="s">
        <v>11</v>
      </c>
      <c r="C16" s="45" t="s">
        <v>399</v>
      </c>
      <c r="D16" s="12">
        <v>100</v>
      </c>
      <c r="E16" s="45" t="s">
        <v>11</v>
      </c>
      <c r="F16" s="12">
        <v>0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5" t="s">
        <v>12</v>
      </c>
      <c r="C17" s="45" t="s">
        <v>399</v>
      </c>
      <c r="D17" s="12">
        <v>100</v>
      </c>
      <c r="E17" s="45" t="s">
        <v>12</v>
      </c>
      <c r="F17" s="12">
        <v>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5" t="s">
        <v>13</v>
      </c>
      <c r="C18" s="45" t="s">
        <v>399</v>
      </c>
      <c r="D18" s="12">
        <v>100</v>
      </c>
      <c r="E18" s="45" t="s">
        <v>13</v>
      </c>
      <c r="F18" s="12">
        <v>2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5" t="s">
        <v>14</v>
      </c>
      <c r="C19" s="45" t="s">
        <v>399</v>
      </c>
      <c r="D19" s="12">
        <v>100</v>
      </c>
      <c r="E19" s="45" t="s">
        <v>14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5" t="s">
        <v>15</v>
      </c>
      <c r="C20" s="45" t="s">
        <v>399</v>
      </c>
      <c r="D20" s="12">
        <v>100</v>
      </c>
      <c r="E20" s="45" t="s">
        <v>15</v>
      </c>
      <c r="F20" s="12">
        <v>0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5" t="s">
        <v>16</v>
      </c>
      <c r="C21" s="45" t="s">
        <v>399</v>
      </c>
      <c r="D21" s="46">
        <v>100</v>
      </c>
      <c r="E21" s="45" t="s">
        <v>16</v>
      </c>
      <c r="F21" s="12">
        <v>0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5" t="s">
        <v>17</v>
      </c>
      <c r="C22" s="45" t="s">
        <v>399</v>
      </c>
      <c r="D22" s="12">
        <v>100</v>
      </c>
      <c r="E22" s="45" t="s">
        <v>17</v>
      </c>
      <c r="F22" s="12">
        <v>0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5" t="s">
        <v>18</v>
      </c>
      <c r="C23" s="45" t="s">
        <v>399</v>
      </c>
      <c r="D23" s="12">
        <v>10</v>
      </c>
      <c r="E23" s="45" t="s">
        <v>18</v>
      </c>
      <c r="F23" s="12">
        <v>3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5" t="s">
        <v>19</v>
      </c>
      <c r="C24" s="45" t="s">
        <v>399</v>
      </c>
      <c r="D24" s="12">
        <v>50</v>
      </c>
      <c r="E24" s="45" t="s">
        <v>19</v>
      </c>
      <c r="F24" s="12">
        <v>22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5" t="s">
        <v>86</v>
      </c>
      <c r="C25" s="45" t="s">
        <v>399</v>
      </c>
      <c r="D25" s="12">
        <v>100</v>
      </c>
      <c r="E25" s="45" t="s">
        <v>86</v>
      </c>
      <c r="F25" s="12">
        <v>78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5" t="s">
        <v>87</v>
      </c>
      <c r="C26" s="45" t="s">
        <v>399</v>
      </c>
      <c r="D26" s="12">
        <v>100</v>
      </c>
      <c r="E26" s="45" t="s">
        <v>87</v>
      </c>
      <c r="F26" s="12">
        <v>10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5" t="s">
        <v>88</v>
      </c>
      <c r="C27" s="45" t="s">
        <v>399</v>
      </c>
      <c r="D27" s="12">
        <v>100</v>
      </c>
      <c r="E27" s="45" t="s">
        <v>88</v>
      </c>
      <c r="F27" s="12">
        <v>33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47" priority="7" operator="equal">
      <formula>"Fail"</formula>
    </cfRule>
    <cfRule type="cellIs" dxfId="146" priority="8" operator="equal">
      <formula>"Pass"</formula>
    </cfRule>
  </conditionalFormatting>
  <conditionalFormatting sqref="M5:M6">
    <cfRule type="cellIs" dxfId="145" priority="1" operator="equal">
      <formula>"Fail"</formula>
    </cfRule>
    <cfRule type="cellIs" dxfId="14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 x14ac:dyDescent="0.25">
      <c r="B2" s="1" t="s">
        <v>0</v>
      </c>
      <c r="C2" s="18" t="s">
        <v>399</v>
      </c>
      <c r="D2" s="12">
        <v>20</v>
      </c>
      <c r="E2" s="1" t="s">
        <v>0</v>
      </c>
      <c r="F2" s="12">
        <v>19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2">
        <v>183840</v>
      </c>
      <c r="M2" s="20">
        <v>183840</v>
      </c>
      <c r="N2" s="23">
        <f>L2-M2</f>
        <v>0</v>
      </c>
    </row>
    <row r="3" spans="2:15" x14ac:dyDescent="0.25">
      <c r="B3" s="1" t="s">
        <v>1</v>
      </c>
      <c r="C3" s="18" t="s">
        <v>399</v>
      </c>
      <c r="D3" s="12">
        <v>20</v>
      </c>
      <c r="E3" s="1" t="s">
        <v>1</v>
      </c>
      <c r="F3" s="12">
        <v>0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1" t="s">
        <v>468</v>
      </c>
      <c r="M3" s="22">
        <v>164648</v>
      </c>
      <c r="N3" s="23">
        <f>L2-M3</f>
        <v>19192</v>
      </c>
    </row>
    <row r="4" spans="2:15" x14ac:dyDescent="0.25">
      <c r="B4" s="1" t="s">
        <v>2</v>
      </c>
      <c r="C4" s="18" t="s">
        <v>399</v>
      </c>
      <c r="D4" s="53">
        <v>22</v>
      </c>
      <c r="E4" s="1" t="s">
        <v>2</v>
      </c>
      <c r="F4" s="12">
        <v>22</v>
      </c>
      <c r="G4" s="12" t="str">
        <f t="shared" si="0"/>
        <v>Pass</v>
      </c>
      <c r="H4" s="13" t="str">
        <f t="shared" si="1"/>
        <v>Pass</v>
      </c>
      <c r="I4" s="3" t="str">
        <f t="shared" si="2"/>
        <v>mbrssn</v>
      </c>
      <c r="J4" s="3" t="str">
        <f t="shared" si="3"/>
        <v>mbrssn</v>
      </c>
    </row>
    <row r="5" spans="2:15" x14ac:dyDescent="0.25">
      <c r="B5" s="1" t="s">
        <v>3</v>
      </c>
      <c r="C5" s="18" t="s">
        <v>399</v>
      </c>
      <c r="D5" s="12">
        <v>30</v>
      </c>
      <c r="E5" s="1" t="s">
        <v>3</v>
      </c>
      <c r="F5" s="12">
        <v>17</v>
      </c>
      <c r="G5" s="12" t="str">
        <f t="shared" si="0"/>
        <v>Pass</v>
      </c>
      <c r="H5" s="13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5" t="s">
        <v>403</v>
      </c>
      <c r="M5" s="19" t="s">
        <v>401</v>
      </c>
      <c r="N5" s="42"/>
    </row>
    <row r="6" spans="2:15" x14ac:dyDescent="0.25">
      <c r="B6" s="1" t="s">
        <v>4</v>
      </c>
      <c r="C6" s="18" t="s">
        <v>399</v>
      </c>
      <c r="D6" s="12">
        <v>30</v>
      </c>
      <c r="E6" s="1" t="s">
        <v>4</v>
      </c>
      <c r="F6" s="12">
        <v>0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4" t="s">
        <v>81</v>
      </c>
      <c r="M6" s="12" t="str">
        <f>IF(ISERROR(VLOOKUP($O$1,$G$2:$G$94,1,)),"Pass","Fail")</f>
        <v>Pass</v>
      </c>
      <c r="N6" s="38"/>
    </row>
    <row r="7" spans="2:15" x14ac:dyDescent="0.25">
      <c r="B7" s="1" t="s">
        <v>5</v>
      </c>
      <c r="C7" s="18" t="s">
        <v>399</v>
      </c>
      <c r="D7" s="12">
        <v>30</v>
      </c>
      <c r="E7" s="1" t="s">
        <v>5</v>
      </c>
      <c r="F7" s="12">
        <v>19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4" t="s">
        <v>402</v>
      </c>
      <c r="M7" s="12" t="str">
        <f>IF(ISERROR(VLOOKUP($O$1,$H$2:$H$94,1,)),"Pass","Fail")</f>
        <v>Pass</v>
      </c>
      <c r="N7" s="38"/>
    </row>
    <row r="8" spans="2:15" x14ac:dyDescent="0.25">
      <c r="B8" s="1" t="s">
        <v>6</v>
      </c>
      <c r="C8" s="18" t="s">
        <v>399</v>
      </c>
      <c r="D8" s="12">
        <v>20</v>
      </c>
      <c r="E8" s="1" t="s">
        <v>6</v>
      </c>
      <c r="F8" s="12">
        <v>6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4" t="s">
        <v>465</v>
      </c>
      <c r="M8" s="40" t="str">
        <f>IF(N2=0,"Pass","Fail")</f>
        <v>Pass</v>
      </c>
    </row>
    <row r="9" spans="2:15" x14ac:dyDescent="0.25">
      <c r="B9" s="1" t="s">
        <v>7</v>
      </c>
      <c r="C9" s="18" t="s">
        <v>399</v>
      </c>
      <c r="D9" s="12">
        <v>2</v>
      </c>
      <c r="E9" s="1" t="s">
        <v>7</v>
      </c>
      <c r="F9" s="12">
        <v>1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4" t="s">
        <v>467</v>
      </c>
      <c r="M9" s="41">
        <f>IF(M3=0,0%,N3/M3)</f>
        <v>0.11656382099995141</v>
      </c>
    </row>
    <row r="10" spans="2:15" x14ac:dyDescent="0.25">
      <c r="B10" s="1" t="s">
        <v>8</v>
      </c>
      <c r="C10" s="18" t="s">
        <v>400</v>
      </c>
      <c r="D10" s="12" t="s">
        <v>476</v>
      </c>
      <c r="E10" s="1" t="s">
        <v>8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4" t="s">
        <v>466</v>
      </c>
      <c r="M10" s="41">
        <f>File_Size_Comparision!F5</f>
        <v>0.10524628699647406</v>
      </c>
    </row>
    <row r="11" spans="2:15" x14ac:dyDescent="0.25">
      <c r="B11" s="1" t="s">
        <v>9</v>
      </c>
      <c r="C11" s="18" t="s">
        <v>399</v>
      </c>
      <c r="D11" s="12">
        <v>50</v>
      </c>
      <c r="E11" s="1" t="s">
        <v>9</v>
      </c>
      <c r="F11" s="12">
        <v>0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3"/>
    </row>
    <row r="12" spans="2:15" x14ac:dyDescent="0.25">
      <c r="B12" s="1" t="s">
        <v>10</v>
      </c>
      <c r="C12" s="18" t="s">
        <v>399</v>
      </c>
      <c r="D12" s="12">
        <v>50</v>
      </c>
      <c r="E12" s="1" t="s">
        <v>10</v>
      </c>
      <c r="F12" s="12">
        <v>0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8" t="s">
        <v>399</v>
      </c>
      <c r="D13" s="12">
        <v>100</v>
      </c>
      <c r="E13" s="1" t="s">
        <v>11</v>
      </c>
      <c r="F13" s="12">
        <v>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8" t="s">
        <v>399</v>
      </c>
      <c r="D14" s="12">
        <v>20</v>
      </c>
      <c r="E14" s="1" t="s">
        <v>12</v>
      </c>
      <c r="F14" s="12">
        <v>0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8" t="s">
        <v>399</v>
      </c>
      <c r="D15" s="12">
        <v>2</v>
      </c>
      <c r="E15" s="1" t="s">
        <v>13</v>
      </c>
      <c r="F15" s="12">
        <v>2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8" t="s">
        <v>399</v>
      </c>
      <c r="D16" s="12">
        <v>12</v>
      </c>
      <c r="E16" s="1" t="s">
        <v>14</v>
      </c>
      <c r="F16" s="12">
        <v>5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8" t="s">
        <v>399</v>
      </c>
      <c r="D17" s="12">
        <v>15</v>
      </c>
      <c r="E17" s="1" t="s">
        <v>15</v>
      </c>
      <c r="F17" s="12">
        <v>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8" t="s">
        <v>399</v>
      </c>
      <c r="D18" s="12">
        <v>32</v>
      </c>
      <c r="E18" s="1" t="s">
        <v>16</v>
      </c>
      <c r="F18" s="12">
        <v>0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8" t="s">
        <v>399</v>
      </c>
      <c r="D19" s="12">
        <v>50</v>
      </c>
      <c r="E19" s="1" t="s">
        <v>17</v>
      </c>
      <c r="F19" s="12">
        <v>0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8" t="s">
        <v>399</v>
      </c>
      <c r="D20" s="12">
        <v>5</v>
      </c>
      <c r="E20" s="1" t="s">
        <v>18</v>
      </c>
      <c r="F20" s="12">
        <v>3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8" t="s">
        <v>399</v>
      </c>
      <c r="D21" s="53">
        <v>22</v>
      </c>
      <c r="E21" s="1" t="s">
        <v>19</v>
      </c>
      <c r="F21" s="12">
        <v>22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8" t="s">
        <v>399</v>
      </c>
      <c r="D22" s="12">
        <v>20</v>
      </c>
      <c r="E22" s="1" t="s">
        <v>20</v>
      </c>
      <c r="F22" s="12">
        <v>3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8" t="s">
        <v>399</v>
      </c>
      <c r="D23" s="12">
        <v>255</v>
      </c>
      <c r="E23" s="1" t="s">
        <v>21</v>
      </c>
      <c r="F23" s="12">
        <v>25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8" t="s">
        <v>399</v>
      </c>
      <c r="D24" s="12">
        <v>20</v>
      </c>
      <c r="E24" s="1" t="s">
        <v>22</v>
      </c>
      <c r="F24" s="12">
        <v>13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8" t="s">
        <v>399</v>
      </c>
      <c r="D25" s="12">
        <v>50</v>
      </c>
      <c r="E25" s="1" t="s">
        <v>23</v>
      </c>
      <c r="F25" s="12">
        <v>40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8" t="s">
        <v>399</v>
      </c>
      <c r="D26" s="12">
        <v>20</v>
      </c>
      <c r="E26" s="1" t="s">
        <v>24</v>
      </c>
      <c r="F26" s="12">
        <v>3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8" t="s">
        <v>399</v>
      </c>
      <c r="D27" s="12">
        <v>50</v>
      </c>
      <c r="E27" s="1" t="s">
        <v>25</v>
      </c>
      <c r="F27" s="12">
        <v>41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8" t="s">
        <v>399</v>
      </c>
      <c r="D28" s="12">
        <v>20</v>
      </c>
      <c r="E28" s="1" t="s">
        <v>26</v>
      </c>
      <c r="F28" s="12">
        <v>13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8" t="s">
        <v>399</v>
      </c>
      <c r="D29" s="12">
        <v>100</v>
      </c>
      <c r="E29" s="1" t="s">
        <v>27</v>
      </c>
      <c r="F29" s="12">
        <v>14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8" t="s">
        <v>399</v>
      </c>
      <c r="D30" s="12">
        <v>20</v>
      </c>
      <c r="E30" s="1" t="s">
        <v>28</v>
      </c>
      <c r="F30" s="12">
        <v>13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8" t="s">
        <v>399</v>
      </c>
      <c r="D31" s="12">
        <v>50</v>
      </c>
      <c r="E31" s="1" t="s">
        <v>29</v>
      </c>
      <c r="F31" s="12">
        <v>31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8" t="s">
        <v>399</v>
      </c>
      <c r="D32" s="12">
        <v>20</v>
      </c>
      <c r="E32" s="1" t="s">
        <v>30</v>
      </c>
      <c r="F32" s="12">
        <v>8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8" t="s">
        <v>399</v>
      </c>
      <c r="D33" s="12">
        <v>100</v>
      </c>
      <c r="E33" s="1" t="s">
        <v>31</v>
      </c>
      <c r="F33" s="12">
        <v>56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8" t="s">
        <v>399</v>
      </c>
      <c r="D34" s="12">
        <v>2</v>
      </c>
      <c r="E34" s="1" t="s">
        <v>32</v>
      </c>
      <c r="F34" s="12">
        <v>1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8" t="s">
        <v>399</v>
      </c>
      <c r="D35" s="12">
        <v>30</v>
      </c>
      <c r="E35" s="1" t="s">
        <v>33</v>
      </c>
      <c r="F35" s="12">
        <v>1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8" t="s">
        <v>400</v>
      </c>
      <c r="D36" s="12" t="s">
        <v>476</v>
      </c>
      <c r="E36" s="1" t="s">
        <v>34</v>
      </c>
      <c r="F36" s="12">
        <v>10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8" t="s">
        <v>400</v>
      </c>
      <c r="D37" s="12" t="s">
        <v>476</v>
      </c>
      <c r="E37" s="1" t="s">
        <v>35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8" t="s">
        <v>400</v>
      </c>
      <c r="D38" s="12" t="s">
        <v>476</v>
      </c>
      <c r="E38" s="1" t="s">
        <v>36</v>
      </c>
      <c r="F38" s="12">
        <v>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8" t="s">
        <v>400</v>
      </c>
      <c r="D39" s="12" t="s">
        <v>476</v>
      </c>
      <c r="E39" s="1" t="s">
        <v>37</v>
      </c>
      <c r="F39" s="12">
        <v>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8" t="s">
        <v>400</v>
      </c>
      <c r="D40" s="12" t="s">
        <v>476</v>
      </c>
      <c r="E40" s="1" t="s">
        <v>38</v>
      </c>
      <c r="F40" s="12">
        <v>0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8" t="s">
        <v>400</v>
      </c>
      <c r="D41" s="12" t="s">
        <v>476</v>
      </c>
      <c r="E41" s="1" t="s">
        <v>39</v>
      </c>
      <c r="F41" s="12">
        <v>0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8" t="s">
        <v>400</v>
      </c>
      <c r="D42" s="12" t="s">
        <v>476</v>
      </c>
      <c r="E42" s="1" t="s">
        <v>40</v>
      </c>
      <c r="F42" s="12">
        <v>0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8" t="s">
        <v>400</v>
      </c>
      <c r="D43" s="12" t="s">
        <v>476</v>
      </c>
      <c r="E43" s="1" t="s">
        <v>41</v>
      </c>
      <c r="F43" s="12">
        <v>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8" t="s">
        <v>400</v>
      </c>
      <c r="D44" s="12" t="s">
        <v>476</v>
      </c>
      <c r="E44" s="1" t="s">
        <v>42</v>
      </c>
      <c r="F44" s="12">
        <v>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8" t="s">
        <v>400</v>
      </c>
      <c r="D45" s="12" t="s">
        <v>476</v>
      </c>
      <c r="E45" s="1" t="s">
        <v>43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8" t="s">
        <v>400</v>
      </c>
      <c r="D46" s="12" t="s">
        <v>476</v>
      </c>
      <c r="E46" s="1" t="s">
        <v>44</v>
      </c>
      <c r="F46" s="12">
        <v>0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8" t="s">
        <v>400</v>
      </c>
      <c r="D47" s="12" t="s">
        <v>476</v>
      </c>
      <c r="E47" s="1" t="s">
        <v>45</v>
      </c>
      <c r="F47" s="12">
        <v>0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8" t="s">
        <v>399</v>
      </c>
      <c r="D48" s="12">
        <v>50</v>
      </c>
      <c r="E48" s="1" t="s">
        <v>46</v>
      </c>
      <c r="F48" s="12">
        <v>0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8" t="s">
        <v>399</v>
      </c>
      <c r="D49" s="12">
        <v>100</v>
      </c>
      <c r="E49" s="1" t="s">
        <v>47</v>
      </c>
      <c r="F49" s="12">
        <v>0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8" t="s">
        <v>399</v>
      </c>
      <c r="D50" s="12">
        <v>30</v>
      </c>
      <c r="E50" s="1" t="s">
        <v>48</v>
      </c>
      <c r="F50" s="12">
        <v>0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8" t="s">
        <v>399</v>
      </c>
      <c r="D51" s="12">
        <v>30</v>
      </c>
      <c r="E51" s="1" t="s">
        <v>49</v>
      </c>
      <c r="F51" s="12">
        <v>0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8" t="s">
        <v>399</v>
      </c>
      <c r="D52" s="12">
        <v>15</v>
      </c>
      <c r="E52" s="1" t="s">
        <v>50</v>
      </c>
      <c r="F52" s="12">
        <v>0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8" t="s">
        <v>399</v>
      </c>
      <c r="D53" s="12">
        <v>100</v>
      </c>
      <c r="E53" s="1" t="s">
        <v>51</v>
      </c>
      <c r="F53" s="12">
        <v>30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8" t="s">
        <v>399</v>
      </c>
      <c r="D54" s="12">
        <v>100</v>
      </c>
      <c r="E54" s="1" t="s">
        <v>52</v>
      </c>
      <c r="F54" s="12">
        <v>0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8" t="s">
        <v>399</v>
      </c>
      <c r="D55" s="12">
        <v>100</v>
      </c>
      <c r="E55" s="1" t="s">
        <v>53</v>
      </c>
      <c r="F55" s="12">
        <v>0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8" t="s">
        <v>399</v>
      </c>
      <c r="D56" s="12">
        <v>100</v>
      </c>
      <c r="E56" s="1" t="s">
        <v>54</v>
      </c>
      <c r="F56" s="12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8" t="s">
        <v>399</v>
      </c>
      <c r="D57" s="12">
        <v>100</v>
      </c>
      <c r="E57" s="1" t="s">
        <v>55</v>
      </c>
      <c r="F57" s="12">
        <v>0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8" t="s">
        <v>399</v>
      </c>
      <c r="D58" s="12">
        <v>100</v>
      </c>
      <c r="E58" s="1" t="s">
        <v>56</v>
      </c>
      <c r="F58" s="12">
        <v>0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8" t="s">
        <v>399</v>
      </c>
      <c r="D59" s="12">
        <v>100</v>
      </c>
      <c r="E59" s="1" t="s">
        <v>57</v>
      </c>
      <c r="F59" s="12">
        <v>0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8" t="s">
        <v>399</v>
      </c>
      <c r="D60" s="12">
        <v>100</v>
      </c>
      <c r="E60" s="1" t="s">
        <v>58</v>
      </c>
      <c r="F60" s="12">
        <v>0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8" t="s">
        <v>399</v>
      </c>
      <c r="D61" s="12">
        <v>100</v>
      </c>
      <c r="E61" s="1" t="s">
        <v>59</v>
      </c>
      <c r="F61" s="12">
        <v>0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8" t="s">
        <v>399</v>
      </c>
      <c r="D62" s="12">
        <v>100</v>
      </c>
      <c r="E62" s="1" t="s">
        <v>60</v>
      </c>
      <c r="F62" s="12">
        <v>0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8" t="s">
        <v>399</v>
      </c>
      <c r="D63" s="12">
        <v>100</v>
      </c>
      <c r="E63" s="1" t="s">
        <v>61</v>
      </c>
      <c r="F63" s="12">
        <v>0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8" t="s">
        <v>399</v>
      </c>
      <c r="D64" s="12">
        <v>100</v>
      </c>
      <c r="E64" s="1" t="s">
        <v>62</v>
      </c>
      <c r="F64" s="12">
        <v>0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8" t="s">
        <v>399</v>
      </c>
      <c r="D65" s="12">
        <v>100</v>
      </c>
      <c r="E65" s="1" t="s">
        <v>63</v>
      </c>
      <c r="F65" s="12">
        <v>0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8" t="s">
        <v>399</v>
      </c>
      <c r="D66" s="12">
        <v>100</v>
      </c>
      <c r="E66" s="1" t="s">
        <v>64</v>
      </c>
      <c r="F66" s="12">
        <v>0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8" t="s">
        <v>399</v>
      </c>
      <c r="D67" s="12">
        <v>100</v>
      </c>
      <c r="E67" s="1" t="s">
        <v>65</v>
      </c>
      <c r="F67" s="12">
        <v>0</v>
      </c>
      <c r="G67" s="12" t="str">
        <f t="shared" ref="G67:G94" si="4">IF(I67=J67,"Pass","Fail")</f>
        <v>Pass</v>
      </c>
      <c r="H67" s="13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8" t="s">
        <v>399</v>
      </c>
      <c r="D68" s="12">
        <v>100</v>
      </c>
      <c r="E68" s="1" t="s">
        <v>66</v>
      </c>
      <c r="F68" s="12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8" t="s">
        <v>399</v>
      </c>
      <c r="D69" s="12">
        <v>100</v>
      </c>
      <c r="E69" s="1" t="s">
        <v>67</v>
      </c>
      <c r="F69" s="12">
        <v>14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8" t="s">
        <v>399</v>
      </c>
      <c r="D70" s="12">
        <v>100</v>
      </c>
      <c r="E70" s="1" t="s">
        <v>68</v>
      </c>
      <c r="F70" s="12">
        <v>8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8" t="s">
        <v>399</v>
      </c>
      <c r="D71" s="12">
        <v>100</v>
      </c>
      <c r="E71" s="1" t="s">
        <v>69</v>
      </c>
      <c r="F71" s="12">
        <v>14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8" t="s">
        <v>399</v>
      </c>
      <c r="D72" s="12">
        <v>100</v>
      </c>
      <c r="E72" s="1" t="s">
        <v>70</v>
      </c>
      <c r="F72" s="12">
        <v>8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8" t="s">
        <v>399</v>
      </c>
      <c r="D73" s="12">
        <v>50</v>
      </c>
      <c r="E73" s="1" t="s">
        <v>71</v>
      </c>
      <c r="F73" s="12">
        <v>32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2" t="s">
        <v>86</v>
      </c>
      <c r="C74" s="32" t="s">
        <v>399</v>
      </c>
      <c r="D74" s="12">
        <v>500</v>
      </c>
      <c r="E74" s="32" t="s">
        <v>86</v>
      </c>
      <c r="F74" s="12">
        <v>78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2" t="s">
        <v>436</v>
      </c>
      <c r="C75" s="32" t="s">
        <v>399</v>
      </c>
      <c r="D75" s="12">
        <v>100</v>
      </c>
      <c r="E75" s="32" t="s">
        <v>436</v>
      </c>
      <c r="F75" s="12">
        <v>14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2" t="s">
        <v>437</v>
      </c>
      <c r="C76" s="32" t="s">
        <v>399</v>
      </c>
      <c r="D76" s="12">
        <v>100</v>
      </c>
      <c r="E76" s="32" t="s">
        <v>437</v>
      </c>
      <c r="F76" s="12">
        <v>5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2" t="s">
        <v>438</v>
      </c>
      <c r="C77" s="32" t="s">
        <v>399</v>
      </c>
      <c r="D77" s="12">
        <v>100</v>
      </c>
      <c r="E77" s="32" t="s">
        <v>438</v>
      </c>
      <c r="F77" s="12">
        <v>5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2" t="s">
        <v>439</v>
      </c>
      <c r="C78" s="32" t="s">
        <v>399</v>
      </c>
      <c r="D78" s="12">
        <v>100</v>
      </c>
      <c r="E78" s="32" t="s">
        <v>439</v>
      </c>
      <c r="F78" s="12">
        <v>5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2" t="s">
        <v>440</v>
      </c>
      <c r="C79" s="32" t="s">
        <v>399</v>
      </c>
      <c r="D79" s="12">
        <v>100</v>
      </c>
      <c r="E79" s="32" t="s">
        <v>440</v>
      </c>
      <c r="F79" s="12">
        <v>5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2" t="s">
        <v>441</v>
      </c>
      <c r="C80" s="32" t="s">
        <v>399</v>
      </c>
      <c r="D80" s="12">
        <v>100</v>
      </c>
      <c r="E80" s="32" t="s">
        <v>441</v>
      </c>
      <c r="F80" s="12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2" t="s">
        <v>442</v>
      </c>
      <c r="C81" s="32" t="s">
        <v>399</v>
      </c>
      <c r="D81" s="12">
        <v>100</v>
      </c>
      <c r="E81" s="32" t="s">
        <v>442</v>
      </c>
      <c r="F81" s="12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2" t="s">
        <v>443</v>
      </c>
      <c r="C82" s="32" t="s">
        <v>399</v>
      </c>
      <c r="D82" s="12">
        <v>100</v>
      </c>
      <c r="E82" s="32" t="s">
        <v>443</v>
      </c>
      <c r="F82" s="12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2" t="s">
        <v>444</v>
      </c>
      <c r="C83" s="32" t="s">
        <v>399</v>
      </c>
      <c r="D83" s="12">
        <v>100</v>
      </c>
      <c r="E83" s="32" t="s">
        <v>444</v>
      </c>
      <c r="F83" s="12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2" t="s">
        <v>445</v>
      </c>
      <c r="C84" s="32" t="s">
        <v>399</v>
      </c>
      <c r="D84" s="12">
        <v>100</v>
      </c>
      <c r="E84" s="32" t="s">
        <v>445</v>
      </c>
      <c r="F84" s="12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2" t="s">
        <v>446</v>
      </c>
      <c r="C85" s="32" t="s">
        <v>399</v>
      </c>
      <c r="D85" s="12">
        <v>100</v>
      </c>
      <c r="E85" s="32" t="s">
        <v>446</v>
      </c>
      <c r="F85" s="12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2" t="s">
        <v>447</v>
      </c>
      <c r="C86" s="32" t="s">
        <v>399</v>
      </c>
      <c r="D86" s="12">
        <v>100</v>
      </c>
      <c r="E86" s="32" t="s">
        <v>447</v>
      </c>
      <c r="F86" s="12">
        <v>0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2" t="s">
        <v>448</v>
      </c>
      <c r="C87" s="32" t="s">
        <v>399</v>
      </c>
      <c r="D87" s="12">
        <v>100</v>
      </c>
      <c r="E87" s="32" t="s">
        <v>448</v>
      </c>
      <c r="F87" s="12">
        <v>0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2" t="s">
        <v>449</v>
      </c>
      <c r="C88" s="32" t="s">
        <v>399</v>
      </c>
      <c r="D88" s="12">
        <v>100</v>
      </c>
      <c r="E88" s="32" t="s">
        <v>449</v>
      </c>
      <c r="F88" s="12">
        <v>0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2" t="s">
        <v>450</v>
      </c>
      <c r="C89" s="32" t="s">
        <v>399</v>
      </c>
      <c r="D89" s="12">
        <v>100</v>
      </c>
      <c r="E89" s="32" t="s">
        <v>450</v>
      </c>
      <c r="F89" s="12">
        <v>0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2" t="s">
        <v>451</v>
      </c>
      <c r="C90" s="32" t="s">
        <v>399</v>
      </c>
      <c r="D90" s="12">
        <v>100</v>
      </c>
      <c r="E90" s="32" t="s">
        <v>451</v>
      </c>
      <c r="F90" s="12">
        <v>0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2" t="s">
        <v>452</v>
      </c>
      <c r="C91" s="32" t="s">
        <v>399</v>
      </c>
      <c r="D91" s="12">
        <v>100</v>
      </c>
      <c r="E91" s="32" t="s">
        <v>452</v>
      </c>
      <c r="F91" s="12">
        <v>0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2" t="s">
        <v>453</v>
      </c>
      <c r="C92" s="32" t="s">
        <v>399</v>
      </c>
      <c r="D92" s="12">
        <v>100</v>
      </c>
      <c r="E92" s="32" t="s">
        <v>453</v>
      </c>
      <c r="F92" s="12">
        <v>0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2" t="s">
        <v>454</v>
      </c>
      <c r="C93" s="32" t="s">
        <v>399</v>
      </c>
      <c r="D93" s="12">
        <v>100</v>
      </c>
      <c r="E93" s="32" t="s">
        <v>454</v>
      </c>
      <c r="F93" s="12">
        <v>0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2" t="s">
        <v>455</v>
      </c>
      <c r="C94" s="32" t="s">
        <v>399</v>
      </c>
      <c r="D94" s="12">
        <v>100</v>
      </c>
      <c r="E94" s="32" t="s">
        <v>455</v>
      </c>
      <c r="F94" s="12">
        <v>0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43" priority="23" operator="equal">
      <formula>"Fail"</formula>
    </cfRule>
    <cfRule type="cellIs" dxfId="142" priority="24" operator="equal">
      <formula>"Pass"</formula>
    </cfRule>
  </conditionalFormatting>
  <conditionalFormatting sqref="M6:N7">
    <cfRule type="cellIs" dxfId="141" priority="5" operator="equal">
      <formula>"Fail"</formula>
    </cfRule>
    <cfRule type="cellIs" dxfId="140" priority="6" operator="equal">
      <formula>"Pass"</formula>
    </cfRule>
  </conditionalFormatting>
  <conditionalFormatting sqref="M8">
    <cfRule type="containsText" dxfId="139" priority="1" operator="containsText" text="Pass">
      <formula>NOT(ISERROR(SEARCH("Pass",M8)))</formula>
    </cfRule>
    <cfRule type="containsText" dxfId="138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460</v>
      </c>
      <c r="M1" s="21" t="s">
        <v>461</v>
      </c>
      <c r="N1" s="21" t="s">
        <v>396</v>
      </c>
      <c r="O1" s="26" t="s">
        <v>413</v>
      </c>
    </row>
    <row r="2" spans="2:15" x14ac:dyDescent="0.25">
      <c r="B2" s="47" t="s">
        <v>83</v>
      </c>
      <c r="C2" s="47" t="s">
        <v>399</v>
      </c>
      <c r="D2" s="12"/>
      <c r="E2" s="47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>
        <v>29303</v>
      </c>
      <c r="M2" s="20">
        <v>27446</v>
      </c>
      <c r="N2" s="23">
        <f>L2-M2</f>
        <v>1857</v>
      </c>
    </row>
    <row r="3" spans="2:15" x14ac:dyDescent="0.25">
      <c r="B3" s="47" t="s">
        <v>84</v>
      </c>
      <c r="C3" s="47" t="s">
        <v>399</v>
      </c>
      <c r="D3" s="12">
        <v>50</v>
      </c>
      <c r="E3" s="47" t="s">
        <v>84</v>
      </c>
      <c r="F3" s="12">
        <v>8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2">
        <v>50</v>
      </c>
      <c r="E4" s="47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5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2">
        <v>50</v>
      </c>
      <c r="E5" s="47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81</v>
      </c>
      <c r="M5" s="12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12">
        <v>20</v>
      </c>
      <c r="E6" s="47" t="s">
        <v>0</v>
      </c>
      <c r="F6" s="12">
        <v>19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402</v>
      </c>
      <c r="M6" s="12" t="str">
        <f>IF(ISERROR(VLOOKUP($O$1,$H$2:$H$10,1,)),"Pass","Fail")</f>
        <v>Pass</v>
      </c>
    </row>
    <row r="7" spans="2:15" x14ac:dyDescent="0.25">
      <c r="B7" s="47" t="s">
        <v>480</v>
      </c>
      <c r="C7" s="47" t="s">
        <v>399</v>
      </c>
      <c r="D7" s="12">
        <v>10</v>
      </c>
      <c r="E7" s="47" t="s">
        <v>540</v>
      </c>
      <c r="F7" s="12">
        <v>8</v>
      </c>
      <c r="G7" s="12" t="str">
        <f t="shared" si="0"/>
        <v>Pass</v>
      </c>
      <c r="H7" s="13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4" t="s">
        <v>467</v>
      </c>
      <c r="M7" s="39">
        <f>IF(M2=0,0%,N2/M2)</f>
        <v>6.76601326240618E-2</v>
      </c>
    </row>
    <row r="8" spans="2:15" x14ac:dyDescent="0.25">
      <c r="B8" s="47" t="s">
        <v>481</v>
      </c>
      <c r="C8" s="47" t="s">
        <v>399</v>
      </c>
      <c r="D8" s="12">
        <v>50</v>
      </c>
      <c r="E8" s="47" t="s">
        <v>541</v>
      </c>
      <c r="F8" s="12">
        <v>22</v>
      </c>
      <c r="G8" s="12" t="str">
        <f t="shared" si="0"/>
        <v>Pass</v>
      </c>
      <c r="H8" s="13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4" t="s">
        <v>466</v>
      </c>
      <c r="M8" s="41">
        <f>File_Size_Comparision!F6</f>
        <v>5.0167224080267671E-2</v>
      </c>
    </row>
    <row r="9" spans="2:15" x14ac:dyDescent="0.25">
      <c r="B9" s="47" t="s">
        <v>482</v>
      </c>
      <c r="C9" s="47" t="s">
        <v>399</v>
      </c>
      <c r="D9" s="12">
        <v>50</v>
      </c>
      <c r="E9" s="47" t="s">
        <v>542</v>
      </c>
      <c r="F9" s="12">
        <v>29</v>
      </c>
      <c r="G9" s="12" t="str">
        <f t="shared" si="0"/>
        <v>Pass</v>
      </c>
      <c r="H9" s="13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483</v>
      </c>
      <c r="C10" s="47" t="s">
        <v>400</v>
      </c>
      <c r="D10" s="12">
        <v>50</v>
      </c>
      <c r="E10" s="47" t="s">
        <v>543</v>
      </c>
      <c r="F10" s="12">
        <v>40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37" priority="7" operator="equal">
      <formula>"Fail"</formula>
    </cfRule>
    <cfRule type="cellIs" dxfId="136" priority="8" operator="equal">
      <formula>"Pass"</formula>
    </cfRule>
  </conditionalFormatting>
  <conditionalFormatting sqref="M5:M6">
    <cfRule type="cellIs" dxfId="135" priority="1" operator="equal">
      <formula>"Fail"</formula>
    </cfRule>
    <cfRule type="cellIs" dxfId="134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 x14ac:dyDescent="0.25">
      <c r="B2" s="50" t="s">
        <v>83</v>
      </c>
      <c r="C2" s="50" t="s">
        <v>398</v>
      </c>
      <c r="D2" s="12"/>
      <c r="E2" s="50" t="s">
        <v>83</v>
      </c>
      <c r="F2" s="12">
        <v>6</v>
      </c>
      <c r="G2" s="12" t="str">
        <f t="shared" ref="G2:G26" si="0">IF(I2=J2,"Pass","Fail")</f>
        <v>Pass</v>
      </c>
      <c r="H2" s="13" t="str">
        <f t="shared" ref="H2:H26" si="1">IF(AND(ISBLANK(D2),F2&gt;=0),"Pass",IF(F2&lt;=D2,"Pass","Fail"))</f>
        <v>Pass</v>
      </c>
      <c r="I2" s="3" t="str">
        <f t="shared" ref="I2:I26" si="2">SUBSTITUTE(B2,"_","")</f>
        <v>dwrecordid</v>
      </c>
      <c r="J2" s="3" t="str">
        <f t="shared" ref="J2:J26" si="3"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 x14ac:dyDescent="0.25">
      <c r="B3" s="50" t="s">
        <v>84</v>
      </c>
      <c r="C3" s="50" t="s">
        <v>399</v>
      </c>
      <c r="D3" s="12">
        <v>50</v>
      </c>
      <c r="E3" s="50" t="s">
        <v>84</v>
      </c>
      <c r="F3" s="12">
        <v>0</v>
      </c>
      <c r="G3" s="12" t="str">
        <f t="shared" si="0"/>
        <v>Pass</v>
      </c>
      <c r="H3" s="13" t="str">
        <f t="shared" si="1"/>
        <v>Pass</v>
      </c>
      <c r="I3" s="3" t="str">
        <f t="shared" si="2"/>
        <v>dwaccountid</v>
      </c>
      <c r="J3" s="3" t="str">
        <f t="shared" si="3"/>
        <v>dwaccountid</v>
      </c>
      <c r="L3" s="20">
        <v>246826</v>
      </c>
      <c r="M3" s="20">
        <v>227993</v>
      </c>
      <c r="N3" s="23">
        <f>L3-M3</f>
        <v>18833</v>
      </c>
    </row>
    <row r="4" spans="2:15" x14ac:dyDescent="0.25">
      <c r="B4" s="50" t="s">
        <v>85</v>
      </c>
      <c r="C4" s="50" t="s">
        <v>399</v>
      </c>
      <c r="D4" s="12">
        <v>50</v>
      </c>
      <c r="E4" s="50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0" t="s">
        <v>71</v>
      </c>
      <c r="C5" s="50" t="s">
        <v>399</v>
      </c>
      <c r="D5" s="12">
        <v>50</v>
      </c>
      <c r="E5" s="50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51" t="s">
        <v>401</v>
      </c>
    </row>
    <row r="6" spans="2:15" x14ac:dyDescent="0.25">
      <c r="B6" s="50" t="s">
        <v>0</v>
      </c>
      <c r="C6" s="50" t="s">
        <v>399</v>
      </c>
      <c r="D6" s="12">
        <v>20</v>
      </c>
      <c r="E6" s="50" t="s">
        <v>0</v>
      </c>
      <c r="F6" s="12">
        <v>11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IF(ISERROR(VLOOKUP($O$1,$G$2:$G$26,1,)),"Pass","Fail")</f>
        <v>Pass</v>
      </c>
    </row>
    <row r="7" spans="2:15" x14ac:dyDescent="0.25">
      <c r="B7" s="50" t="s">
        <v>89</v>
      </c>
      <c r="C7" s="50" t="s">
        <v>399</v>
      </c>
      <c r="D7" s="12">
        <v>50</v>
      </c>
      <c r="E7" s="50" t="s">
        <v>89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4" t="s">
        <v>402</v>
      </c>
      <c r="M7" s="12" t="str">
        <f>IF(ISERROR(VLOOKUP($O$1,$H$2:$H$26,1,)),"Pass","Fail")</f>
        <v>Pass</v>
      </c>
    </row>
    <row r="8" spans="2:15" x14ac:dyDescent="0.25">
      <c r="B8" s="50" t="s">
        <v>90</v>
      </c>
      <c r="C8" s="50" t="s">
        <v>400</v>
      </c>
      <c r="D8" s="12"/>
      <c r="E8" s="50" t="s">
        <v>90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4" t="s">
        <v>467</v>
      </c>
      <c r="M8" s="39">
        <f>IF(M3=0,0%,N3/M3)</f>
        <v>8.2603413262687886E-2</v>
      </c>
    </row>
    <row r="9" spans="2:15" x14ac:dyDescent="0.25">
      <c r="B9" s="50" t="s">
        <v>91</v>
      </c>
      <c r="C9" s="50" t="s">
        <v>400</v>
      </c>
      <c r="D9" s="12"/>
      <c r="E9" s="50" t="s">
        <v>91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4" t="s">
        <v>466</v>
      </c>
      <c r="M9" s="41">
        <f>File_Size_Comparision!F7</f>
        <v>7.6526668384436961E-2</v>
      </c>
    </row>
    <row r="10" spans="2:15" x14ac:dyDescent="0.25">
      <c r="B10" s="50" t="s">
        <v>92</v>
      </c>
      <c r="C10" s="50" t="s">
        <v>399</v>
      </c>
      <c r="D10" s="12">
        <v>50</v>
      </c>
      <c r="E10" s="50" t="s">
        <v>92</v>
      </c>
      <c r="F10" s="12">
        <v>5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50" t="s">
        <v>93</v>
      </c>
      <c r="C11" s="50" t="s">
        <v>399</v>
      </c>
      <c r="D11" s="12">
        <v>50</v>
      </c>
      <c r="E11" s="50" t="s">
        <v>93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50" t="s">
        <v>94</v>
      </c>
      <c r="C12" s="50" t="s">
        <v>399</v>
      </c>
      <c r="D12" s="12">
        <v>50</v>
      </c>
      <c r="E12" s="50" t="s">
        <v>94</v>
      </c>
      <c r="F12" s="12">
        <v>5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50" t="s">
        <v>95</v>
      </c>
      <c r="C13" s="50" t="s">
        <v>399</v>
      </c>
      <c r="D13" s="12">
        <v>50</v>
      </c>
      <c r="E13" s="50" t="s">
        <v>95</v>
      </c>
      <c r="F13" s="12">
        <v>5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50" t="s">
        <v>96</v>
      </c>
      <c r="C14" s="50" t="s">
        <v>399</v>
      </c>
      <c r="D14" s="12">
        <v>50</v>
      </c>
      <c r="E14" s="50" t="s">
        <v>96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50" t="s">
        <v>97</v>
      </c>
      <c r="C15" s="50" t="s">
        <v>399</v>
      </c>
      <c r="D15" s="12">
        <v>50</v>
      </c>
      <c r="E15" s="50" t="s">
        <v>97</v>
      </c>
      <c r="F15" s="12">
        <v>5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50" t="s">
        <v>98</v>
      </c>
      <c r="C16" s="50" t="s">
        <v>399</v>
      </c>
      <c r="D16" s="12">
        <v>50</v>
      </c>
      <c r="E16" s="50" t="s">
        <v>98</v>
      </c>
      <c r="F16" s="12">
        <v>6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2">
        <v>50</v>
      </c>
      <c r="E17" s="50" t="s">
        <v>99</v>
      </c>
      <c r="F17" s="12">
        <v>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2">
        <v>50</v>
      </c>
      <c r="E18" s="50" t="s">
        <v>100</v>
      </c>
      <c r="F18" s="12">
        <v>4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2">
        <v>50</v>
      </c>
      <c r="E19" s="50" t="s">
        <v>101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2">
        <v>50</v>
      </c>
      <c r="E20" s="50" t="s">
        <v>102</v>
      </c>
      <c r="F20" s="12">
        <v>6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2">
        <v>50</v>
      </c>
      <c r="E21" s="50" t="s">
        <v>103</v>
      </c>
      <c r="F21" s="12">
        <v>5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2">
        <v>50</v>
      </c>
      <c r="E22" s="50" t="s">
        <v>104</v>
      </c>
      <c r="F22" s="12">
        <v>5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2">
        <v>50</v>
      </c>
      <c r="E23" s="50" t="s">
        <v>105</v>
      </c>
      <c r="F23" s="12">
        <v>5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2">
        <v>50</v>
      </c>
      <c r="E24" s="50" t="s">
        <v>106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2">
        <v>50</v>
      </c>
      <c r="E25" s="50" t="s">
        <v>107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2">
        <v>50</v>
      </c>
      <c r="E26" s="50" t="s">
        <v>108</v>
      </c>
      <c r="F26" s="12">
        <v>5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33" priority="21" operator="equal">
      <formula>"Fail"</formula>
    </cfRule>
    <cfRule type="cellIs" dxfId="132" priority="22" operator="equal">
      <formula>"Pass"</formula>
    </cfRule>
  </conditionalFormatting>
  <conditionalFormatting sqref="H2:H26">
    <cfRule type="cellIs" dxfId="131" priority="19" operator="equal">
      <formula>"Fail"</formula>
    </cfRule>
    <cfRule type="cellIs" dxfId="130" priority="20" operator="equal">
      <formula>"Pass"</formula>
    </cfRule>
  </conditionalFormatting>
  <conditionalFormatting sqref="H2:H26">
    <cfRule type="cellIs" dxfId="129" priority="17" operator="equal">
      <formula>"Fail"</formula>
    </cfRule>
    <cfRule type="cellIs" dxfId="128" priority="18" operator="equal">
      <formula>"Pass"</formula>
    </cfRule>
  </conditionalFormatting>
  <conditionalFormatting sqref="H2:H26">
    <cfRule type="cellIs" dxfId="127" priority="15" operator="equal">
      <formula>"Fail"</formula>
    </cfRule>
    <cfRule type="cellIs" dxfId="126" priority="16" operator="equal">
      <formula>"Pass"</formula>
    </cfRule>
  </conditionalFormatting>
  <conditionalFormatting sqref="H2:H26">
    <cfRule type="cellIs" dxfId="125" priority="13" operator="equal">
      <formula>"Fail"</formula>
    </cfRule>
    <cfRule type="cellIs" dxfId="124" priority="14" operator="equal">
      <formula>"Pass"</formula>
    </cfRule>
  </conditionalFormatting>
  <conditionalFormatting sqref="H2:H26">
    <cfRule type="cellIs" dxfId="123" priority="11" operator="equal">
      <formula>"Fail"</formula>
    </cfRule>
    <cfRule type="cellIs" dxfId="122" priority="12" operator="equal">
      <formula>"Pass"</formula>
    </cfRule>
  </conditionalFormatting>
  <conditionalFormatting sqref="H2:H26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H2:H26">
    <cfRule type="cellIs" dxfId="119" priority="7" operator="equal">
      <formula>"Fail"</formula>
    </cfRule>
    <cfRule type="cellIs" dxfId="118" priority="8" operator="equal">
      <formula>"Pass"</formula>
    </cfRule>
  </conditionalFormatting>
  <conditionalFormatting sqref="H2:H26">
    <cfRule type="cellIs" dxfId="117" priority="5" operator="equal">
      <formula>"Fail"</formula>
    </cfRule>
    <cfRule type="cellIs" dxfId="116" priority="6" operator="equal">
      <formula>"Pass"</formula>
    </cfRule>
  </conditionalFormatting>
  <conditionalFormatting sqref="H2:H26">
    <cfRule type="cellIs" dxfId="115" priority="3" operator="equal">
      <formula>"Fail"</formula>
    </cfRule>
    <cfRule type="cellIs" dxfId="114" priority="4" operator="equal">
      <formula>"Pass"</formula>
    </cfRule>
  </conditionalFormatting>
  <conditionalFormatting sqref="M6:M7">
    <cfRule type="cellIs" dxfId="113" priority="1" operator="equal">
      <formula>"Fail"</formula>
    </cfRule>
    <cfRule type="cellIs" dxfId="112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 x14ac:dyDescent="0.25">
      <c r="B2" s="1" t="s">
        <v>109</v>
      </c>
      <c r="C2" s="18" t="s">
        <v>399</v>
      </c>
      <c r="D2" s="53">
        <v>37</v>
      </c>
      <c r="E2" s="1" t="s">
        <v>109</v>
      </c>
      <c r="F2" s="12">
        <v>37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2">
        <v>1025013</v>
      </c>
      <c r="M2" s="20">
        <v>1025013</v>
      </c>
      <c r="N2" s="23">
        <f>L2-M2</f>
        <v>0</v>
      </c>
    </row>
    <row r="3" spans="2:15" x14ac:dyDescent="0.25">
      <c r="B3" s="1" t="s">
        <v>110</v>
      </c>
      <c r="C3" s="18" t="s">
        <v>399</v>
      </c>
      <c r="D3" s="12">
        <v>25</v>
      </c>
      <c r="E3" s="1" t="s">
        <v>110</v>
      </c>
      <c r="F3" s="12">
        <v>11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1" t="s">
        <v>468</v>
      </c>
      <c r="M3" s="22">
        <v>984425</v>
      </c>
      <c r="N3" s="23">
        <f>L2-M3</f>
        <v>40588</v>
      </c>
    </row>
    <row r="4" spans="2:15" x14ac:dyDescent="0.25">
      <c r="B4" s="1" t="s">
        <v>111</v>
      </c>
      <c r="C4" s="18" t="s">
        <v>399</v>
      </c>
      <c r="D4" s="12">
        <v>15</v>
      </c>
      <c r="E4" s="1" t="s">
        <v>111</v>
      </c>
      <c r="F4" s="12">
        <v>4</v>
      </c>
      <c r="G4" s="12" t="str">
        <f t="shared" si="0"/>
        <v>Pass</v>
      </c>
      <c r="H4" s="13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8" t="s">
        <v>404</v>
      </c>
      <c r="D5" s="12">
        <v>1</v>
      </c>
      <c r="E5" s="1" t="s">
        <v>112</v>
      </c>
      <c r="F5" s="12">
        <v>0</v>
      </c>
      <c r="G5" s="12" t="str">
        <f t="shared" si="0"/>
        <v>Pass</v>
      </c>
      <c r="H5" s="13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5" t="s">
        <v>403</v>
      </c>
      <c r="M5" s="36" t="s">
        <v>401</v>
      </c>
      <c r="N5" s="42"/>
    </row>
    <row r="6" spans="2:15" x14ac:dyDescent="0.25">
      <c r="B6" s="1" t="s">
        <v>20</v>
      </c>
      <c r="C6" s="18" t="s">
        <v>399</v>
      </c>
      <c r="D6" s="12">
        <v>20</v>
      </c>
      <c r="E6" s="1" t="s">
        <v>20</v>
      </c>
      <c r="F6" s="12">
        <v>2</v>
      </c>
      <c r="G6" s="12" t="str">
        <f t="shared" si="0"/>
        <v>Pass</v>
      </c>
      <c r="H6" s="13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4" t="s">
        <v>81</v>
      </c>
      <c r="M6" s="12" t="str">
        <f>IF(ISERROR(VLOOKUP($O$1,$G$2:$G$276,1,)),"Pass","Fail")</f>
        <v>Pass</v>
      </c>
      <c r="N6" s="38"/>
    </row>
    <row r="7" spans="2:15" x14ac:dyDescent="0.25">
      <c r="B7" s="1" t="s">
        <v>21</v>
      </c>
      <c r="C7" s="18" t="s">
        <v>399</v>
      </c>
      <c r="D7" s="12">
        <v>255</v>
      </c>
      <c r="E7" s="1" t="s">
        <v>21</v>
      </c>
      <c r="F7" s="12">
        <v>5</v>
      </c>
      <c r="G7" s="12" t="str">
        <f t="shared" si="0"/>
        <v>Pass</v>
      </c>
      <c r="H7" s="13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4" t="s">
        <v>402</v>
      </c>
      <c r="M7" s="12" t="str">
        <f>IF(ISERROR(VLOOKUP($O$1,$H$2:$H$276,1,)),"Pass","Fail")</f>
        <v>Pass</v>
      </c>
      <c r="N7" s="38"/>
    </row>
    <row r="8" spans="2:15" x14ac:dyDescent="0.25">
      <c r="B8" s="1" t="s">
        <v>22</v>
      </c>
      <c r="C8" s="18" t="s">
        <v>399</v>
      </c>
      <c r="D8" s="12">
        <v>20</v>
      </c>
      <c r="E8" s="1" t="s">
        <v>22</v>
      </c>
      <c r="F8" s="12">
        <v>13</v>
      </c>
      <c r="G8" s="12" t="str">
        <f t="shared" si="0"/>
        <v>Pass</v>
      </c>
      <c r="H8" s="13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4" t="s">
        <v>465</v>
      </c>
      <c r="M8" s="40" t="str">
        <f>IF(N2=0,"Pass","Fail")</f>
        <v>Pass</v>
      </c>
    </row>
    <row r="9" spans="2:15" x14ac:dyDescent="0.25">
      <c r="B9" s="1" t="s">
        <v>23</v>
      </c>
      <c r="C9" s="18" t="s">
        <v>399</v>
      </c>
      <c r="D9" s="12">
        <v>50</v>
      </c>
      <c r="E9" s="1" t="s">
        <v>23</v>
      </c>
      <c r="F9" s="12">
        <v>40</v>
      </c>
      <c r="G9" s="12" t="str">
        <f t="shared" si="0"/>
        <v>Pass</v>
      </c>
      <c r="H9" s="13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4" t="s">
        <v>467</v>
      </c>
      <c r="M9" s="41">
        <f>IF(M3=0,0%,N3/M3)</f>
        <v>4.1230159737918076E-2</v>
      </c>
    </row>
    <row r="10" spans="2:15" x14ac:dyDescent="0.25">
      <c r="B10" s="1" t="s">
        <v>24</v>
      </c>
      <c r="C10" s="18" t="s">
        <v>399</v>
      </c>
      <c r="D10" s="12">
        <v>10</v>
      </c>
      <c r="E10" s="1" t="s">
        <v>24</v>
      </c>
      <c r="F10" s="12">
        <v>2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4" t="s">
        <v>466</v>
      </c>
      <c r="M10" s="41">
        <f>File_Size_Comparision!F8</f>
        <v>0.1966292134831461</v>
      </c>
    </row>
    <row r="11" spans="2:15" x14ac:dyDescent="0.25">
      <c r="B11" s="1" t="s">
        <v>25</v>
      </c>
      <c r="C11" s="18" t="s">
        <v>399</v>
      </c>
      <c r="D11" s="12">
        <v>50</v>
      </c>
      <c r="E11" s="1" t="s">
        <v>25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8" t="s">
        <v>399</v>
      </c>
      <c r="D12" s="12">
        <v>43</v>
      </c>
      <c r="E12" s="1" t="s">
        <v>26</v>
      </c>
      <c r="F12" s="12">
        <v>13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8" t="s">
        <v>399</v>
      </c>
      <c r="D13" s="12">
        <v>20</v>
      </c>
      <c r="E13" s="1" t="s">
        <v>28</v>
      </c>
      <c r="F13" s="12">
        <v>13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8" t="s">
        <v>399</v>
      </c>
      <c r="D14" s="12">
        <v>50</v>
      </c>
      <c r="E14" s="1" t="s">
        <v>29</v>
      </c>
      <c r="F14" s="12">
        <v>31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8" t="s">
        <v>399</v>
      </c>
      <c r="D15" s="12">
        <v>20</v>
      </c>
      <c r="E15" s="1" t="s">
        <v>30</v>
      </c>
      <c r="F15" s="12">
        <v>8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8" t="s">
        <v>399</v>
      </c>
      <c r="D16" s="12">
        <v>100</v>
      </c>
      <c r="E16" s="1" t="s">
        <v>31</v>
      </c>
      <c r="F16" s="12">
        <v>56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8" t="s">
        <v>399</v>
      </c>
      <c r="D17" s="12">
        <v>2</v>
      </c>
      <c r="E17" s="1" t="s">
        <v>32</v>
      </c>
      <c r="F17" s="12">
        <v>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8" t="s">
        <v>399</v>
      </c>
      <c r="D18" s="12">
        <v>30</v>
      </c>
      <c r="E18" s="1" t="s">
        <v>33</v>
      </c>
      <c r="F18" s="12">
        <v>0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8" t="s">
        <v>399</v>
      </c>
      <c r="D19" s="12">
        <v>22</v>
      </c>
      <c r="E19" s="1" t="s">
        <v>0</v>
      </c>
      <c r="F19" s="12">
        <v>11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8" t="s">
        <v>399</v>
      </c>
      <c r="D20" s="53">
        <v>22</v>
      </c>
      <c r="E20" s="1" t="s">
        <v>2</v>
      </c>
      <c r="F20" s="12">
        <v>22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8" t="s">
        <v>399</v>
      </c>
      <c r="D21" s="12">
        <v>30</v>
      </c>
      <c r="E21" s="1" t="s">
        <v>3</v>
      </c>
      <c r="F21" s="12">
        <v>17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8" t="s">
        <v>399</v>
      </c>
      <c r="D22" s="12">
        <v>30</v>
      </c>
      <c r="E22" s="1" t="s">
        <v>4</v>
      </c>
      <c r="F22" s="12">
        <v>0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8" t="s">
        <v>399</v>
      </c>
      <c r="D23" s="12">
        <v>30</v>
      </c>
      <c r="E23" s="1" t="s">
        <v>5</v>
      </c>
      <c r="F23" s="12">
        <v>18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8" t="s">
        <v>399</v>
      </c>
      <c r="D24" s="12">
        <v>2</v>
      </c>
      <c r="E24" s="1" t="s">
        <v>7</v>
      </c>
      <c r="F24" s="12">
        <v>1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8" t="s">
        <v>400</v>
      </c>
      <c r="D25" s="12"/>
      <c r="E25" s="1" t="s">
        <v>8</v>
      </c>
      <c r="F25" s="12">
        <v>10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8" t="s">
        <v>399</v>
      </c>
      <c r="D26" s="12">
        <v>50</v>
      </c>
      <c r="E26" s="1" t="s">
        <v>9</v>
      </c>
      <c r="F26" s="12">
        <v>0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8" t="s">
        <v>399</v>
      </c>
      <c r="D27" s="12">
        <v>50</v>
      </c>
      <c r="E27" s="1" t="s">
        <v>10</v>
      </c>
      <c r="F27" s="12">
        <v>0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8" t="s">
        <v>399</v>
      </c>
      <c r="D28" s="12">
        <v>50</v>
      </c>
      <c r="E28" s="1" t="s">
        <v>11</v>
      </c>
      <c r="F28" s="12">
        <v>0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8" t="s">
        <v>399</v>
      </c>
      <c r="D29" s="12">
        <v>20</v>
      </c>
      <c r="E29" s="1" t="s">
        <v>12</v>
      </c>
      <c r="F29" s="12">
        <v>0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8" t="s">
        <v>399</v>
      </c>
      <c r="D30" s="12">
        <v>2</v>
      </c>
      <c r="E30" s="1" t="s">
        <v>13</v>
      </c>
      <c r="F30" s="12">
        <v>2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8" t="s">
        <v>399</v>
      </c>
      <c r="D31" s="12">
        <v>10</v>
      </c>
      <c r="E31" s="1" t="s">
        <v>14</v>
      </c>
      <c r="F31" s="12">
        <v>5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8" t="s">
        <v>399</v>
      </c>
      <c r="D32" s="12">
        <v>15</v>
      </c>
      <c r="E32" s="1" t="s">
        <v>15</v>
      </c>
      <c r="F32" s="12">
        <v>0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8" t="s">
        <v>399</v>
      </c>
      <c r="D33" s="12">
        <v>32</v>
      </c>
      <c r="E33" s="1" t="s">
        <v>16</v>
      </c>
      <c r="F33" s="12">
        <v>0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8" t="s">
        <v>399</v>
      </c>
      <c r="D34" s="12">
        <v>50</v>
      </c>
      <c r="E34" s="1" t="s">
        <v>17</v>
      </c>
      <c r="F34" s="12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8" t="s">
        <v>399</v>
      </c>
      <c r="D35" s="12">
        <v>10</v>
      </c>
      <c r="E35" s="1" t="s">
        <v>18</v>
      </c>
      <c r="F35" s="12">
        <v>3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8" t="s">
        <v>399</v>
      </c>
      <c r="D36" s="53">
        <v>22</v>
      </c>
      <c r="E36" s="1" t="s">
        <v>19</v>
      </c>
      <c r="F36" s="12">
        <v>22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8" t="s">
        <v>399</v>
      </c>
      <c r="D37" s="12">
        <v>36</v>
      </c>
      <c r="E37" s="1" t="s">
        <v>113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8" t="s">
        <v>399</v>
      </c>
      <c r="D38" s="12">
        <v>30</v>
      </c>
      <c r="E38" s="1" t="s">
        <v>114</v>
      </c>
      <c r="F38" s="12">
        <v>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8" t="s">
        <v>399</v>
      </c>
      <c r="D39" s="12">
        <v>30</v>
      </c>
      <c r="E39" s="1" t="s">
        <v>115</v>
      </c>
      <c r="F39" s="12">
        <v>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8" t="s">
        <v>399</v>
      </c>
      <c r="D40" s="12">
        <v>70</v>
      </c>
      <c r="E40" s="1" t="s">
        <v>116</v>
      </c>
      <c r="F40" s="12">
        <v>45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8" t="s">
        <v>399</v>
      </c>
      <c r="D41" s="12">
        <v>100</v>
      </c>
      <c r="E41" s="1" t="s">
        <v>117</v>
      </c>
      <c r="F41" s="12">
        <v>10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8" t="s">
        <v>399</v>
      </c>
      <c r="D42" s="12">
        <v>30</v>
      </c>
      <c r="E42" s="1" t="s">
        <v>118</v>
      </c>
      <c r="F42" s="12">
        <v>0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8" t="s">
        <v>399</v>
      </c>
      <c r="D43" s="12">
        <v>40</v>
      </c>
      <c r="E43" s="1" t="s">
        <v>119</v>
      </c>
      <c r="F43" s="12">
        <v>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8" t="s">
        <v>399</v>
      </c>
      <c r="D44" s="12">
        <v>2</v>
      </c>
      <c r="E44" s="1" t="s">
        <v>120</v>
      </c>
      <c r="F44" s="12">
        <v>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8" t="s">
        <v>399</v>
      </c>
      <c r="D45" s="12">
        <v>30</v>
      </c>
      <c r="E45" s="1" t="s">
        <v>121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8" t="s">
        <v>399</v>
      </c>
      <c r="D46" s="12">
        <v>10</v>
      </c>
      <c r="E46" s="1" t="s">
        <v>122</v>
      </c>
      <c r="F46" s="12">
        <v>1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8" t="s">
        <v>399</v>
      </c>
      <c r="D47" s="12">
        <v>50</v>
      </c>
      <c r="E47" s="1" t="s">
        <v>123</v>
      </c>
      <c r="F47" s="12">
        <v>7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8" t="s">
        <v>399</v>
      </c>
      <c r="D48" s="12">
        <v>20</v>
      </c>
      <c r="E48" s="1" t="s">
        <v>124</v>
      </c>
      <c r="F48" s="12">
        <v>0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8" t="s">
        <v>399</v>
      </c>
      <c r="D49" s="12">
        <v>10</v>
      </c>
      <c r="E49" s="1" t="s">
        <v>125</v>
      </c>
      <c r="F49" s="12">
        <v>2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8" t="s">
        <v>399</v>
      </c>
      <c r="D50" s="12">
        <v>100</v>
      </c>
      <c r="E50" s="1" t="s">
        <v>126</v>
      </c>
      <c r="F50" s="12">
        <v>49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8" t="s">
        <v>399</v>
      </c>
      <c r="D51" s="12">
        <v>10</v>
      </c>
      <c r="E51" s="1" t="s">
        <v>127</v>
      </c>
      <c r="F51" s="12">
        <v>0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8" t="s">
        <v>399</v>
      </c>
      <c r="D52" s="12">
        <v>100</v>
      </c>
      <c r="E52" s="1" t="s">
        <v>128</v>
      </c>
      <c r="F52" s="12">
        <v>0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8" t="s">
        <v>399</v>
      </c>
      <c r="D53" s="12">
        <v>10</v>
      </c>
      <c r="E53" s="1" t="s">
        <v>129</v>
      </c>
      <c r="F53" s="12">
        <v>0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8" t="s">
        <v>399</v>
      </c>
      <c r="D54" s="12">
        <v>100</v>
      </c>
      <c r="E54" s="1" t="s">
        <v>130</v>
      </c>
      <c r="F54" s="12">
        <v>0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8" t="s">
        <v>399</v>
      </c>
      <c r="D55" s="12">
        <v>128</v>
      </c>
      <c r="E55" s="1" t="s">
        <v>131</v>
      </c>
      <c r="F55" s="12">
        <v>0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8" t="s">
        <v>399</v>
      </c>
      <c r="D56" s="12">
        <v>128</v>
      </c>
      <c r="E56" s="1" t="s">
        <v>132</v>
      </c>
      <c r="F56" s="12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8" t="s">
        <v>399</v>
      </c>
      <c r="D57" s="12">
        <v>32</v>
      </c>
      <c r="E57" s="1" t="s">
        <v>133</v>
      </c>
      <c r="F57" s="12">
        <v>0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8" t="s">
        <v>399</v>
      </c>
      <c r="D58" s="12">
        <v>32</v>
      </c>
      <c r="E58" s="1" t="s">
        <v>134</v>
      </c>
      <c r="F58" s="12">
        <v>0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8" t="s">
        <v>399</v>
      </c>
      <c r="D59" s="12">
        <v>2</v>
      </c>
      <c r="E59" s="1" t="s">
        <v>135</v>
      </c>
      <c r="F59" s="12">
        <v>2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8" t="s">
        <v>399</v>
      </c>
      <c r="D60" s="12">
        <v>10</v>
      </c>
      <c r="E60" s="1" t="s">
        <v>136</v>
      </c>
      <c r="F60" s="12">
        <v>3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8" t="s">
        <v>404</v>
      </c>
      <c r="D61" s="12">
        <v>1</v>
      </c>
      <c r="E61" s="1" t="s">
        <v>137</v>
      </c>
      <c r="F61" s="12">
        <v>1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8" t="s">
        <v>399</v>
      </c>
      <c r="D62" s="12">
        <v>30</v>
      </c>
      <c r="E62" s="1" t="s">
        <v>46</v>
      </c>
      <c r="F62" s="12">
        <v>0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8" t="s">
        <v>399</v>
      </c>
      <c r="D63" s="12">
        <v>100</v>
      </c>
      <c r="E63" s="1" t="s">
        <v>47</v>
      </c>
      <c r="F63" s="12">
        <v>0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8" t="s">
        <v>399</v>
      </c>
      <c r="D64" s="12">
        <v>30</v>
      </c>
      <c r="E64" s="1" t="s">
        <v>48</v>
      </c>
      <c r="F64" s="12">
        <v>0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8" t="s">
        <v>399</v>
      </c>
      <c r="D65" s="12">
        <v>50</v>
      </c>
      <c r="E65" s="1" t="s">
        <v>49</v>
      </c>
      <c r="F65" s="12">
        <v>0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8" t="s">
        <v>399</v>
      </c>
      <c r="D66" s="12">
        <v>2</v>
      </c>
      <c r="E66" s="1" t="s">
        <v>138</v>
      </c>
      <c r="F66" s="12">
        <v>2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8" t="s">
        <v>399</v>
      </c>
      <c r="D67" s="12">
        <v>50</v>
      </c>
      <c r="E67" s="1" t="s">
        <v>139</v>
      </c>
      <c r="F67" s="12">
        <v>50</v>
      </c>
      <c r="G67" s="12" t="str">
        <f t="shared" ref="G67:G130" si="4">IF(I67=J67,"Pass","Fail")</f>
        <v>Pass</v>
      </c>
      <c r="H67" s="13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8" t="s">
        <v>399</v>
      </c>
      <c r="D68" s="12">
        <v>8</v>
      </c>
      <c r="E68" s="1" t="s">
        <v>140</v>
      </c>
      <c r="F68" s="12">
        <v>8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8" t="s">
        <v>399</v>
      </c>
      <c r="D69" s="12">
        <v>100</v>
      </c>
      <c r="E69" s="1" t="s">
        <v>141</v>
      </c>
      <c r="F69" s="12">
        <v>60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8" t="s">
        <v>399</v>
      </c>
      <c r="D70" s="12">
        <v>30</v>
      </c>
      <c r="E70" s="1" t="s">
        <v>142</v>
      </c>
      <c r="F70" s="12">
        <v>8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8" t="s">
        <v>399</v>
      </c>
      <c r="D71" s="12">
        <v>100</v>
      </c>
      <c r="E71" s="1" t="s">
        <v>143</v>
      </c>
      <c r="F71" s="12">
        <v>60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8" t="s">
        <v>399</v>
      </c>
      <c r="D72" s="12">
        <v>30</v>
      </c>
      <c r="E72" s="1" t="s">
        <v>144</v>
      </c>
      <c r="F72" s="12">
        <v>8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8" t="s">
        <v>399</v>
      </c>
      <c r="D73" s="12">
        <v>100</v>
      </c>
      <c r="E73" s="1" t="s">
        <v>145</v>
      </c>
      <c r="F73" s="12">
        <v>60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8" t="s">
        <v>399</v>
      </c>
      <c r="D74" s="12">
        <v>30</v>
      </c>
      <c r="E74" s="1" t="s">
        <v>146</v>
      </c>
      <c r="F74" s="12">
        <v>8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8" t="s">
        <v>399</v>
      </c>
      <c r="D75" s="12">
        <v>100</v>
      </c>
      <c r="E75" s="1" t="s">
        <v>147</v>
      </c>
      <c r="F75" s="12">
        <v>60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8" t="s">
        <v>399</v>
      </c>
      <c r="D76" s="12">
        <v>30</v>
      </c>
      <c r="E76" s="1" t="s">
        <v>148</v>
      </c>
      <c r="F76" s="12">
        <v>8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8" t="s">
        <v>399</v>
      </c>
      <c r="D77" s="12">
        <v>100</v>
      </c>
      <c r="E77" s="1" t="s">
        <v>149</v>
      </c>
      <c r="F77" s="12">
        <v>60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8" t="s">
        <v>399</v>
      </c>
      <c r="D78" s="12">
        <v>30</v>
      </c>
      <c r="E78" s="1" t="s">
        <v>150</v>
      </c>
      <c r="F78" s="12">
        <v>0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8" t="s">
        <v>399</v>
      </c>
      <c r="D79" s="12">
        <v>100</v>
      </c>
      <c r="E79" s="1" t="s">
        <v>151</v>
      </c>
      <c r="F79" s="12">
        <v>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8" t="s">
        <v>399</v>
      </c>
      <c r="D80" s="12">
        <v>30</v>
      </c>
      <c r="E80" s="1" t="s">
        <v>152</v>
      </c>
      <c r="F80" s="12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8" t="s">
        <v>399</v>
      </c>
      <c r="D81" s="12">
        <v>100</v>
      </c>
      <c r="E81" s="1" t="s">
        <v>153</v>
      </c>
      <c r="F81" s="12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8" t="s">
        <v>399</v>
      </c>
      <c r="D82" s="12">
        <v>30</v>
      </c>
      <c r="E82" s="1" t="s">
        <v>154</v>
      </c>
      <c r="F82" s="12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8" t="s">
        <v>399</v>
      </c>
      <c r="D83" s="12">
        <v>100</v>
      </c>
      <c r="E83" s="1" t="s">
        <v>155</v>
      </c>
      <c r="F83" s="12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8" t="s">
        <v>399</v>
      </c>
      <c r="D84" s="12">
        <v>30</v>
      </c>
      <c r="E84" s="1" t="s">
        <v>156</v>
      </c>
      <c r="F84" s="12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8" t="s">
        <v>399</v>
      </c>
      <c r="D85" s="12">
        <v>100</v>
      </c>
      <c r="E85" s="1" t="s">
        <v>157</v>
      </c>
      <c r="F85" s="12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8" t="s">
        <v>399</v>
      </c>
      <c r="D86" s="12">
        <v>10</v>
      </c>
      <c r="E86" s="1" t="s">
        <v>158</v>
      </c>
      <c r="F86" s="12">
        <v>8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8" t="s">
        <v>399</v>
      </c>
      <c r="D87" s="12">
        <v>10</v>
      </c>
      <c r="E87" s="1" t="s">
        <v>159</v>
      </c>
      <c r="F87" s="12">
        <v>5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8" t="s">
        <v>399</v>
      </c>
      <c r="D88" s="12">
        <v>200</v>
      </c>
      <c r="E88" s="1" t="s">
        <v>160</v>
      </c>
      <c r="F88" s="12">
        <v>200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8" t="s">
        <v>399</v>
      </c>
      <c r="D89" s="12">
        <v>5</v>
      </c>
      <c r="E89" s="1" t="s">
        <v>161</v>
      </c>
      <c r="F89" s="12">
        <v>5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8" t="s">
        <v>399</v>
      </c>
      <c r="D90" s="12">
        <v>100</v>
      </c>
      <c r="E90" s="1" t="s">
        <v>162</v>
      </c>
      <c r="F90" s="12">
        <v>87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8" t="s">
        <v>399</v>
      </c>
      <c r="D91" s="12">
        <v>5</v>
      </c>
      <c r="E91" s="1" t="s">
        <v>163</v>
      </c>
      <c r="F91" s="12">
        <v>5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8" t="s">
        <v>399</v>
      </c>
      <c r="D92" s="12">
        <v>100</v>
      </c>
      <c r="E92" s="1" t="s">
        <v>164</v>
      </c>
      <c r="F92" s="12">
        <v>28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8" t="s">
        <v>399</v>
      </c>
      <c r="D93" s="12">
        <v>10</v>
      </c>
      <c r="E93" s="1" t="s">
        <v>165</v>
      </c>
      <c r="F93" s="12">
        <v>7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8" t="s">
        <v>399</v>
      </c>
      <c r="D94" s="12">
        <v>100</v>
      </c>
      <c r="E94" s="1" t="s">
        <v>166</v>
      </c>
      <c r="F94" s="12">
        <v>60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8" t="s">
        <v>399</v>
      </c>
      <c r="D95" s="12">
        <v>7</v>
      </c>
      <c r="E95" s="1" t="s">
        <v>167</v>
      </c>
      <c r="F95" s="12">
        <v>7</v>
      </c>
      <c r="G95" s="12" t="str">
        <f t="shared" si="4"/>
        <v>Pass</v>
      </c>
      <c r="H95" s="13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8" t="s">
        <v>399</v>
      </c>
      <c r="D96" s="12">
        <v>100</v>
      </c>
      <c r="E96" s="1" t="s">
        <v>168</v>
      </c>
      <c r="F96" s="12">
        <v>60</v>
      </c>
      <c r="G96" s="12" t="str">
        <f t="shared" si="4"/>
        <v>Pass</v>
      </c>
      <c r="H96" s="13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8" t="s">
        <v>399</v>
      </c>
      <c r="D97" s="12">
        <v>10</v>
      </c>
      <c r="E97" s="1" t="s">
        <v>169</v>
      </c>
      <c r="F97" s="12">
        <v>0</v>
      </c>
      <c r="G97" s="12" t="str">
        <f t="shared" si="4"/>
        <v>Pass</v>
      </c>
      <c r="H97" s="13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8" t="s">
        <v>399</v>
      </c>
      <c r="D98" s="12">
        <v>100</v>
      </c>
      <c r="E98" s="1" t="s">
        <v>170</v>
      </c>
      <c r="F98" s="12">
        <v>0</v>
      </c>
      <c r="G98" s="12" t="str">
        <f t="shared" si="4"/>
        <v>Pass</v>
      </c>
      <c r="H98" s="13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8" t="s">
        <v>399</v>
      </c>
      <c r="D99" s="12">
        <v>7</v>
      </c>
      <c r="E99" s="1" t="s">
        <v>171</v>
      </c>
      <c r="F99" s="12">
        <v>3</v>
      </c>
      <c r="G99" s="12" t="str">
        <f t="shared" si="4"/>
        <v>Pass</v>
      </c>
      <c r="H99" s="13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8" t="s">
        <v>399</v>
      </c>
      <c r="D100" s="12">
        <v>100</v>
      </c>
      <c r="E100" s="1" t="s">
        <v>172</v>
      </c>
      <c r="F100" s="12">
        <v>68</v>
      </c>
      <c r="G100" s="12" t="str">
        <f t="shared" si="4"/>
        <v>Pass</v>
      </c>
      <c r="H100" s="13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8" t="s">
        <v>399</v>
      </c>
      <c r="D101" s="12">
        <v>5</v>
      </c>
      <c r="E101" s="1" t="s">
        <v>173</v>
      </c>
      <c r="F101" s="12">
        <v>5</v>
      </c>
      <c r="G101" s="12" t="str">
        <f t="shared" si="4"/>
        <v>Pass</v>
      </c>
      <c r="H101" s="13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8" t="s">
        <v>399</v>
      </c>
      <c r="D102" s="12">
        <v>200</v>
      </c>
      <c r="E102" s="1" t="s">
        <v>174</v>
      </c>
      <c r="F102" s="12">
        <v>200</v>
      </c>
      <c r="G102" s="12" t="str">
        <f t="shared" si="4"/>
        <v>Pass</v>
      </c>
      <c r="H102" s="13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8" t="s">
        <v>399</v>
      </c>
      <c r="D103" s="12">
        <v>8</v>
      </c>
      <c r="E103" s="1" t="s">
        <v>175</v>
      </c>
      <c r="F103" s="12">
        <v>2</v>
      </c>
      <c r="G103" s="12" t="str">
        <f t="shared" si="4"/>
        <v>Pass</v>
      </c>
      <c r="H103" s="13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8" t="s">
        <v>399</v>
      </c>
      <c r="D104" s="12">
        <v>100</v>
      </c>
      <c r="E104" s="1" t="s">
        <v>176</v>
      </c>
      <c r="F104" s="12">
        <v>0</v>
      </c>
      <c r="G104" s="12" t="str">
        <f t="shared" si="4"/>
        <v>Pass</v>
      </c>
      <c r="H104" s="13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8" t="s">
        <v>399</v>
      </c>
      <c r="D105" s="12">
        <v>8</v>
      </c>
      <c r="E105" s="1" t="s">
        <v>177</v>
      </c>
      <c r="F105" s="12">
        <v>0</v>
      </c>
      <c r="G105" s="12" t="str">
        <f t="shared" si="4"/>
        <v>Pass</v>
      </c>
      <c r="H105" s="13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8" t="s">
        <v>399</v>
      </c>
      <c r="D106" s="12">
        <v>100</v>
      </c>
      <c r="E106" s="1" t="s">
        <v>178</v>
      </c>
      <c r="F106" s="12">
        <v>0</v>
      </c>
      <c r="G106" s="12" t="str">
        <f t="shared" si="4"/>
        <v>Pass</v>
      </c>
      <c r="H106" s="13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8" t="s">
        <v>399</v>
      </c>
      <c r="D107" s="12">
        <v>8</v>
      </c>
      <c r="E107" s="1" t="s">
        <v>179</v>
      </c>
      <c r="F107" s="12">
        <v>0</v>
      </c>
      <c r="G107" s="12" t="str">
        <f t="shared" si="4"/>
        <v>Pass</v>
      </c>
      <c r="H107" s="13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8" t="s">
        <v>399</v>
      </c>
      <c r="D108" s="12">
        <v>100</v>
      </c>
      <c r="E108" s="1" t="s">
        <v>180</v>
      </c>
      <c r="F108" s="12">
        <v>0</v>
      </c>
      <c r="G108" s="12" t="str">
        <f t="shared" si="4"/>
        <v>Pass</v>
      </c>
      <c r="H108" s="13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8" t="s">
        <v>399</v>
      </c>
      <c r="D109" s="12">
        <v>5</v>
      </c>
      <c r="E109" s="34" t="s">
        <v>181</v>
      </c>
      <c r="F109" s="12">
        <v>0</v>
      </c>
      <c r="G109" s="12" t="str">
        <f t="shared" si="4"/>
        <v>Pass</v>
      </c>
      <c r="H109" s="13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8" t="s">
        <v>399</v>
      </c>
      <c r="D110" s="12">
        <v>100</v>
      </c>
      <c r="E110" s="1" t="s">
        <v>182</v>
      </c>
      <c r="F110" s="12">
        <v>0</v>
      </c>
      <c r="G110" s="12" t="str">
        <f t="shared" si="4"/>
        <v>Pass</v>
      </c>
      <c r="H110" s="13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8" t="s">
        <v>399</v>
      </c>
      <c r="D111" s="12">
        <v>20</v>
      </c>
      <c r="E111" s="1" t="s">
        <v>183</v>
      </c>
      <c r="F111" s="12">
        <v>2</v>
      </c>
      <c r="G111" s="12" t="str">
        <f t="shared" si="4"/>
        <v>Pass</v>
      </c>
      <c r="H111" s="13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2" t="s">
        <v>184</v>
      </c>
      <c r="C112" s="18" t="s">
        <v>399</v>
      </c>
      <c r="D112" s="12">
        <v>200</v>
      </c>
      <c r="E112" s="32" t="s">
        <v>184</v>
      </c>
      <c r="F112" s="12">
        <v>80</v>
      </c>
      <c r="G112" s="12" t="str">
        <f t="shared" si="4"/>
        <v>Pass</v>
      </c>
      <c r="H112" s="13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8" t="s">
        <v>398</v>
      </c>
      <c r="D113" s="12"/>
      <c r="E113" s="1" t="s">
        <v>185</v>
      </c>
      <c r="F113" s="12">
        <v>6</v>
      </c>
      <c r="G113" s="12" t="str">
        <f t="shared" si="4"/>
        <v>Pass</v>
      </c>
      <c r="H113" s="13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8" t="s">
        <v>398</v>
      </c>
      <c r="D114" s="12"/>
      <c r="E114" s="1" t="s">
        <v>186</v>
      </c>
      <c r="F114" s="12">
        <v>1</v>
      </c>
      <c r="G114" s="12" t="str">
        <f t="shared" si="4"/>
        <v>Pass</v>
      </c>
      <c r="H114" s="13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8" t="s">
        <v>398</v>
      </c>
      <c r="D115" s="12"/>
      <c r="E115" s="1" t="s">
        <v>187</v>
      </c>
      <c r="F115" s="12">
        <v>1</v>
      </c>
      <c r="G115" s="12" t="str">
        <f t="shared" si="4"/>
        <v>Pass</v>
      </c>
      <c r="H115" s="13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8" t="s">
        <v>399</v>
      </c>
      <c r="D116" s="12">
        <v>6</v>
      </c>
      <c r="E116" s="1" t="s">
        <v>188</v>
      </c>
      <c r="F116" s="12">
        <v>0</v>
      </c>
      <c r="G116" s="12" t="str">
        <f t="shared" si="4"/>
        <v>Pass</v>
      </c>
      <c r="H116" s="13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8" t="s">
        <v>400</v>
      </c>
      <c r="D117" s="12"/>
      <c r="E117" s="1" t="s">
        <v>189</v>
      </c>
      <c r="F117" s="12">
        <v>10</v>
      </c>
      <c r="G117" s="12" t="str">
        <f t="shared" si="4"/>
        <v>Pass</v>
      </c>
      <c r="H117" s="13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8" t="s">
        <v>400</v>
      </c>
      <c r="D118" s="12"/>
      <c r="E118" s="1" t="s">
        <v>190</v>
      </c>
      <c r="F118" s="12">
        <v>10</v>
      </c>
      <c r="G118" s="12" t="str">
        <f t="shared" si="4"/>
        <v>Pass</v>
      </c>
      <c r="H118" s="13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8" t="s">
        <v>400</v>
      </c>
      <c r="D119" s="12"/>
      <c r="E119" s="1" t="s">
        <v>191</v>
      </c>
      <c r="F119" s="12">
        <v>0</v>
      </c>
      <c r="G119" s="12" t="str">
        <f t="shared" si="4"/>
        <v>Pass</v>
      </c>
      <c r="H119" s="13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8" t="s">
        <v>400</v>
      </c>
      <c r="D120" s="12"/>
      <c r="E120" s="1" t="s">
        <v>192</v>
      </c>
      <c r="F120" s="12">
        <v>10</v>
      </c>
      <c r="G120" s="12" t="str">
        <f t="shared" si="4"/>
        <v>Pass</v>
      </c>
      <c r="H120" s="13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8" t="s">
        <v>399</v>
      </c>
      <c r="D121" s="12">
        <v>10</v>
      </c>
      <c r="E121" s="1" t="s">
        <v>193</v>
      </c>
      <c r="F121" s="12">
        <v>7</v>
      </c>
      <c r="G121" s="12" t="str">
        <f t="shared" si="4"/>
        <v>Pass</v>
      </c>
      <c r="H121" s="13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8" t="s">
        <v>399</v>
      </c>
      <c r="D122" s="12">
        <v>100</v>
      </c>
      <c r="E122" s="1" t="s">
        <v>194</v>
      </c>
      <c r="F122" s="12">
        <v>7</v>
      </c>
      <c r="G122" s="12" t="str">
        <f t="shared" si="4"/>
        <v>Pass</v>
      </c>
      <c r="H122" s="13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8" t="s">
        <v>405</v>
      </c>
      <c r="D123" s="12" t="s">
        <v>456</v>
      </c>
      <c r="E123" s="1" t="s">
        <v>195</v>
      </c>
      <c r="F123" s="12">
        <v>4</v>
      </c>
      <c r="G123" s="12" t="str">
        <f t="shared" si="4"/>
        <v>Pass</v>
      </c>
      <c r="H123" s="13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8" t="s">
        <v>405</v>
      </c>
      <c r="D124" s="12" t="s">
        <v>456</v>
      </c>
      <c r="E124" s="1" t="s">
        <v>196</v>
      </c>
      <c r="F124" s="12">
        <v>4</v>
      </c>
      <c r="G124" s="12" t="str">
        <f t="shared" si="4"/>
        <v>Pass</v>
      </c>
      <c r="H124" s="13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8" t="s">
        <v>405</v>
      </c>
      <c r="D125" s="12" t="s">
        <v>456</v>
      </c>
      <c r="E125" s="1" t="s">
        <v>197</v>
      </c>
      <c r="F125" s="12">
        <v>4</v>
      </c>
      <c r="G125" s="12" t="str">
        <f t="shared" si="4"/>
        <v>Pass</v>
      </c>
      <c r="H125" s="13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8" t="s">
        <v>405</v>
      </c>
      <c r="D126" s="12" t="s">
        <v>456</v>
      </c>
      <c r="E126" s="1" t="s">
        <v>198</v>
      </c>
      <c r="F126" s="12">
        <v>4</v>
      </c>
      <c r="G126" s="12" t="str">
        <f t="shared" si="4"/>
        <v>Pass</v>
      </c>
      <c r="H126" s="13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8" t="s">
        <v>405</v>
      </c>
      <c r="D127" s="12" t="s">
        <v>457</v>
      </c>
      <c r="E127" s="1" t="s">
        <v>199</v>
      </c>
      <c r="F127" s="12">
        <v>4</v>
      </c>
      <c r="G127" s="12" t="str">
        <f t="shared" si="4"/>
        <v>Pass</v>
      </c>
      <c r="H127" s="13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8" t="s">
        <v>405</v>
      </c>
      <c r="D128" s="12" t="s">
        <v>456</v>
      </c>
      <c r="E128" s="1" t="s">
        <v>200</v>
      </c>
      <c r="F128" s="12">
        <v>4</v>
      </c>
      <c r="G128" s="12" t="str">
        <f t="shared" si="4"/>
        <v>Pass</v>
      </c>
      <c r="H128" s="13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8" t="s">
        <v>405</v>
      </c>
      <c r="D129" s="12" t="s">
        <v>456</v>
      </c>
      <c r="E129" s="1" t="s">
        <v>201</v>
      </c>
      <c r="F129" s="12">
        <v>4</v>
      </c>
      <c r="G129" s="12" t="str">
        <f t="shared" si="4"/>
        <v>Pass</v>
      </c>
      <c r="H129" s="13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8" t="s">
        <v>405</v>
      </c>
      <c r="D130" s="12" t="s">
        <v>298</v>
      </c>
      <c r="E130" s="1" t="s">
        <v>202</v>
      </c>
      <c r="F130" s="12">
        <v>4</v>
      </c>
      <c r="G130" s="12" t="str">
        <f t="shared" si="4"/>
        <v>Pass</v>
      </c>
      <c r="H130" s="13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8" t="s">
        <v>405</v>
      </c>
      <c r="D131" s="12" t="s">
        <v>456</v>
      </c>
      <c r="E131" s="1" t="s">
        <v>203</v>
      </c>
      <c r="F131" s="12">
        <v>4</v>
      </c>
      <c r="G131" s="12" t="str">
        <f t="shared" ref="G131:G194" si="8">IF(I131=J131,"Pass","Fail")</f>
        <v>Pass</v>
      </c>
      <c r="H131" s="13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8" t="s">
        <v>405</v>
      </c>
      <c r="D132" s="12" t="s">
        <v>456</v>
      </c>
      <c r="E132" s="1" t="s">
        <v>204</v>
      </c>
      <c r="F132" s="12">
        <v>4</v>
      </c>
      <c r="G132" s="12" t="str">
        <f t="shared" si="8"/>
        <v>Pass</v>
      </c>
      <c r="H132" s="13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8" t="s">
        <v>405</v>
      </c>
      <c r="D133" s="12" t="s">
        <v>456</v>
      </c>
      <c r="E133" s="1" t="s">
        <v>205</v>
      </c>
      <c r="F133" s="12">
        <v>10</v>
      </c>
      <c r="G133" s="12" t="str">
        <f t="shared" si="8"/>
        <v>Pass</v>
      </c>
      <c r="H133" s="13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8" t="s">
        <v>399</v>
      </c>
      <c r="D134" s="12">
        <v>4</v>
      </c>
      <c r="E134" s="1" t="s">
        <v>206</v>
      </c>
      <c r="F134" s="12">
        <v>0</v>
      </c>
      <c r="G134" s="12" t="str">
        <f t="shared" si="8"/>
        <v>Pass</v>
      </c>
      <c r="H134" s="13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8" t="s">
        <v>399</v>
      </c>
      <c r="D135" s="12">
        <v>20</v>
      </c>
      <c r="E135" s="1" t="s">
        <v>207</v>
      </c>
      <c r="F135" s="12">
        <v>0</v>
      </c>
      <c r="G135" s="12" t="str">
        <f t="shared" si="8"/>
        <v>Pass</v>
      </c>
      <c r="H135" s="13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8" t="s">
        <v>399</v>
      </c>
      <c r="D136" s="12">
        <v>50</v>
      </c>
      <c r="E136" s="1" t="s">
        <v>208</v>
      </c>
      <c r="F136" s="12">
        <v>0</v>
      </c>
      <c r="G136" s="12" t="str">
        <f t="shared" si="8"/>
        <v>Pass</v>
      </c>
      <c r="H136" s="13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8" t="s">
        <v>399</v>
      </c>
      <c r="D137" s="12">
        <v>8</v>
      </c>
      <c r="E137" s="1" t="s">
        <v>209</v>
      </c>
      <c r="F137" s="12">
        <v>0</v>
      </c>
      <c r="G137" s="12" t="str">
        <f t="shared" si="8"/>
        <v>Pass</v>
      </c>
      <c r="H137" s="13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8" t="s">
        <v>399</v>
      </c>
      <c r="D138" s="12">
        <v>50</v>
      </c>
      <c r="E138" s="1" t="s">
        <v>210</v>
      </c>
      <c r="F138" s="12">
        <v>0</v>
      </c>
      <c r="G138" s="12" t="str">
        <f t="shared" si="8"/>
        <v>Pass</v>
      </c>
      <c r="H138" s="13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8" t="s">
        <v>399</v>
      </c>
      <c r="D139" s="12">
        <v>30</v>
      </c>
      <c r="E139" s="1" t="s">
        <v>406</v>
      </c>
      <c r="F139" s="12">
        <v>0</v>
      </c>
      <c r="G139" s="12" t="str">
        <f t="shared" si="8"/>
        <v>Pass</v>
      </c>
      <c r="H139" s="13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8" t="s">
        <v>399</v>
      </c>
      <c r="D140" s="12">
        <v>11</v>
      </c>
      <c r="E140" s="1" t="s">
        <v>407</v>
      </c>
      <c r="F140" s="12">
        <v>0</v>
      </c>
      <c r="G140" s="12" t="str">
        <f t="shared" si="8"/>
        <v>Pass</v>
      </c>
      <c r="H140" s="13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8" t="s">
        <v>399</v>
      </c>
      <c r="D141" s="46">
        <v>3</v>
      </c>
      <c r="E141" s="1" t="s">
        <v>211</v>
      </c>
      <c r="F141" s="12">
        <v>0</v>
      </c>
      <c r="G141" s="12" t="str">
        <f t="shared" si="8"/>
        <v>Pass</v>
      </c>
      <c r="H141" s="13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8" t="s">
        <v>399</v>
      </c>
      <c r="D142" s="12">
        <v>100</v>
      </c>
      <c r="E142" s="1" t="s">
        <v>212</v>
      </c>
      <c r="F142" s="12">
        <v>0</v>
      </c>
      <c r="G142" s="12" t="str">
        <f t="shared" si="8"/>
        <v>Pass</v>
      </c>
      <c r="H142" s="13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8" t="s">
        <v>399</v>
      </c>
      <c r="D143" s="12">
        <v>100</v>
      </c>
      <c r="E143" s="1" t="s">
        <v>51</v>
      </c>
      <c r="F143" s="12">
        <v>0</v>
      </c>
      <c r="G143" s="12" t="str">
        <f t="shared" si="8"/>
        <v>Pass</v>
      </c>
      <c r="H143" s="13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8" t="s">
        <v>399</v>
      </c>
      <c r="D144" s="12">
        <v>100</v>
      </c>
      <c r="E144" s="1" t="s">
        <v>52</v>
      </c>
      <c r="F144" s="12">
        <v>0</v>
      </c>
      <c r="G144" s="12" t="str">
        <f t="shared" si="8"/>
        <v>Pass</v>
      </c>
      <c r="H144" s="13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8" t="s">
        <v>399</v>
      </c>
      <c r="D145" s="12">
        <v>100</v>
      </c>
      <c r="E145" s="1" t="s">
        <v>53</v>
      </c>
      <c r="F145" s="12">
        <v>0</v>
      </c>
      <c r="G145" s="12" t="str">
        <f t="shared" si="8"/>
        <v>Pass</v>
      </c>
      <c r="H145" s="13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8" t="s">
        <v>399</v>
      </c>
      <c r="D146" s="12">
        <v>100</v>
      </c>
      <c r="E146" s="1" t="s">
        <v>54</v>
      </c>
      <c r="F146" s="12">
        <v>0</v>
      </c>
      <c r="G146" s="12" t="str">
        <f t="shared" si="8"/>
        <v>Pass</v>
      </c>
      <c r="H146" s="13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8" t="s">
        <v>399</v>
      </c>
      <c r="D147" s="12">
        <v>100</v>
      </c>
      <c r="E147" s="1" t="s">
        <v>55</v>
      </c>
      <c r="F147" s="12">
        <v>0</v>
      </c>
      <c r="G147" s="12" t="str">
        <f t="shared" si="8"/>
        <v>Pass</v>
      </c>
      <c r="H147" s="13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8" t="s">
        <v>399</v>
      </c>
      <c r="D148" s="12">
        <v>100</v>
      </c>
      <c r="E148" s="1" t="s">
        <v>56</v>
      </c>
      <c r="F148" s="12">
        <v>0</v>
      </c>
      <c r="G148" s="12" t="str">
        <f t="shared" si="8"/>
        <v>Pass</v>
      </c>
      <c r="H148" s="13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8" t="s">
        <v>399</v>
      </c>
      <c r="D149" s="12">
        <v>100</v>
      </c>
      <c r="E149" s="1" t="s">
        <v>57</v>
      </c>
      <c r="F149" s="12">
        <v>0</v>
      </c>
      <c r="G149" s="12" t="str">
        <f t="shared" si="8"/>
        <v>Pass</v>
      </c>
      <c r="H149" s="13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8" t="s">
        <v>399</v>
      </c>
      <c r="D150" s="12">
        <v>100</v>
      </c>
      <c r="E150" s="1" t="s">
        <v>58</v>
      </c>
      <c r="F150" s="12">
        <v>0</v>
      </c>
      <c r="G150" s="12" t="str">
        <f t="shared" si="8"/>
        <v>Pass</v>
      </c>
      <c r="H150" s="13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8" t="s">
        <v>399</v>
      </c>
      <c r="D151" s="12">
        <v>100</v>
      </c>
      <c r="E151" s="1" t="s">
        <v>59</v>
      </c>
      <c r="F151" s="12">
        <v>0</v>
      </c>
      <c r="G151" s="12" t="str">
        <f t="shared" si="8"/>
        <v>Pass</v>
      </c>
      <c r="H151" s="13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8" t="s">
        <v>399</v>
      </c>
      <c r="D152" s="12">
        <v>100</v>
      </c>
      <c r="E152" s="1" t="s">
        <v>60</v>
      </c>
      <c r="F152" s="12">
        <v>0</v>
      </c>
      <c r="G152" s="12" t="str">
        <f t="shared" si="8"/>
        <v>Pass</v>
      </c>
      <c r="H152" s="13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8" t="s">
        <v>399</v>
      </c>
      <c r="D153" s="12">
        <v>100</v>
      </c>
      <c r="E153" s="1" t="s">
        <v>61</v>
      </c>
      <c r="F153" s="12">
        <v>0</v>
      </c>
      <c r="G153" s="12" t="str">
        <f t="shared" si="8"/>
        <v>Pass</v>
      </c>
      <c r="H153" s="13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8" t="s">
        <v>399</v>
      </c>
      <c r="D154" s="12">
        <v>100</v>
      </c>
      <c r="E154" s="1" t="s">
        <v>62</v>
      </c>
      <c r="F154" s="12">
        <v>0</v>
      </c>
      <c r="G154" s="12" t="str">
        <f t="shared" si="8"/>
        <v>Pass</v>
      </c>
      <c r="H154" s="13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8" t="s">
        <v>399</v>
      </c>
      <c r="D155" s="12">
        <v>100</v>
      </c>
      <c r="E155" s="1" t="s">
        <v>63</v>
      </c>
      <c r="F155" s="12">
        <v>0</v>
      </c>
      <c r="G155" s="12" t="str">
        <f t="shared" si="8"/>
        <v>Pass</v>
      </c>
      <c r="H155" s="13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8" t="s">
        <v>399</v>
      </c>
      <c r="D156" s="12">
        <v>100</v>
      </c>
      <c r="E156" s="1" t="s">
        <v>64</v>
      </c>
      <c r="F156" s="12">
        <v>0</v>
      </c>
      <c r="G156" s="12" t="str">
        <f t="shared" si="8"/>
        <v>Pass</v>
      </c>
      <c r="H156" s="13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8" t="s">
        <v>399</v>
      </c>
      <c r="D157" s="12">
        <v>100</v>
      </c>
      <c r="E157" s="1" t="s">
        <v>65</v>
      </c>
      <c r="F157" s="12">
        <v>0</v>
      </c>
      <c r="G157" s="12" t="str">
        <f t="shared" si="8"/>
        <v>Pass</v>
      </c>
      <c r="H157" s="13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8" t="s">
        <v>399</v>
      </c>
      <c r="D158" s="12">
        <v>100</v>
      </c>
      <c r="E158" s="1" t="s">
        <v>66</v>
      </c>
      <c r="F158" s="12">
        <v>8</v>
      </c>
      <c r="G158" s="12" t="str">
        <f t="shared" si="8"/>
        <v>Pass</v>
      </c>
      <c r="H158" s="13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8" t="s">
        <v>399</v>
      </c>
      <c r="D159" s="12">
        <v>100</v>
      </c>
      <c r="E159" s="1" t="s">
        <v>67</v>
      </c>
      <c r="F159" s="12">
        <v>14</v>
      </c>
      <c r="G159" s="12" t="str">
        <f t="shared" si="8"/>
        <v>Pass</v>
      </c>
      <c r="H159" s="13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8" t="s">
        <v>399</v>
      </c>
      <c r="D160" s="12">
        <v>100</v>
      </c>
      <c r="E160" s="1" t="s">
        <v>68</v>
      </c>
      <c r="F160" s="12">
        <v>8</v>
      </c>
      <c r="G160" s="12" t="str">
        <f t="shared" si="8"/>
        <v>Pass</v>
      </c>
      <c r="H160" s="13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8" t="s">
        <v>399</v>
      </c>
      <c r="D161" s="12">
        <v>100</v>
      </c>
      <c r="E161" s="1" t="s">
        <v>69</v>
      </c>
      <c r="F161" s="12">
        <v>14</v>
      </c>
      <c r="G161" s="12" t="str">
        <f t="shared" si="8"/>
        <v>Pass</v>
      </c>
      <c r="H161" s="13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8" t="s">
        <v>399</v>
      </c>
      <c r="D162" s="12">
        <v>100</v>
      </c>
      <c r="E162" s="1" t="s">
        <v>70</v>
      </c>
      <c r="F162" s="12">
        <v>8</v>
      </c>
      <c r="G162" s="12" t="str">
        <f t="shared" si="8"/>
        <v>Pass</v>
      </c>
      <c r="H162" s="13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8" t="s">
        <v>399</v>
      </c>
      <c r="D163" s="53">
        <v>33</v>
      </c>
      <c r="E163" s="1" t="s">
        <v>88</v>
      </c>
      <c r="F163" s="12">
        <v>33</v>
      </c>
      <c r="G163" s="12" t="str">
        <f t="shared" si="8"/>
        <v>Pass</v>
      </c>
      <c r="H163" s="13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8" t="s">
        <v>399</v>
      </c>
      <c r="D164" s="12">
        <v>6</v>
      </c>
      <c r="E164" s="1" t="s">
        <v>213</v>
      </c>
      <c r="F164" s="12">
        <v>1</v>
      </c>
      <c r="G164" s="12" t="str">
        <f t="shared" si="8"/>
        <v>Pass</v>
      </c>
      <c r="H164" s="13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8" t="s">
        <v>399</v>
      </c>
      <c r="D165" s="12">
        <v>100</v>
      </c>
      <c r="E165" s="1" t="s">
        <v>214</v>
      </c>
      <c r="F165" s="12">
        <v>11</v>
      </c>
      <c r="G165" s="12" t="str">
        <f t="shared" si="8"/>
        <v>Pass</v>
      </c>
      <c r="H165" s="13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8" t="s">
        <v>399</v>
      </c>
      <c r="D166" s="12">
        <v>100</v>
      </c>
      <c r="E166" s="1" t="s">
        <v>408</v>
      </c>
      <c r="F166" s="12">
        <v>33</v>
      </c>
      <c r="G166" s="12" t="str">
        <f t="shared" si="8"/>
        <v>Pass</v>
      </c>
      <c r="H166" s="13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8" t="s">
        <v>399</v>
      </c>
      <c r="D167" s="12">
        <v>100</v>
      </c>
      <c r="E167" s="1" t="s">
        <v>409</v>
      </c>
      <c r="F167" s="12">
        <v>11</v>
      </c>
      <c r="G167" s="12" t="str">
        <f t="shared" si="8"/>
        <v>Pass</v>
      </c>
      <c r="H167" s="13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8" t="s">
        <v>399</v>
      </c>
      <c r="D168" s="12">
        <v>100</v>
      </c>
      <c r="E168" s="1" t="s">
        <v>215</v>
      </c>
      <c r="F168" s="12">
        <v>44</v>
      </c>
      <c r="G168" s="12" t="str">
        <f t="shared" si="8"/>
        <v>Pass</v>
      </c>
      <c r="H168" s="13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8" t="s">
        <v>399</v>
      </c>
      <c r="D169" s="12">
        <v>100</v>
      </c>
      <c r="E169" s="1" t="s">
        <v>216</v>
      </c>
      <c r="F169" s="12">
        <v>11</v>
      </c>
      <c r="G169" s="12" t="str">
        <f t="shared" si="8"/>
        <v>Pass</v>
      </c>
      <c r="H169" s="13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8" t="s">
        <v>399</v>
      </c>
      <c r="D170" s="12">
        <v>100</v>
      </c>
      <c r="E170" s="1" t="s">
        <v>217</v>
      </c>
      <c r="F170" s="12">
        <v>29</v>
      </c>
      <c r="G170" s="12" t="str">
        <f t="shared" si="8"/>
        <v>Pass</v>
      </c>
      <c r="H170" s="13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8" t="s">
        <v>399</v>
      </c>
      <c r="D171" s="12">
        <v>100</v>
      </c>
      <c r="E171" s="1" t="s">
        <v>218</v>
      </c>
      <c r="F171" s="12">
        <v>11</v>
      </c>
      <c r="G171" s="12" t="str">
        <f t="shared" si="8"/>
        <v>Pass</v>
      </c>
      <c r="H171" s="13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8" t="s">
        <v>399</v>
      </c>
      <c r="D172" s="12">
        <v>100</v>
      </c>
      <c r="E172" s="1" t="s">
        <v>219</v>
      </c>
      <c r="F172" s="12">
        <v>38</v>
      </c>
      <c r="G172" s="12" t="str">
        <f t="shared" si="8"/>
        <v>Pass</v>
      </c>
      <c r="H172" s="13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8" t="s">
        <v>399</v>
      </c>
      <c r="D173" s="12">
        <v>100</v>
      </c>
      <c r="E173" s="1" t="s">
        <v>220</v>
      </c>
      <c r="F173" s="12">
        <v>11</v>
      </c>
      <c r="G173" s="12" t="str">
        <f t="shared" si="8"/>
        <v>Pass</v>
      </c>
      <c r="H173" s="13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8" t="s">
        <v>399</v>
      </c>
      <c r="D174" s="12">
        <v>100</v>
      </c>
      <c r="E174" s="1" t="s">
        <v>221</v>
      </c>
      <c r="F174" s="12">
        <v>33</v>
      </c>
      <c r="G174" s="12" t="str">
        <f t="shared" si="8"/>
        <v>Pass</v>
      </c>
      <c r="H174" s="13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8" t="s">
        <v>399</v>
      </c>
      <c r="D175" s="12">
        <v>100</v>
      </c>
      <c r="E175" s="1" t="s">
        <v>222</v>
      </c>
      <c r="F175" s="12">
        <v>11</v>
      </c>
      <c r="G175" s="12" t="str">
        <f t="shared" si="8"/>
        <v>Pass</v>
      </c>
      <c r="H175" s="13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8" t="s">
        <v>399</v>
      </c>
      <c r="D176" s="12">
        <v>100</v>
      </c>
      <c r="E176" s="1" t="s">
        <v>223</v>
      </c>
      <c r="F176" s="12">
        <v>44</v>
      </c>
      <c r="G176" s="12" t="str">
        <f t="shared" si="8"/>
        <v>Pass</v>
      </c>
      <c r="H176" s="13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8" t="s">
        <v>399</v>
      </c>
      <c r="D177" s="12">
        <v>100</v>
      </c>
      <c r="E177" s="1" t="s">
        <v>224</v>
      </c>
      <c r="F177" s="12">
        <v>11</v>
      </c>
      <c r="G177" s="12" t="str">
        <f t="shared" si="8"/>
        <v>Pass</v>
      </c>
      <c r="H177" s="13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8" t="s">
        <v>399</v>
      </c>
      <c r="D178" s="12">
        <v>100</v>
      </c>
      <c r="E178" s="1" t="s">
        <v>225</v>
      </c>
      <c r="F178" s="12">
        <v>33</v>
      </c>
      <c r="G178" s="12" t="str">
        <f t="shared" si="8"/>
        <v>Pass</v>
      </c>
      <c r="H178" s="13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8" t="s">
        <v>399</v>
      </c>
      <c r="D179" s="12">
        <v>100</v>
      </c>
      <c r="E179" s="1" t="s">
        <v>226</v>
      </c>
      <c r="F179" s="12">
        <v>11</v>
      </c>
      <c r="G179" s="12" t="str">
        <f t="shared" si="8"/>
        <v>Pass</v>
      </c>
      <c r="H179" s="13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8" t="s">
        <v>399</v>
      </c>
      <c r="D180" s="12">
        <v>100</v>
      </c>
      <c r="E180" s="1" t="s">
        <v>227</v>
      </c>
      <c r="F180" s="12">
        <v>45</v>
      </c>
      <c r="G180" s="12" t="str">
        <f t="shared" si="8"/>
        <v>Pass</v>
      </c>
      <c r="H180" s="13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8" t="s">
        <v>399</v>
      </c>
      <c r="D181" s="12">
        <v>100</v>
      </c>
      <c r="E181" s="1" t="s">
        <v>228</v>
      </c>
      <c r="F181" s="12">
        <v>11</v>
      </c>
      <c r="G181" s="12" t="str">
        <f t="shared" si="8"/>
        <v>Pass</v>
      </c>
      <c r="H181" s="13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8" t="s">
        <v>399</v>
      </c>
      <c r="D182" s="12">
        <v>100</v>
      </c>
      <c r="E182" s="1" t="s">
        <v>229</v>
      </c>
      <c r="F182" s="12">
        <v>33</v>
      </c>
      <c r="G182" s="12" t="str">
        <f t="shared" si="8"/>
        <v>Pass</v>
      </c>
      <c r="H182" s="13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8" t="s">
        <v>399</v>
      </c>
      <c r="D183" s="12">
        <v>100</v>
      </c>
      <c r="E183" s="1" t="s">
        <v>230</v>
      </c>
      <c r="F183" s="12">
        <v>45</v>
      </c>
      <c r="G183" s="12" t="str">
        <f t="shared" si="8"/>
        <v>Pass</v>
      </c>
      <c r="H183" s="13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8" t="s">
        <v>399</v>
      </c>
      <c r="D184" s="12">
        <v>100</v>
      </c>
      <c r="E184" s="1" t="s">
        <v>231</v>
      </c>
      <c r="F184" s="12">
        <v>45</v>
      </c>
      <c r="G184" s="12" t="str">
        <f t="shared" si="8"/>
        <v>Pass</v>
      </c>
      <c r="H184" s="13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8" t="s">
        <v>399</v>
      </c>
      <c r="D185" s="12">
        <v>100</v>
      </c>
      <c r="E185" s="1" t="s">
        <v>232</v>
      </c>
      <c r="F185" s="12">
        <v>11</v>
      </c>
      <c r="G185" s="12" t="str">
        <f t="shared" si="8"/>
        <v>Pass</v>
      </c>
      <c r="H185" s="13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8" t="s">
        <v>399</v>
      </c>
      <c r="D186" s="12">
        <v>100</v>
      </c>
      <c r="E186" s="1" t="s">
        <v>233</v>
      </c>
      <c r="F186" s="12">
        <v>33</v>
      </c>
      <c r="G186" s="12" t="str">
        <f t="shared" si="8"/>
        <v>Pass</v>
      </c>
      <c r="H186" s="13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8" t="s">
        <v>399</v>
      </c>
      <c r="D187" s="12">
        <v>100</v>
      </c>
      <c r="E187" s="1" t="s">
        <v>234</v>
      </c>
      <c r="F187" s="12">
        <v>11</v>
      </c>
      <c r="G187" s="12" t="str">
        <f t="shared" si="8"/>
        <v>Pass</v>
      </c>
      <c r="H187" s="13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8" t="s">
        <v>399</v>
      </c>
      <c r="D188" s="12">
        <v>100</v>
      </c>
      <c r="E188" s="1" t="s">
        <v>235</v>
      </c>
      <c r="F188" s="12">
        <v>51</v>
      </c>
      <c r="G188" s="12" t="str">
        <f t="shared" si="8"/>
        <v>Pass</v>
      </c>
      <c r="H188" s="13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8" t="s">
        <v>399</v>
      </c>
      <c r="D189" s="12">
        <v>100</v>
      </c>
      <c r="E189" s="1" t="s">
        <v>236</v>
      </c>
      <c r="F189" s="12">
        <v>11</v>
      </c>
      <c r="G189" s="12" t="str">
        <f t="shared" si="8"/>
        <v>Pass</v>
      </c>
      <c r="H189" s="13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8" t="s">
        <v>399</v>
      </c>
      <c r="D190" s="12">
        <v>100</v>
      </c>
      <c r="E190" s="1" t="s">
        <v>237</v>
      </c>
      <c r="F190" s="12">
        <v>29</v>
      </c>
      <c r="G190" s="12" t="str">
        <f t="shared" si="8"/>
        <v>Pass</v>
      </c>
      <c r="H190" s="13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8" t="s">
        <v>399</v>
      </c>
      <c r="D191" s="12">
        <v>100</v>
      </c>
      <c r="E191" s="1" t="s">
        <v>238</v>
      </c>
      <c r="F191" s="12">
        <v>11</v>
      </c>
      <c r="G191" s="12" t="str">
        <f t="shared" si="8"/>
        <v>Pass</v>
      </c>
      <c r="H191" s="13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8" t="s">
        <v>399</v>
      </c>
      <c r="D192" s="12">
        <v>100</v>
      </c>
      <c r="E192" s="1" t="s">
        <v>239</v>
      </c>
      <c r="F192" s="12">
        <v>43</v>
      </c>
      <c r="G192" s="12" t="str">
        <f t="shared" si="8"/>
        <v>Pass</v>
      </c>
      <c r="H192" s="13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8" t="s">
        <v>399</v>
      </c>
      <c r="D193" s="12">
        <v>100</v>
      </c>
      <c r="E193" s="1" t="s">
        <v>240</v>
      </c>
      <c r="F193" s="12">
        <v>11</v>
      </c>
      <c r="G193" s="12" t="str">
        <f t="shared" si="8"/>
        <v>Pass</v>
      </c>
      <c r="H193" s="13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8" t="s">
        <v>399</v>
      </c>
      <c r="D194" s="12">
        <v>100</v>
      </c>
      <c r="E194" s="1" t="s">
        <v>241</v>
      </c>
      <c r="F194" s="12">
        <v>40</v>
      </c>
      <c r="G194" s="12" t="str">
        <f t="shared" si="8"/>
        <v>Pass</v>
      </c>
      <c r="H194" s="13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8" t="s">
        <v>399</v>
      </c>
      <c r="D195" s="12">
        <v>100</v>
      </c>
      <c r="E195" s="1" t="s">
        <v>242</v>
      </c>
      <c r="F195" s="12">
        <v>11</v>
      </c>
      <c r="G195" s="12" t="str">
        <f t="shared" ref="G195:G258" si="12">IF(I195=J195,"Pass","Fail")</f>
        <v>Pass</v>
      </c>
      <c r="H195" s="13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8" t="s">
        <v>399</v>
      </c>
      <c r="D196" s="12">
        <v>100</v>
      </c>
      <c r="E196" s="1" t="s">
        <v>243</v>
      </c>
      <c r="F196" s="12">
        <v>29</v>
      </c>
      <c r="G196" s="12" t="str">
        <f t="shared" si="12"/>
        <v>Pass</v>
      </c>
      <c r="H196" s="13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8" t="s">
        <v>399</v>
      </c>
      <c r="D197" s="12">
        <v>100</v>
      </c>
      <c r="E197" s="1" t="s">
        <v>244</v>
      </c>
      <c r="F197" s="12">
        <v>11</v>
      </c>
      <c r="G197" s="12" t="str">
        <f t="shared" si="12"/>
        <v>Pass</v>
      </c>
      <c r="H197" s="13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8" t="s">
        <v>399</v>
      </c>
      <c r="D198" s="12">
        <v>100</v>
      </c>
      <c r="E198" s="1" t="s">
        <v>245</v>
      </c>
      <c r="F198" s="12">
        <v>40</v>
      </c>
      <c r="G198" s="12" t="str">
        <f t="shared" si="12"/>
        <v>Pass</v>
      </c>
      <c r="H198" s="13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8" t="s">
        <v>399</v>
      </c>
      <c r="D199" s="12">
        <v>100</v>
      </c>
      <c r="E199" s="1" t="s">
        <v>246</v>
      </c>
      <c r="F199" s="12">
        <v>11</v>
      </c>
      <c r="G199" s="12" t="str">
        <f t="shared" si="12"/>
        <v>Pass</v>
      </c>
      <c r="H199" s="13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8" t="s">
        <v>399</v>
      </c>
      <c r="D200" s="12">
        <v>100</v>
      </c>
      <c r="E200" s="1" t="s">
        <v>247</v>
      </c>
      <c r="F200" s="12">
        <v>29</v>
      </c>
      <c r="G200" s="12" t="str">
        <f t="shared" si="12"/>
        <v>Pass</v>
      </c>
      <c r="H200" s="13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8" t="s">
        <v>399</v>
      </c>
      <c r="D201" s="12">
        <v>100</v>
      </c>
      <c r="E201" s="1" t="s">
        <v>248</v>
      </c>
      <c r="F201" s="12">
        <v>11</v>
      </c>
      <c r="G201" s="12" t="str">
        <f t="shared" si="12"/>
        <v>Pass</v>
      </c>
      <c r="H201" s="13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8" t="s">
        <v>399</v>
      </c>
      <c r="D202" s="12">
        <v>100</v>
      </c>
      <c r="E202" s="1" t="s">
        <v>249</v>
      </c>
      <c r="F202" s="12">
        <v>40</v>
      </c>
      <c r="G202" s="12" t="str">
        <f t="shared" si="12"/>
        <v>Pass</v>
      </c>
      <c r="H202" s="13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8" t="s">
        <v>399</v>
      </c>
      <c r="D203" s="12">
        <v>100</v>
      </c>
      <c r="E203" s="1" t="s">
        <v>250</v>
      </c>
      <c r="F203" s="12">
        <v>11</v>
      </c>
      <c r="G203" s="12" t="str">
        <f t="shared" si="12"/>
        <v>Pass</v>
      </c>
      <c r="H203" s="13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8" t="s">
        <v>399</v>
      </c>
      <c r="D204" s="12">
        <v>100</v>
      </c>
      <c r="E204" s="1" t="s">
        <v>251</v>
      </c>
      <c r="F204" s="12">
        <v>29</v>
      </c>
      <c r="G204" s="12" t="str">
        <f t="shared" si="12"/>
        <v>Pass</v>
      </c>
      <c r="H204" s="13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8" t="s">
        <v>399</v>
      </c>
      <c r="D205" s="12">
        <v>100</v>
      </c>
      <c r="E205" s="1" t="s">
        <v>252</v>
      </c>
      <c r="F205" s="12">
        <v>11</v>
      </c>
      <c r="G205" s="12" t="str">
        <f t="shared" si="12"/>
        <v>Pass</v>
      </c>
      <c r="H205" s="13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8" t="s">
        <v>399</v>
      </c>
      <c r="D206" s="12">
        <v>100</v>
      </c>
      <c r="E206" s="1" t="s">
        <v>253</v>
      </c>
      <c r="F206" s="12">
        <v>40</v>
      </c>
      <c r="G206" s="12" t="str">
        <f t="shared" si="12"/>
        <v>Pass</v>
      </c>
      <c r="H206" s="13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8" t="s">
        <v>399</v>
      </c>
      <c r="D207" s="12">
        <v>100</v>
      </c>
      <c r="E207" s="1" t="s">
        <v>254</v>
      </c>
      <c r="F207" s="12">
        <v>11</v>
      </c>
      <c r="G207" s="12" t="str">
        <f t="shared" si="12"/>
        <v>Pass</v>
      </c>
      <c r="H207" s="13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8" t="s">
        <v>399</v>
      </c>
      <c r="D208" s="12">
        <v>100</v>
      </c>
      <c r="E208" s="1" t="s">
        <v>255</v>
      </c>
      <c r="F208" s="12">
        <v>29</v>
      </c>
      <c r="G208" s="12" t="str">
        <f t="shared" si="12"/>
        <v>Pass</v>
      </c>
      <c r="H208" s="13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8" t="s">
        <v>399</v>
      </c>
      <c r="D209" s="12">
        <v>100</v>
      </c>
      <c r="E209" s="1" t="s">
        <v>256</v>
      </c>
      <c r="F209" s="12">
        <v>11</v>
      </c>
      <c r="G209" s="12" t="str">
        <f t="shared" si="12"/>
        <v>Pass</v>
      </c>
      <c r="H209" s="13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8" t="s">
        <v>399</v>
      </c>
      <c r="D210" s="12">
        <v>100</v>
      </c>
      <c r="E210" s="1" t="s">
        <v>257</v>
      </c>
      <c r="F210" s="12">
        <v>40</v>
      </c>
      <c r="G210" s="12" t="str">
        <f t="shared" si="12"/>
        <v>Pass</v>
      </c>
      <c r="H210" s="13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8" t="s">
        <v>399</v>
      </c>
      <c r="D211" s="12">
        <v>100</v>
      </c>
      <c r="E211" s="1" t="s">
        <v>258</v>
      </c>
      <c r="F211" s="12">
        <v>11</v>
      </c>
      <c r="G211" s="12" t="str">
        <f t="shared" si="12"/>
        <v>Pass</v>
      </c>
      <c r="H211" s="13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8" t="s">
        <v>399</v>
      </c>
      <c r="D212" s="12">
        <v>100</v>
      </c>
      <c r="E212" s="1" t="s">
        <v>259</v>
      </c>
      <c r="F212" s="12">
        <v>29</v>
      </c>
      <c r="G212" s="12" t="str">
        <f t="shared" si="12"/>
        <v>Pass</v>
      </c>
      <c r="H212" s="13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8" t="s">
        <v>399</v>
      </c>
      <c r="D213" s="12">
        <v>100</v>
      </c>
      <c r="E213" s="1" t="s">
        <v>260</v>
      </c>
      <c r="F213" s="12">
        <v>0</v>
      </c>
      <c r="G213" s="12" t="str">
        <f t="shared" si="12"/>
        <v>Pass</v>
      </c>
      <c r="H213" s="13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8" t="s">
        <v>399</v>
      </c>
      <c r="D214" s="12">
        <v>100</v>
      </c>
      <c r="E214" s="1" t="s">
        <v>261</v>
      </c>
      <c r="F214" s="12">
        <v>0</v>
      </c>
      <c r="G214" s="12" t="str">
        <f t="shared" si="12"/>
        <v>Pass</v>
      </c>
      <c r="H214" s="13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8" t="s">
        <v>399</v>
      </c>
      <c r="D215" s="12">
        <v>100</v>
      </c>
      <c r="E215" s="1" t="s">
        <v>262</v>
      </c>
      <c r="F215" s="12">
        <v>0</v>
      </c>
      <c r="G215" s="12" t="str">
        <f t="shared" si="12"/>
        <v>Pass</v>
      </c>
      <c r="H215" s="13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8" t="s">
        <v>399</v>
      </c>
      <c r="D216" s="12">
        <v>100</v>
      </c>
      <c r="E216" s="1" t="s">
        <v>263</v>
      </c>
      <c r="F216" s="12">
        <v>0</v>
      </c>
      <c r="G216" s="12" t="str">
        <f t="shared" si="12"/>
        <v>Pass</v>
      </c>
      <c r="H216" s="13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8" t="s">
        <v>399</v>
      </c>
      <c r="D217" s="12">
        <v>100</v>
      </c>
      <c r="E217" s="1" t="s">
        <v>264</v>
      </c>
      <c r="F217" s="12">
        <v>0</v>
      </c>
      <c r="G217" s="12" t="str">
        <f t="shared" si="12"/>
        <v>Pass</v>
      </c>
      <c r="H217" s="13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8" t="s">
        <v>399</v>
      </c>
      <c r="D218" s="12">
        <v>100</v>
      </c>
      <c r="E218" s="1" t="s">
        <v>265</v>
      </c>
      <c r="F218" s="12">
        <v>0</v>
      </c>
      <c r="G218" s="12" t="str">
        <f t="shared" si="12"/>
        <v>Pass</v>
      </c>
      <c r="H218" s="13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8" t="s">
        <v>399</v>
      </c>
      <c r="D219" s="12">
        <v>100</v>
      </c>
      <c r="E219" s="1" t="s">
        <v>266</v>
      </c>
      <c r="F219" s="12">
        <v>0</v>
      </c>
      <c r="G219" s="12" t="str">
        <f t="shared" si="12"/>
        <v>Pass</v>
      </c>
      <c r="H219" s="13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8" t="s">
        <v>399</v>
      </c>
      <c r="D220" s="12">
        <v>100</v>
      </c>
      <c r="E220" s="1" t="s">
        <v>267</v>
      </c>
      <c r="F220" s="12">
        <v>0</v>
      </c>
      <c r="G220" s="12" t="str">
        <f t="shared" si="12"/>
        <v>Pass</v>
      </c>
      <c r="H220" s="13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8" t="s">
        <v>399</v>
      </c>
      <c r="D221" s="12">
        <v>100</v>
      </c>
      <c r="E221" s="1" t="s">
        <v>268</v>
      </c>
      <c r="F221" s="12">
        <v>0</v>
      </c>
      <c r="G221" s="12" t="str">
        <f t="shared" si="12"/>
        <v>Pass</v>
      </c>
      <c r="H221" s="13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8" t="s">
        <v>399</v>
      </c>
      <c r="D222" s="12">
        <v>100</v>
      </c>
      <c r="E222" s="1" t="s">
        <v>269</v>
      </c>
      <c r="F222" s="12">
        <v>0</v>
      </c>
      <c r="G222" s="12" t="str">
        <f t="shared" si="12"/>
        <v>Pass</v>
      </c>
      <c r="H222" s="13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8" t="s">
        <v>399</v>
      </c>
      <c r="D223" s="12">
        <v>100</v>
      </c>
      <c r="E223" s="1" t="s">
        <v>270</v>
      </c>
      <c r="F223" s="12">
        <v>0</v>
      </c>
      <c r="G223" s="12" t="str">
        <f t="shared" si="12"/>
        <v>Pass</v>
      </c>
      <c r="H223" s="13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8" t="s">
        <v>399</v>
      </c>
      <c r="D224" s="12">
        <v>100</v>
      </c>
      <c r="E224" s="1" t="s">
        <v>271</v>
      </c>
      <c r="F224" s="12">
        <v>0</v>
      </c>
      <c r="G224" s="12" t="str">
        <f t="shared" si="12"/>
        <v>Pass</v>
      </c>
      <c r="H224" s="13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8" t="s">
        <v>399</v>
      </c>
      <c r="D225" s="12">
        <v>100</v>
      </c>
      <c r="E225" s="1" t="s">
        <v>272</v>
      </c>
      <c r="F225" s="12">
        <v>0</v>
      </c>
      <c r="G225" s="12" t="str">
        <f t="shared" si="12"/>
        <v>Pass</v>
      </c>
      <c r="H225" s="13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8" t="s">
        <v>399</v>
      </c>
      <c r="D226" s="12">
        <v>100</v>
      </c>
      <c r="E226" s="1" t="s">
        <v>273</v>
      </c>
      <c r="F226" s="12">
        <v>0</v>
      </c>
      <c r="G226" s="12" t="str">
        <f t="shared" si="12"/>
        <v>Pass</v>
      </c>
      <c r="H226" s="13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8" t="s">
        <v>399</v>
      </c>
      <c r="D227" s="12">
        <v>100</v>
      </c>
      <c r="E227" s="1" t="s">
        <v>274</v>
      </c>
      <c r="F227" s="12">
        <v>0</v>
      </c>
      <c r="G227" s="12" t="str">
        <f t="shared" si="12"/>
        <v>Pass</v>
      </c>
      <c r="H227" s="13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8" t="s">
        <v>399</v>
      </c>
      <c r="D228" s="12">
        <v>100</v>
      </c>
      <c r="E228" s="1" t="s">
        <v>275</v>
      </c>
      <c r="F228" s="12">
        <v>0</v>
      </c>
      <c r="G228" s="12" t="str">
        <f t="shared" si="12"/>
        <v>Pass</v>
      </c>
      <c r="H228" s="13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8" t="s">
        <v>399</v>
      </c>
      <c r="D229" s="12">
        <v>11</v>
      </c>
      <c r="E229" s="1" t="s">
        <v>279</v>
      </c>
      <c r="F229" s="12">
        <v>11</v>
      </c>
      <c r="G229" s="12" t="str">
        <f t="shared" si="12"/>
        <v>Pass</v>
      </c>
      <c r="H229" s="13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8" t="s">
        <v>399</v>
      </c>
      <c r="D230" s="12">
        <v>100</v>
      </c>
      <c r="E230" s="1" t="s">
        <v>280</v>
      </c>
      <c r="F230" s="12">
        <v>25</v>
      </c>
      <c r="G230" s="12" t="str">
        <f t="shared" si="12"/>
        <v>Pass</v>
      </c>
      <c r="H230" s="13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8" t="s">
        <v>399</v>
      </c>
      <c r="D231" s="12">
        <v>100</v>
      </c>
      <c r="E231" s="1" t="s">
        <v>281</v>
      </c>
      <c r="F231" s="12">
        <v>60</v>
      </c>
      <c r="G231" s="12" t="str">
        <f t="shared" si="12"/>
        <v>Pass</v>
      </c>
      <c r="H231" s="13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8" t="s">
        <v>399</v>
      </c>
      <c r="D232" s="12">
        <v>100</v>
      </c>
      <c r="E232" s="1" t="s">
        <v>291</v>
      </c>
      <c r="F232" s="12">
        <v>11</v>
      </c>
      <c r="G232" s="12" t="str">
        <f t="shared" si="12"/>
        <v>Pass</v>
      </c>
      <c r="H232" s="13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8" t="s">
        <v>399</v>
      </c>
      <c r="D233" s="12">
        <v>100</v>
      </c>
      <c r="E233" s="1" t="s">
        <v>292</v>
      </c>
      <c r="F233" s="12">
        <v>12</v>
      </c>
      <c r="G233" s="12" t="str">
        <f t="shared" si="12"/>
        <v>Pass</v>
      </c>
      <c r="H233" s="13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8" t="s">
        <v>399</v>
      </c>
      <c r="D234" s="12">
        <v>100</v>
      </c>
      <c r="E234" s="1" t="s">
        <v>293</v>
      </c>
      <c r="F234" s="12">
        <v>60</v>
      </c>
      <c r="G234" s="12" t="str">
        <f t="shared" si="12"/>
        <v>Pass</v>
      </c>
      <c r="H234" s="13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8" t="s">
        <v>399</v>
      </c>
      <c r="D235" s="12">
        <v>100</v>
      </c>
      <c r="E235" s="1" t="s">
        <v>276</v>
      </c>
      <c r="F235" s="12">
        <v>11</v>
      </c>
      <c r="G235" s="12" t="str">
        <f t="shared" si="12"/>
        <v>Pass</v>
      </c>
      <c r="H235" s="13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8" t="s">
        <v>399</v>
      </c>
      <c r="D236" s="12">
        <v>100</v>
      </c>
      <c r="E236" s="1" t="s">
        <v>277</v>
      </c>
      <c r="F236" s="12">
        <v>25</v>
      </c>
      <c r="G236" s="12" t="str">
        <f t="shared" si="12"/>
        <v>Pass</v>
      </c>
      <c r="H236" s="13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8" t="s">
        <v>399</v>
      </c>
      <c r="D237" s="12">
        <v>100</v>
      </c>
      <c r="E237" s="1" t="s">
        <v>278</v>
      </c>
      <c r="F237" s="12">
        <v>52</v>
      </c>
      <c r="G237" s="12" t="str">
        <f t="shared" si="12"/>
        <v>Pass</v>
      </c>
      <c r="H237" s="13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8" t="s">
        <v>399</v>
      </c>
      <c r="D238" s="12">
        <v>100</v>
      </c>
      <c r="E238" s="1" t="s">
        <v>282</v>
      </c>
      <c r="F238" s="12">
        <v>11</v>
      </c>
      <c r="G238" s="12" t="str">
        <f t="shared" si="12"/>
        <v>Pass</v>
      </c>
      <c r="H238" s="13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8" t="s">
        <v>399</v>
      </c>
      <c r="D239" s="12">
        <v>100</v>
      </c>
      <c r="E239" s="1" t="s">
        <v>283</v>
      </c>
      <c r="F239" s="12">
        <v>12</v>
      </c>
      <c r="G239" s="12" t="str">
        <f t="shared" si="12"/>
        <v>Pass</v>
      </c>
      <c r="H239" s="13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8" t="s">
        <v>399</v>
      </c>
      <c r="D240" s="12">
        <v>100</v>
      </c>
      <c r="E240" s="1" t="s">
        <v>284</v>
      </c>
      <c r="F240" s="12">
        <v>15</v>
      </c>
      <c r="G240" s="12" t="str">
        <f t="shared" si="12"/>
        <v>Pass</v>
      </c>
      <c r="H240" s="13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8" t="s">
        <v>399</v>
      </c>
      <c r="D241" s="12">
        <v>100</v>
      </c>
      <c r="E241" s="1" t="s">
        <v>285</v>
      </c>
      <c r="F241" s="12">
        <v>11</v>
      </c>
      <c r="G241" s="12" t="str">
        <f t="shared" si="12"/>
        <v>Pass</v>
      </c>
      <c r="H241" s="13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8" t="s">
        <v>399</v>
      </c>
      <c r="D242" s="12">
        <v>100</v>
      </c>
      <c r="E242" s="1" t="s">
        <v>286</v>
      </c>
      <c r="F242" s="12">
        <v>11</v>
      </c>
      <c r="G242" s="12" t="str">
        <f t="shared" si="12"/>
        <v>Pass</v>
      </c>
      <c r="H242" s="13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8" t="s">
        <v>399</v>
      </c>
      <c r="D243" s="12">
        <v>100</v>
      </c>
      <c r="E243" s="1" t="s">
        <v>287</v>
      </c>
      <c r="F243" s="12">
        <v>11</v>
      </c>
      <c r="G243" s="12" t="str">
        <f t="shared" si="12"/>
        <v>Pass</v>
      </c>
      <c r="H243" s="13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8" t="s">
        <v>399</v>
      </c>
      <c r="D244" s="12">
        <v>100</v>
      </c>
      <c r="E244" s="1" t="s">
        <v>288</v>
      </c>
      <c r="F244" s="12">
        <v>0</v>
      </c>
      <c r="G244" s="12" t="str">
        <f t="shared" si="12"/>
        <v>Pass</v>
      </c>
      <c r="H244" s="13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8" t="s">
        <v>399</v>
      </c>
      <c r="D245" s="12">
        <v>100</v>
      </c>
      <c r="E245" s="1" t="s">
        <v>289</v>
      </c>
      <c r="F245" s="12">
        <v>0</v>
      </c>
      <c r="G245" s="12" t="str">
        <f t="shared" si="12"/>
        <v>Pass</v>
      </c>
      <c r="H245" s="13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8" t="s">
        <v>399</v>
      </c>
      <c r="D246" s="12">
        <v>100</v>
      </c>
      <c r="E246" s="1" t="s">
        <v>290</v>
      </c>
      <c r="F246" s="12">
        <v>0</v>
      </c>
      <c r="G246" s="12" t="str">
        <f t="shared" si="12"/>
        <v>Pass</v>
      </c>
      <c r="H246" s="13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8" t="s">
        <v>399</v>
      </c>
      <c r="D247" s="12">
        <v>100</v>
      </c>
      <c r="E247" s="1" t="s">
        <v>410</v>
      </c>
      <c r="F247" s="12">
        <v>11</v>
      </c>
      <c r="G247" s="12" t="str">
        <f t="shared" si="12"/>
        <v>Pass</v>
      </c>
      <c r="H247" s="13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8" t="s">
        <v>399</v>
      </c>
      <c r="D248" s="12">
        <v>100</v>
      </c>
      <c r="E248" s="1" t="s">
        <v>411</v>
      </c>
      <c r="F248" s="12">
        <v>11</v>
      </c>
      <c r="G248" s="12" t="str">
        <f t="shared" si="12"/>
        <v>Pass</v>
      </c>
      <c r="H248" s="13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8" t="s">
        <v>399</v>
      </c>
      <c r="D249" s="12">
        <v>100</v>
      </c>
      <c r="E249" s="1" t="s">
        <v>412</v>
      </c>
      <c r="F249" s="12">
        <v>11</v>
      </c>
      <c r="G249" s="12" t="str">
        <f t="shared" si="12"/>
        <v>Pass</v>
      </c>
      <c r="H249" s="13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8" t="s">
        <v>400</v>
      </c>
      <c r="D250" s="12"/>
      <c r="E250" s="1" t="s">
        <v>294</v>
      </c>
      <c r="F250" s="12">
        <v>10</v>
      </c>
      <c r="G250" s="12" t="str">
        <f t="shared" si="12"/>
        <v>Pass</v>
      </c>
      <c r="H250" s="13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8" t="s">
        <v>400</v>
      </c>
      <c r="D251" s="12"/>
      <c r="E251" s="1" t="s">
        <v>295</v>
      </c>
      <c r="F251" s="12">
        <v>10</v>
      </c>
      <c r="G251" s="12" t="str">
        <f t="shared" si="12"/>
        <v>Pass</v>
      </c>
      <c r="H251" s="13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8" t="s">
        <v>399</v>
      </c>
      <c r="D252" s="12">
        <v>255</v>
      </c>
      <c r="E252" s="1" t="s">
        <v>86</v>
      </c>
      <c r="F252" s="12">
        <v>73</v>
      </c>
      <c r="G252" s="12" t="str">
        <f t="shared" si="12"/>
        <v>Pass</v>
      </c>
      <c r="H252" s="13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8" t="s">
        <v>399</v>
      </c>
      <c r="D253" s="12">
        <v>10</v>
      </c>
      <c r="E253" s="1" t="s">
        <v>87</v>
      </c>
      <c r="F253" s="12">
        <v>10</v>
      </c>
      <c r="G253" s="12" t="str">
        <f t="shared" si="12"/>
        <v>Pass</v>
      </c>
      <c r="H253" s="13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8" t="s">
        <v>398</v>
      </c>
      <c r="D254" s="12"/>
      <c r="E254" s="1" t="s">
        <v>296</v>
      </c>
      <c r="F254" s="12">
        <v>6</v>
      </c>
      <c r="G254" s="12" t="str">
        <f t="shared" si="12"/>
        <v>Pass</v>
      </c>
      <c r="H254" s="13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8" t="s">
        <v>399</v>
      </c>
      <c r="D255" s="12">
        <v>50</v>
      </c>
      <c r="E255" s="1" t="s">
        <v>71</v>
      </c>
      <c r="F255" s="12">
        <v>32</v>
      </c>
      <c r="G255" s="12" t="str">
        <f t="shared" si="12"/>
        <v>Pass</v>
      </c>
      <c r="H255" s="13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8" t="s">
        <v>399</v>
      </c>
      <c r="D256" s="12">
        <v>20</v>
      </c>
      <c r="E256" s="1" t="s">
        <v>297</v>
      </c>
      <c r="F256" s="12">
        <v>4</v>
      </c>
      <c r="G256" s="12" t="str">
        <f t="shared" si="12"/>
        <v>Pass</v>
      </c>
      <c r="H256" s="13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1" t="s">
        <v>436</v>
      </c>
      <c r="C257" s="31" t="s">
        <v>458</v>
      </c>
      <c r="D257" s="12">
        <v>100</v>
      </c>
      <c r="E257" s="31" t="s">
        <v>436</v>
      </c>
      <c r="F257" s="12">
        <v>14</v>
      </c>
      <c r="G257" s="12" t="str">
        <f t="shared" si="12"/>
        <v>Pass</v>
      </c>
      <c r="H257" s="13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1" t="s">
        <v>437</v>
      </c>
      <c r="C258" s="31" t="s">
        <v>458</v>
      </c>
      <c r="D258" s="12">
        <v>100</v>
      </c>
      <c r="E258" s="31" t="s">
        <v>437</v>
      </c>
      <c r="F258" s="12">
        <v>5</v>
      </c>
      <c r="G258" s="12" t="str">
        <f t="shared" si="12"/>
        <v>Pass</v>
      </c>
      <c r="H258" s="13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1" t="s">
        <v>438</v>
      </c>
      <c r="C259" s="31" t="s">
        <v>458</v>
      </c>
      <c r="D259" s="12">
        <v>100</v>
      </c>
      <c r="E259" s="31" t="s">
        <v>438</v>
      </c>
      <c r="F259" s="12">
        <v>5</v>
      </c>
      <c r="G259" s="12" t="str">
        <f t="shared" ref="G259:G276" si="16">IF(I259=J259,"Pass","Fail")</f>
        <v>Pass</v>
      </c>
      <c r="H259" s="13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1" t="s">
        <v>439</v>
      </c>
      <c r="C260" s="31" t="s">
        <v>458</v>
      </c>
      <c r="D260" s="12">
        <v>100</v>
      </c>
      <c r="E260" s="31" t="s">
        <v>439</v>
      </c>
      <c r="F260" s="12">
        <v>5</v>
      </c>
      <c r="G260" s="12" t="str">
        <f t="shared" si="16"/>
        <v>Pass</v>
      </c>
      <c r="H260" s="13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1" t="s">
        <v>440</v>
      </c>
      <c r="C261" s="31" t="s">
        <v>458</v>
      </c>
      <c r="D261" s="12">
        <v>100</v>
      </c>
      <c r="E261" s="31" t="s">
        <v>440</v>
      </c>
      <c r="F261" s="12">
        <v>5</v>
      </c>
      <c r="G261" s="12" t="str">
        <f t="shared" si="16"/>
        <v>Pass</v>
      </c>
      <c r="H261" s="13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1" t="s">
        <v>441</v>
      </c>
      <c r="C262" s="31" t="s">
        <v>458</v>
      </c>
      <c r="D262" s="12">
        <v>100</v>
      </c>
      <c r="E262" s="31" t="s">
        <v>441</v>
      </c>
      <c r="F262" s="12">
        <v>0</v>
      </c>
      <c r="G262" s="12" t="str">
        <f t="shared" si="16"/>
        <v>Pass</v>
      </c>
      <c r="H262" s="13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1" t="s">
        <v>442</v>
      </c>
      <c r="C263" s="31" t="s">
        <v>458</v>
      </c>
      <c r="D263" s="12">
        <v>100</v>
      </c>
      <c r="E263" s="31" t="s">
        <v>442</v>
      </c>
      <c r="F263" s="12">
        <v>0</v>
      </c>
      <c r="G263" s="12" t="str">
        <f t="shared" si="16"/>
        <v>Pass</v>
      </c>
      <c r="H263" s="13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1" t="s">
        <v>443</v>
      </c>
      <c r="C264" s="31" t="s">
        <v>458</v>
      </c>
      <c r="D264" s="12">
        <v>100</v>
      </c>
      <c r="E264" s="31" t="s">
        <v>443</v>
      </c>
      <c r="F264" s="12">
        <v>0</v>
      </c>
      <c r="G264" s="12" t="str">
        <f t="shared" si="16"/>
        <v>Pass</v>
      </c>
      <c r="H264" s="13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1" t="s">
        <v>444</v>
      </c>
      <c r="C265" s="31" t="s">
        <v>458</v>
      </c>
      <c r="D265" s="12">
        <v>100</v>
      </c>
      <c r="E265" s="31" t="s">
        <v>444</v>
      </c>
      <c r="F265" s="12">
        <v>0</v>
      </c>
      <c r="G265" s="12" t="str">
        <f t="shared" si="16"/>
        <v>Pass</v>
      </c>
      <c r="H265" s="13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1" t="s">
        <v>445</v>
      </c>
      <c r="C266" s="31" t="s">
        <v>458</v>
      </c>
      <c r="D266" s="12">
        <v>100</v>
      </c>
      <c r="E266" s="31" t="s">
        <v>445</v>
      </c>
      <c r="F266" s="12">
        <v>0</v>
      </c>
      <c r="G266" s="12" t="str">
        <f t="shared" si="16"/>
        <v>Pass</v>
      </c>
      <c r="H266" s="13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1" t="s">
        <v>446</v>
      </c>
      <c r="C267" s="31" t="s">
        <v>458</v>
      </c>
      <c r="D267" s="12">
        <v>100</v>
      </c>
      <c r="E267" s="31" t="s">
        <v>446</v>
      </c>
      <c r="F267" s="12">
        <v>0</v>
      </c>
      <c r="G267" s="12" t="str">
        <f t="shared" si="16"/>
        <v>Pass</v>
      </c>
      <c r="H267" s="13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1" t="s">
        <v>447</v>
      </c>
      <c r="C268" s="31" t="s">
        <v>458</v>
      </c>
      <c r="D268" s="12">
        <v>100</v>
      </c>
      <c r="E268" s="31" t="s">
        <v>447</v>
      </c>
      <c r="F268" s="12">
        <v>0</v>
      </c>
      <c r="G268" s="12" t="str">
        <f t="shared" si="16"/>
        <v>Pass</v>
      </c>
      <c r="H268" s="13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1" t="s">
        <v>448</v>
      </c>
      <c r="C269" s="31" t="s">
        <v>458</v>
      </c>
      <c r="D269" s="12">
        <v>100</v>
      </c>
      <c r="E269" s="31" t="s">
        <v>448</v>
      </c>
      <c r="F269" s="12">
        <v>0</v>
      </c>
      <c r="G269" s="12" t="str">
        <f t="shared" si="16"/>
        <v>Pass</v>
      </c>
      <c r="H269" s="13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1" t="s">
        <v>449</v>
      </c>
      <c r="C270" s="31" t="s">
        <v>458</v>
      </c>
      <c r="D270" s="12">
        <v>100</v>
      </c>
      <c r="E270" s="31" t="s">
        <v>449</v>
      </c>
      <c r="F270" s="12">
        <v>0</v>
      </c>
      <c r="G270" s="12" t="str">
        <f t="shared" si="16"/>
        <v>Pass</v>
      </c>
      <c r="H270" s="13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1" t="s">
        <v>450</v>
      </c>
      <c r="C271" s="31" t="s">
        <v>458</v>
      </c>
      <c r="D271" s="12">
        <v>100</v>
      </c>
      <c r="E271" s="31" t="s">
        <v>450</v>
      </c>
      <c r="F271" s="12">
        <v>0</v>
      </c>
      <c r="G271" s="12" t="str">
        <f t="shared" si="16"/>
        <v>Pass</v>
      </c>
      <c r="H271" s="13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1" t="s">
        <v>451</v>
      </c>
      <c r="C272" s="31" t="s">
        <v>458</v>
      </c>
      <c r="D272" s="12">
        <v>100</v>
      </c>
      <c r="E272" s="31" t="s">
        <v>451</v>
      </c>
      <c r="F272" s="12">
        <v>0</v>
      </c>
      <c r="G272" s="12" t="str">
        <f t="shared" si="16"/>
        <v>Pass</v>
      </c>
      <c r="H272" s="13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1" t="s">
        <v>452</v>
      </c>
      <c r="C273" s="31" t="s">
        <v>458</v>
      </c>
      <c r="D273" s="12">
        <v>100</v>
      </c>
      <c r="E273" s="31" t="s">
        <v>452</v>
      </c>
      <c r="F273" s="12">
        <v>0</v>
      </c>
      <c r="G273" s="12" t="str">
        <f t="shared" si="16"/>
        <v>Pass</v>
      </c>
      <c r="H273" s="13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1" t="s">
        <v>453</v>
      </c>
      <c r="C274" s="31" t="s">
        <v>458</v>
      </c>
      <c r="D274" s="12">
        <v>100</v>
      </c>
      <c r="E274" s="31" t="s">
        <v>453</v>
      </c>
      <c r="F274" s="12">
        <v>0</v>
      </c>
      <c r="G274" s="12" t="str">
        <f t="shared" si="16"/>
        <v>Pass</v>
      </c>
      <c r="H274" s="13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1" t="s">
        <v>454</v>
      </c>
      <c r="C275" s="31" t="s">
        <v>458</v>
      </c>
      <c r="D275" s="12">
        <v>100</v>
      </c>
      <c r="E275" s="31" t="s">
        <v>454</v>
      </c>
      <c r="F275" s="12">
        <v>0</v>
      </c>
      <c r="G275" s="12" t="str">
        <f t="shared" si="16"/>
        <v>Pass</v>
      </c>
      <c r="H275" s="13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1" t="s">
        <v>455</v>
      </c>
      <c r="C276" s="31" t="s">
        <v>458</v>
      </c>
      <c r="D276" s="12">
        <v>100</v>
      </c>
      <c r="E276" s="31" t="s">
        <v>455</v>
      </c>
      <c r="F276" s="12">
        <v>0</v>
      </c>
      <c r="G276" s="12" t="str">
        <f t="shared" si="16"/>
        <v>Pass</v>
      </c>
      <c r="H276" s="13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11" priority="121" operator="equal">
      <formula>"Fail"</formula>
    </cfRule>
    <cfRule type="cellIs" dxfId="110" priority="122" operator="equal">
      <formula>"Pass"</formula>
    </cfRule>
  </conditionalFormatting>
  <conditionalFormatting sqref="M6:N7">
    <cfRule type="cellIs" dxfId="109" priority="7" operator="equal">
      <formula>"Fail"</formula>
    </cfRule>
    <cfRule type="cellIs" dxfId="108" priority="8" operator="equal">
      <formula>"Pass"</formula>
    </cfRule>
  </conditionalFormatting>
  <conditionalFormatting sqref="M8">
    <cfRule type="containsText" dxfId="107" priority="1" operator="containsText" text="Pass">
      <formula>NOT(ISERROR(SEARCH("Pass",M8)))</formula>
    </cfRule>
    <cfRule type="containsText" dxfId="10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 x14ac:dyDescent="0.25">
      <c r="B2" s="47" t="s">
        <v>83</v>
      </c>
      <c r="C2" s="47" t="s">
        <v>398</v>
      </c>
      <c r="D2" s="12" t="s">
        <v>476</v>
      </c>
      <c r="E2" s="47"/>
      <c r="F2" s="12"/>
      <c r="G2" s="12" t="str">
        <f>IF(I2=J2,"Pass","Fail")</f>
        <v>Fail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/>
      </c>
      <c r="L2" s="21" t="s">
        <v>394</v>
      </c>
      <c r="M2" s="21" t="s">
        <v>395</v>
      </c>
      <c r="N2" s="21" t="s">
        <v>396</v>
      </c>
    </row>
    <row r="3" spans="2:15" x14ac:dyDescent="0.25">
      <c r="B3" s="47" t="s">
        <v>84</v>
      </c>
      <c r="C3" s="47" t="s">
        <v>399</v>
      </c>
      <c r="D3" s="12">
        <v>50</v>
      </c>
      <c r="E3" s="47"/>
      <c r="F3" s="12"/>
      <c r="G3" s="12" t="str">
        <f t="shared" ref="G3:G10" si="0">IF(I3=J3,"Pass","Fail")</f>
        <v>Fail</v>
      </c>
      <c r="H3" s="13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/>
      </c>
      <c r="L3" s="20"/>
      <c r="M3" s="20"/>
      <c r="N3" s="23">
        <f>L3-M3</f>
        <v>0</v>
      </c>
    </row>
    <row r="4" spans="2:15" x14ac:dyDescent="0.25">
      <c r="B4" s="47" t="s">
        <v>85</v>
      </c>
      <c r="C4" s="47" t="s">
        <v>399</v>
      </c>
      <c r="D4" s="12">
        <v>50</v>
      </c>
      <c r="E4" s="47"/>
      <c r="F4" s="12"/>
      <c r="G4" s="12" t="str">
        <f t="shared" si="0"/>
        <v>Fail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/>
      </c>
      <c r="L4" s="21" t="s">
        <v>468</v>
      </c>
      <c r="M4" s="20"/>
      <c r="N4" s="23">
        <f>L3-M4</f>
        <v>0</v>
      </c>
    </row>
    <row r="5" spans="2:15" x14ac:dyDescent="0.25">
      <c r="B5" s="47" t="s">
        <v>71</v>
      </c>
      <c r="C5" s="47" t="s">
        <v>399</v>
      </c>
      <c r="D5" s="12">
        <v>50</v>
      </c>
      <c r="E5" s="47"/>
      <c r="F5" s="12"/>
      <c r="G5" s="12" t="str">
        <f t="shared" si="0"/>
        <v>Fail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/>
      </c>
    </row>
    <row r="6" spans="2:15" x14ac:dyDescent="0.25">
      <c r="B6" s="47" t="s">
        <v>0</v>
      </c>
      <c r="C6" s="47" t="s">
        <v>399</v>
      </c>
      <c r="D6" s="12">
        <v>20</v>
      </c>
      <c r="E6" s="47"/>
      <c r="F6" s="12"/>
      <c r="G6" s="12" t="str">
        <f t="shared" si="0"/>
        <v>Fail</v>
      </c>
      <c r="H6" s="13" t="str">
        <f t="shared" si="1"/>
        <v>Pass</v>
      </c>
      <c r="I6" s="3" t="str">
        <f t="shared" si="2"/>
        <v>mbrid</v>
      </c>
      <c r="J6" s="3" t="str">
        <f t="shared" si="3"/>
        <v/>
      </c>
      <c r="L6" s="25" t="s">
        <v>403</v>
      </c>
      <c r="M6" s="48" t="s">
        <v>401</v>
      </c>
      <c r="N6" s="42"/>
    </row>
    <row r="7" spans="2:15" x14ac:dyDescent="0.25">
      <c r="B7" s="47" t="s">
        <v>492</v>
      </c>
      <c r="C7" s="47" t="s">
        <v>399</v>
      </c>
      <c r="D7" s="12">
        <v>50</v>
      </c>
      <c r="E7" s="47"/>
      <c r="F7" s="12"/>
      <c r="G7" s="12" t="str">
        <f t="shared" si="0"/>
        <v>Fail</v>
      </c>
      <c r="H7" s="13" t="str">
        <f t="shared" si="1"/>
        <v>Pass</v>
      </c>
      <c r="I7" s="3" t="str">
        <f t="shared" si="2"/>
        <v>programtype</v>
      </c>
      <c r="J7" s="3" t="str">
        <f t="shared" si="3"/>
        <v/>
      </c>
      <c r="L7" s="24" t="s">
        <v>81</v>
      </c>
      <c r="M7" s="12" t="str">
        <f>IF(ISERROR(VLOOKUP($O$1,$G$2:$G$12,1,)),"Pass","Fail")</f>
        <v>Fail</v>
      </c>
      <c r="N7" s="38"/>
    </row>
    <row r="8" spans="2:15" x14ac:dyDescent="0.25">
      <c r="B8" s="47" t="s">
        <v>493</v>
      </c>
      <c r="C8" s="47" t="s">
        <v>399</v>
      </c>
      <c r="D8" s="12">
        <v>20</v>
      </c>
      <c r="E8" s="47"/>
      <c r="F8" s="12"/>
      <c r="G8" s="12" t="str">
        <f t="shared" si="0"/>
        <v>Fail</v>
      </c>
      <c r="H8" s="13" t="str">
        <f t="shared" si="1"/>
        <v>Pass</v>
      </c>
      <c r="I8" s="3" t="str">
        <f t="shared" si="2"/>
        <v>programcode</v>
      </c>
      <c r="J8" s="3" t="str">
        <f t="shared" si="3"/>
        <v/>
      </c>
      <c r="L8" s="24" t="s">
        <v>402</v>
      </c>
      <c r="M8" s="12" t="str">
        <f>IF(ISERROR(VLOOKUP($O$1,$H$2:$H$12,1,)),"Pass","Fail")</f>
        <v>Pass</v>
      </c>
      <c r="N8" s="38"/>
    </row>
    <row r="9" spans="2:15" x14ac:dyDescent="0.25">
      <c r="B9" s="47" t="s">
        <v>494</v>
      </c>
      <c r="C9" s="47" t="s">
        <v>400</v>
      </c>
      <c r="D9" s="12">
        <v>50</v>
      </c>
      <c r="E9" s="47"/>
      <c r="F9" s="12"/>
      <c r="G9" s="12" t="str">
        <f t="shared" si="0"/>
        <v>Fail</v>
      </c>
      <c r="H9" s="13" t="str">
        <f t="shared" si="1"/>
        <v>Pass</v>
      </c>
      <c r="I9" s="3" t="str">
        <f t="shared" si="2"/>
        <v>programname</v>
      </c>
      <c r="J9" s="3" t="str">
        <f t="shared" si="3"/>
        <v/>
      </c>
      <c r="L9" s="24" t="s">
        <v>465</v>
      </c>
      <c r="M9" s="40" t="str">
        <f>IF(N3=0,"Pass","Fail")</f>
        <v>Pass</v>
      </c>
    </row>
    <row r="10" spans="2:15" x14ac:dyDescent="0.25">
      <c r="B10" s="47" t="s">
        <v>495</v>
      </c>
      <c r="C10" s="47" t="s">
        <v>400</v>
      </c>
      <c r="D10" s="12">
        <v>20</v>
      </c>
      <c r="E10" s="47"/>
      <c r="F10" s="12"/>
      <c r="G10" s="12" t="str">
        <f t="shared" si="0"/>
        <v>Fail</v>
      </c>
      <c r="H10" s="13" t="str">
        <f t="shared" si="1"/>
        <v>Pass</v>
      </c>
      <c r="I10" s="3" t="str">
        <f t="shared" si="2"/>
        <v>programstatus</v>
      </c>
      <c r="J10" s="3" t="str">
        <f t="shared" si="3"/>
        <v/>
      </c>
      <c r="L10" s="24" t="s">
        <v>467</v>
      </c>
      <c r="M10" s="41">
        <f>IF(M4=0,0%,N4/M4)</f>
        <v>0</v>
      </c>
    </row>
    <row r="11" spans="2:15" x14ac:dyDescent="0.25">
      <c r="B11" s="47" t="s">
        <v>496</v>
      </c>
      <c r="C11" s="47"/>
      <c r="D11" s="47" t="s">
        <v>476</v>
      </c>
      <c r="E11" s="47"/>
      <c r="F11" s="12"/>
      <c r="G11" s="12" t="str">
        <f t="shared" ref="G11:G12" si="4">IF(I11=J11,"Pass","Fail")</f>
        <v>Fail</v>
      </c>
      <c r="H11" s="13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/>
      </c>
      <c r="L11" s="24" t="s">
        <v>466</v>
      </c>
      <c r="M11" s="41" t="e">
        <f>File_Size_Comparision!#REF!</f>
        <v>#REF!</v>
      </c>
    </row>
    <row r="12" spans="2:15" x14ac:dyDescent="0.25">
      <c r="B12" s="47" t="s">
        <v>497</v>
      </c>
      <c r="C12" s="47"/>
      <c r="D12" s="47" t="s">
        <v>476</v>
      </c>
      <c r="E12" s="47"/>
      <c r="F12" s="12"/>
      <c r="G12" s="12" t="str">
        <f t="shared" si="4"/>
        <v>Fail</v>
      </c>
      <c r="H12" s="13" t="str">
        <f t="shared" si="5"/>
        <v>Pass</v>
      </c>
      <c r="I12" s="3" t="str">
        <f t="shared" si="2"/>
        <v>programenddate</v>
      </c>
      <c r="J12" s="3" t="str">
        <f t="shared" si="3"/>
        <v/>
      </c>
    </row>
    <row r="13" spans="2:15" x14ac:dyDescent="0.25">
      <c r="N13" s="44"/>
    </row>
  </sheetData>
  <conditionalFormatting sqref="G2:H12">
    <cfRule type="cellIs" dxfId="105" priority="19" operator="equal">
      <formula>"Fail"</formula>
    </cfRule>
    <cfRule type="cellIs" dxfId="104" priority="20" operator="equal">
      <formula>"Pass"</formula>
    </cfRule>
  </conditionalFormatting>
  <conditionalFormatting sqref="H2:H12">
    <cfRule type="cellIs" dxfId="103" priority="17" operator="equal">
      <formula>"Fail"</formula>
    </cfRule>
    <cfRule type="cellIs" dxfId="102" priority="18" operator="equal">
      <formula>"Pass"</formula>
    </cfRule>
  </conditionalFormatting>
  <conditionalFormatting sqref="H2:H12">
    <cfRule type="cellIs" dxfId="101" priority="15" operator="equal">
      <formula>"Fail"</formula>
    </cfRule>
    <cfRule type="cellIs" dxfId="100" priority="16" operator="equal">
      <formula>"Pass"</formula>
    </cfRule>
  </conditionalFormatting>
  <conditionalFormatting sqref="H2:H12">
    <cfRule type="cellIs" dxfId="99" priority="13" operator="equal">
      <formula>"Fail"</formula>
    </cfRule>
    <cfRule type="cellIs" dxfId="98" priority="14" operator="equal">
      <formula>"Pass"</formula>
    </cfRule>
  </conditionalFormatting>
  <conditionalFormatting sqref="H2:H12">
    <cfRule type="cellIs" dxfId="97" priority="11" operator="equal">
      <formula>"Fail"</formula>
    </cfRule>
    <cfRule type="cellIs" dxfId="96" priority="12" operator="equal">
      <formula>"Pass"</formula>
    </cfRule>
  </conditionalFormatting>
  <conditionalFormatting sqref="H2:H12">
    <cfRule type="cellIs" dxfId="95" priority="9" operator="equal">
      <formula>"Fail"</formula>
    </cfRule>
    <cfRule type="cellIs" dxfId="94" priority="10" operator="equal">
      <formula>"Pass"</formula>
    </cfRule>
  </conditionalFormatting>
  <conditionalFormatting sqref="H2:H12">
    <cfRule type="cellIs" dxfId="93" priority="7" operator="equal">
      <formula>"Fail"</formula>
    </cfRule>
    <cfRule type="cellIs" dxfId="92" priority="8" operator="equal">
      <formula>"Pass"</formula>
    </cfRule>
  </conditionalFormatting>
  <conditionalFormatting sqref="M7:N8">
    <cfRule type="cellIs" dxfId="91" priority="3" operator="equal">
      <formula>"Fail"</formula>
    </cfRule>
    <cfRule type="cellIs" dxfId="90" priority="4" operator="equal">
      <formula>"Pass"</formula>
    </cfRule>
  </conditionalFormatting>
  <conditionalFormatting sqref="M9">
    <cfRule type="containsText" dxfId="89" priority="1" operator="containsText" text="Pass">
      <formula>NOT(ISERROR(SEARCH("Pass",M9)))</formula>
    </cfRule>
    <cfRule type="containsText" dxfId="88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 x14ac:dyDescent="0.25">
      <c r="B2" s="1" t="s">
        <v>83</v>
      </c>
      <c r="C2" s="18" t="s">
        <v>398</v>
      </c>
      <c r="D2" s="12"/>
      <c r="E2" s="1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 x14ac:dyDescent="0.25">
      <c r="B3" s="1" t="s">
        <v>84</v>
      </c>
      <c r="C3" s="18" t="s">
        <v>399</v>
      </c>
      <c r="D3" s="12">
        <v>10</v>
      </c>
      <c r="E3" s="1" t="s">
        <v>84</v>
      </c>
      <c r="F3" s="12">
        <v>0</v>
      </c>
      <c r="G3" s="12" t="str">
        <f t="shared" ref="G3:G10" si="0">IF(I3=J3,"Pass","Fail")</f>
        <v>Pass</v>
      </c>
      <c r="H3" s="13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20">
        <v>10929</v>
      </c>
      <c r="M3" s="20">
        <v>10923</v>
      </c>
      <c r="N3" s="23">
        <f>L3-M3</f>
        <v>6</v>
      </c>
    </row>
    <row r="4" spans="2:15" x14ac:dyDescent="0.25">
      <c r="B4" s="1" t="s">
        <v>85</v>
      </c>
      <c r="C4" s="18" t="s">
        <v>399</v>
      </c>
      <c r="D4" s="12">
        <v>10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 x14ac:dyDescent="0.25">
      <c r="B6" s="1" t="s">
        <v>0</v>
      </c>
      <c r="C6" s="18" t="s">
        <v>399</v>
      </c>
      <c r="D6" s="12">
        <v>20</v>
      </c>
      <c r="E6" s="1" t="s">
        <v>0</v>
      </c>
      <c r="F6" s="12">
        <v>19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8" t="s">
        <v>399</v>
      </c>
      <c r="D7" s="12">
        <v>100</v>
      </c>
      <c r="E7" s="1" t="s">
        <v>299</v>
      </c>
      <c r="F7" s="12">
        <v>10</v>
      </c>
      <c r="G7" s="12" t="str">
        <f t="shared" si="0"/>
        <v>Pass</v>
      </c>
      <c r="H7" s="13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4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8" t="s">
        <v>399</v>
      </c>
      <c r="D8" s="12">
        <v>100</v>
      </c>
      <c r="E8" s="1" t="s">
        <v>300</v>
      </c>
      <c r="F8" s="12">
        <v>0</v>
      </c>
      <c r="G8" s="12" t="str">
        <f t="shared" si="0"/>
        <v>Pass</v>
      </c>
      <c r="H8" s="13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4" t="s">
        <v>467</v>
      </c>
      <c r="M8" s="39">
        <f>IF(M3=0,0%,N3/M3)</f>
        <v>5.4929964295523208E-4</v>
      </c>
    </row>
    <row r="9" spans="2:15" x14ac:dyDescent="0.25">
      <c r="B9" s="1" t="s">
        <v>301</v>
      </c>
      <c r="C9" s="18" t="s">
        <v>400</v>
      </c>
      <c r="D9" s="12"/>
      <c r="E9" s="1" t="s">
        <v>301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4" t="s">
        <v>466</v>
      </c>
      <c r="M9" s="41">
        <f>File_Size_Comparision!F9</f>
        <v>1.0030090270812437E-3</v>
      </c>
    </row>
    <row r="10" spans="2:15" x14ac:dyDescent="0.25">
      <c r="B10" s="1" t="s">
        <v>302</v>
      </c>
      <c r="C10" s="18" t="s">
        <v>400</v>
      </c>
      <c r="D10" s="12"/>
      <c r="E10" s="1" t="s">
        <v>302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4"/>
    </row>
  </sheetData>
  <conditionalFormatting sqref="G2:H10">
    <cfRule type="cellIs" dxfId="87" priority="311" operator="equal">
      <formula>"Fail"</formula>
    </cfRule>
    <cfRule type="cellIs" dxfId="86" priority="312" operator="equal">
      <formula>"Pass"</formula>
    </cfRule>
  </conditionalFormatting>
  <conditionalFormatting sqref="H2:H10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H2:H10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H2:H10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H2:H10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H2:H10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H2:H10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55" t="s">
        <v>80</v>
      </c>
      <c r="G1" s="17" t="s">
        <v>81</v>
      </c>
      <c r="H1" s="17" t="s">
        <v>82</v>
      </c>
      <c r="L1" s="21" t="s">
        <v>394</v>
      </c>
      <c r="M1" s="21" t="s">
        <v>395</v>
      </c>
      <c r="N1" s="21" t="s">
        <v>396</v>
      </c>
      <c r="O1" s="26" t="s">
        <v>413</v>
      </c>
    </row>
    <row r="2" spans="2:15" x14ac:dyDescent="0.25">
      <c r="B2" s="1" t="s">
        <v>303</v>
      </c>
      <c r="C2" s="18" t="s">
        <v>399</v>
      </c>
      <c r="D2" s="12">
        <v>80</v>
      </c>
      <c r="E2" s="1" t="s">
        <v>303</v>
      </c>
      <c r="F2" s="12">
        <v>20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2">
        <v>300537</v>
      </c>
      <c r="M2" s="20">
        <v>300537</v>
      </c>
      <c r="N2" s="23">
        <f>L2-M2</f>
        <v>0</v>
      </c>
    </row>
    <row r="3" spans="2:15" x14ac:dyDescent="0.25">
      <c r="B3" s="1" t="s">
        <v>20</v>
      </c>
      <c r="C3" s="18" t="s">
        <v>399</v>
      </c>
      <c r="D3" s="12">
        <v>20</v>
      </c>
      <c r="E3" s="1" t="s">
        <v>20</v>
      </c>
      <c r="F3" s="12">
        <v>2</v>
      </c>
      <c r="G3" s="12" t="str">
        <f t="shared" ref="G3:G66" si="0">IF(I3=J3,"Pass","Fail")</f>
        <v>Pass</v>
      </c>
      <c r="H3" s="13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1" t="s">
        <v>468</v>
      </c>
      <c r="M3" s="22">
        <v>288378</v>
      </c>
      <c r="N3" s="23">
        <f>L2-M3</f>
        <v>12159</v>
      </c>
    </row>
    <row r="4" spans="2:15" x14ac:dyDescent="0.25">
      <c r="B4" s="1" t="s">
        <v>21</v>
      </c>
      <c r="C4" s="18" t="s">
        <v>399</v>
      </c>
      <c r="D4" s="12">
        <v>255</v>
      </c>
      <c r="E4" s="1" t="s">
        <v>21</v>
      </c>
      <c r="F4" s="12">
        <v>5</v>
      </c>
      <c r="G4" s="12" t="str">
        <f t="shared" si="0"/>
        <v>Pass</v>
      </c>
      <c r="H4" s="13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8" t="s">
        <v>399</v>
      </c>
      <c r="D5" s="12">
        <v>30</v>
      </c>
      <c r="E5" s="1" t="s">
        <v>0</v>
      </c>
      <c r="F5" s="12">
        <v>19</v>
      </c>
      <c r="G5" s="12" t="str">
        <f t="shared" si="0"/>
        <v>Pass</v>
      </c>
      <c r="H5" s="13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5" t="s">
        <v>403</v>
      </c>
      <c r="M5" s="36" t="s">
        <v>401</v>
      </c>
      <c r="N5" s="42"/>
    </row>
    <row r="6" spans="2:15" x14ac:dyDescent="0.25">
      <c r="B6" s="1" t="s">
        <v>3</v>
      </c>
      <c r="C6" s="18" t="s">
        <v>399</v>
      </c>
      <c r="D6" s="12">
        <v>30</v>
      </c>
      <c r="E6" s="1" t="s">
        <v>3</v>
      </c>
      <c r="F6" s="12">
        <v>15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4" t="s">
        <v>81</v>
      </c>
      <c r="M6" s="12" t="str">
        <f>IF(ISERROR(VLOOKUP($O$1,$G$2:$G$113,1,)),"Pass","Fail")</f>
        <v>Pass</v>
      </c>
      <c r="N6" s="38"/>
    </row>
    <row r="7" spans="2:15" x14ac:dyDescent="0.25">
      <c r="B7" s="1" t="s">
        <v>4</v>
      </c>
      <c r="C7" s="18" t="s">
        <v>399</v>
      </c>
      <c r="D7" s="12">
        <v>30</v>
      </c>
      <c r="E7" s="1" t="s">
        <v>4</v>
      </c>
      <c r="F7" s="12">
        <v>1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4" t="s">
        <v>402</v>
      </c>
      <c r="M7" s="12" t="str">
        <f>IF(ISERROR(VLOOKUP($O$1,$H$2:$H$113,1,)),"Pass","Fail")</f>
        <v>Pass</v>
      </c>
      <c r="N7" s="38"/>
    </row>
    <row r="8" spans="2:15" x14ac:dyDescent="0.25">
      <c r="B8" s="1" t="s">
        <v>5</v>
      </c>
      <c r="C8" s="18" t="s">
        <v>399</v>
      </c>
      <c r="D8" s="12">
        <v>30</v>
      </c>
      <c r="E8" s="1" t="s">
        <v>5</v>
      </c>
      <c r="F8" s="12">
        <v>19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4" t="s">
        <v>465</v>
      </c>
      <c r="M8" s="40" t="str">
        <f>IF(N2=0,"Pass","Fail")</f>
        <v>Pass</v>
      </c>
    </row>
    <row r="9" spans="2:15" x14ac:dyDescent="0.25">
      <c r="B9" s="1" t="s">
        <v>7</v>
      </c>
      <c r="C9" s="18" t="s">
        <v>399</v>
      </c>
      <c r="D9" s="12">
        <v>2</v>
      </c>
      <c r="E9" s="1" t="s">
        <v>7</v>
      </c>
      <c r="F9" s="12">
        <v>1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4" t="s">
        <v>467</v>
      </c>
      <c r="M9" s="41">
        <f>IF(M3=0,0%,N3/M3)</f>
        <v>4.2163410523687661E-2</v>
      </c>
    </row>
    <row r="10" spans="2:15" x14ac:dyDescent="0.25">
      <c r="B10" s="1" t="s">
        <v>8</v>
      </c>
      <c r="C10" s="18" t="s">
        <v>400</v>
      </c>
      <c r="D10" s="12" t="s">
        <v>476</v>
      </c>
      <c r="E10" s="1" t="s">
        <v>8</v>
      </c>
      <c r="F10" s="12">
        <v>10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4" t="s">
        <v>466</v>
      </c>
      <c r="M10" s="41">
        <f>File_Size_Comparision!F10</f>
        <v>4.0173774933432965E-2</v>
      </c>
    </row>
    <row r="11" spans="2:15" x14ac:dyDescent="0.25">
      <c r="B11" s="32" t="s">
        <v>11</v>
      </c>
      <c r="C11" s="18" t="s">
        <v>399</v>
      </c>
      <c r="D11" s="12">
        <v>20</v>
      </c>
      <c r="E11" s="32" t="s">
        <v>11</v>
      </c>
      <c r="F11" s="12">
        <v>0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8" t="s">
        <v>399</v>
      </c>
      <c r="D12" s="12">
        <v>20</v>
      </c>
      <c r="E12" s="1" t="s">
        <v>12</v>
      </c>
      <c r="F12" s="12">
        <v>0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8" t="s">
        <v>399</v>
      </c>
      <c r="D13" s="12">
        <v>10</v>
      </c>
      <c r="E13" s="1" t="s">
        <v>14</v>
      </c>
      <c r="F13" s="12">
        <v>5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8" t="s">
        <v>399</v>
      </c>
      <c r="D14" s="12">
        <v>5</v>
      </c>
      <c r="E14" s="1" t="s">
        <v>18</v>
      </c>
      <c r="F14" s="12">
        <v>3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8" t="s">
        <v>399</v>
      </c>
      <c r="D15" s="53">
        <v>22</v>
      </c>
      <c r="E15" s="1" t="s">
        <v>19</v>
      </c>
      <c r="F15" s="12">
        <v>22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8" t="s">
        <v>399</v>
      </c>
      <c r="D16" s="12">
        <v>20</v>
      </c>
      <c r="E16" s="1" t="s">
        <v>22</v>
      </c>
      <c r="F16" s="12">
        <v>13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8" t="s">
        <v>399</v>
      </c>
      <c r="D17" s="12">
        <v>50</v>
      </c>
      <c r="E17" s="1" t="s">
        <v>23</v>
      </c>
      <c r="F17" s="12">
        <v>40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8" t="s">
        <v>399</v>
      </c>
      <c r="D18" s="12">
        <v>20</v>
      </c>
      <c r="E18" s="1" t="s">
        <v>24</v>
      </c>
      <c r="F18" s="12">
        <v>2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8" t="s">
        <v>399</v>
      </c>
      <c r="D19" s="12">
        <v>50</v>
      </c>
      <c r="E19" s="1" t="s">
        <v>25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8" t="s">
        <v>399</v>
      </c>
      <c r="D20" s="12">
        <v>20</v>
      </c>
      <c r="E20" s="1" t="s">
        <v>28</v>
      </c>
      <c r="F20" s="12">
        <v>13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8" t="s">
        <v>399</v>
      </c>
      <c r="D21" s="12">
        <v>100</v>
      </c>
      <c r="E21" s="1" t="s">
        <v>29</v>
      </c>
      <c r="F21" s="12">
        <v>31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8" t="s">
        <v>399</v>
      </c>
      <c r="D22" s="12">
        <v>20</v>
      </c>
      <c r="E22" s="1" t="s">
        <v>30</v>
      </c>
      <c r="F22" s="12">
        <v>8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8" t="s">
        <v>399</v>
      </c>
      <c r="D23" s="12">
        <v>100</v>
      </c>
      <c r="E23" s="1" t="s">
        <v>31</v>
      </c>
      <c r="F23" s="12">
        <v>56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8" t="s">
        <v>399</v>
      </c>
      <c r="D24" s="12">
        <v>2</v>
      </c>
      <c r="E24" s="1" t="s">
        <v>32</v>
      </c>
      <c r="F24" s="12">
        <v>0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8" t="s">
        <v>399</v>
      </c>
      <c r="D25" s="12">
        <v>30</v>
      </c>
      <c r="E25" s="1" t="s">
        <v>33</v>
      </c>
      <c r="F25" s="12">
        <v>0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8" t="s">
        <v>399</v>
      </c>
      <c r="D26" s="12">
        <v>20</v>
      </c>
      <c r="E26" s="34" t="s">
        <v>304</v>
      </c>
      <c r="F26" s="12">
        <v>10</v>
      </c>
      <c r="G26" s="12" t="str">
        <f t="shared" si="0"/>
        <v>Pass</v>
      </c>
      <c r="H26" s="13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8" t="s">
        <v>399</v>
      </c>
      <c r="D27" s="12">
        <v>70</v>
      </c>
      <c r="E27" s="1" t="s">
        <v>305</v>
      </c>
      <c r="F27" s="12">
        <v>57</v>
      </c>
      <c r="G27" s="12" t="str">
        <f t="shared" si="0"/>
        <v>Pass</v>
      </c>
      <c r="H27" s="13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8" t="s">
        <v>399</v>
      </c>
      <c r="D28" s="12">
        <v>30</v>
      </c>
      <c r="E28" s="1" t="s">
        <v>306</v>
      </c>
      <c r="F28" s="12">
        <v>19</v>
      </c>
      <c r="G28" s="12" t="str">
        <f t="shared" si="0"/>
        <v>Pass</v>
      </c>
      <c r="H28" s="13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8" t="s">
        <v>399</v>
      </c>
      <c r="D29" s="12">
        <v>40</v>
      </c>
      <c r="E29" s="1" t="s">
        <v>307</v>
      </c>
      <c r="F29" s="12">
        <v>25</v>
      </c>
      <c r="G29" s="12" t="str">
        <f t="shared" si="0"/>
        <v>Pass</v>
      </c>
      <c r="H29" s="13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8" t="s">
        <v>399</v>
      </c>
      <c r="D30" s="46">
        <v>10</v>
      </c>
      <c r="E30" s="1" t="s">
        <v>308</v>
      </c>
      <c r="F30" s="12">
        <v>0</v>
      </c>
      <c r="G30" s="12" t="str">
        <f t="shared" si="0"/>
        <v>Pass</v>
      </c>
      <c r="H30" s="13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8" t="s">
        <v>399</v>
      </c>
      <c r="D31" s="12">
        <v>50</v>
      </c>
      <c r="E31" s="1" t="s">
        <v>309</v>
      </c>
      <c r="F31" s="12">
        <v>0</v>
      </c>
      <c r="G31" s="12" t="str">
        <f t="shared" si="0"/>
        <v>Pass</v>
      </c>
      <c r="H31" s="13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8" t="s">
        <v>399</v>
      </c>
      <c r="D32" s="12">
        <v>30</v>
      </c>
      <c r="E32" s="1" t="s">
        <v>310</v>
      </c>
      <c r="F32" s="12">
        <v>10</v>
      </c>
      <c r="G32" s="12" t="str">
        <f t="shared" si="0"/>
        <v>Pass</v>
      </c>
      <c r="H32" s="13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8" t="s">
        <v>399</v>
      </c>
      <c r="D33" s="12">
        <v>30</v>
      </c>
      <c r="E33" s="1" t="s">
        <v>114</v>
      </c>
      <c r="F33" s="12">
        <v>10</v>
      </c>
      <c r="G33" s="12" t="str">
        <f t="shared" si="0"/>
        <v>Pass</v>
      </c>
      <c r="H33" s="13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8" t="s">
        <v>399</v>
      </c>
      <c r="D34" s="12">
        <v>30</v>
      </c>
      <c r="E34" s="1" t="s">
        <v>311</v>
      </c>
      <c r="F34" s="12">
        <v>0</v>
      </c>
      <c r="G34" s="12" t="str">
        <f t="shared" si="0"/>
        <v>Pass</v>
      </c>
      <c r="H34" s="13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8" t="s">
        <v>399</v>
      </c>
      <c r="D35" s="12">
        <v>10</v>
      </c>
      <c r="E35" s="1" t="s">
        <v>312</v>
      </c>
      <c r="F35" s="12">
        <v>0</v>
      </c>
      <c r="G35" s="12" t="str">
        <f t="shared" si="0"/>
        <v>Pass</v>
      </c>
      <c r="H35" s="13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8" t="s">
        <v>400</v>
      </c>
      <c r="D36" s="12" t="s">
        <v>476</v>
      </c>
      <c r="E36" s="1" t="s">
        <v>313</v>
      </c>
      <c r="F36" s="12">
        <v>10</v>
      </c>
      <c r="G36" s="12" t="str">
        <f t="shared" si="0"/>
        <v>Pass</v>
      </c>
      <c r="H36" s="13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8" t="s">
        <v>400</v>
      </c>
      <c r="D37" s="12" t="s">
        <v>476</v>
      </c>
      <c r="E37" s="1" t="s">
        <v>314</v>
      </c>
      <c r="F37" s="12">
        <v>10</v>
      </c>
      <c r="G37" s="12" t="str">
        <f t="shared" si="0"/>
        <v>Pass</v>
      </c>
      <c r="H37" s="13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8" t="s">
        <v>400</v>
      </c>
      <c r="D38" s="12" t="s">
        <v>476</v>
      </c>
      <c r="E38" s="1" t="s">
        <v>315</v>
      </c>
      <c r="F38" s="12">
        <v>10</v>
      </c>
      <c r="G38" s="12" t="str">
        <f t="shared" si="0"/>
        <v>Pass</v>
      </c>
      <c r="H38" s="13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8" t="s">
        <v>400</v>
      </c>
      <c r="D39" s="12" t="s">
        <v>476</v>
      </c>
      <c r="E39" s="1" t="s">
        <v>192</v>
      </c>
      <c r="F39" s="12">
        <v>10</v>
      </c>
      <c r="G39" s="12" t="str">
        <f t="shared" si="0"/>
        <v>Pass</v>
      </c>
      <c r="H39" s="13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8" t="s">
        <v>399</v>
      </c>
      <c r="D40" s="12">
        <v>11</v>
      </c>
      <c r="E40" s="1" t="s">
        <v>316</v>
      </c>
      <c r="F40" s="12">
        <v>11</v>
      </c>
      <c r="G40" s="12" t="str">
        <f t="shared" si="0"/>
        <v>Pass</v>
      </c>
      <c r="H40" s="13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8" t="s">
        <v>399</v>
      </c>
      <c r="D41" s="12">
        <v>256</v>
      </c>
      <c r="E41" s="1" t="s">
        <v>317</v>
      </c>
      <c r="F41" s="12">
        <v>34</v>
      </c>
      <c r="G41" s="12" t="str">
        <f t="shared" si="0"/>
        <v>Pass</v>
      </c>
      <c r="H41" s="13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8" t="s">
        <v>399</v>
      </c>
      <c r="D42" s="12">
        <v>12</v>
      </c>
      <c r="E42" s="1" t="s">
        <v>318</v>
      </c>
      <c r="F42" s="12">
        <v>4</v>
      </c>
      <c r="G42" s="12" t="str">
        <f t="shared" si="0"/>
        <v>Pass</v>
      </c>
      <c r="H42" s="13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8" t="s">
        <v>399</v>
      </c>
      <c r="D43" s="12">
        <v>200</v>
      </c>
      <c r="E43" s="1" t="s">
        <v>319</v>
      </c>
      <c r="F43" s="12">
        <v>40</v>
      </c>
      <c r="G43" s="12" t="str">
        <f t="shared" si="0"/>
        <v>Pass</v>
      </c>
      <c r="H43" s="13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8" t="s">
        <v>399</v>
      </c>
      <c r="D44" s="12">
        <v>200</v>
      </c>
      <c r="E44" s="1" t="s">
        <v>320</v>
      </c>
      <c r="F44" s="12">
        <v>30</v>
      </c>
      <c r="G44" s="12" t="str">
        <f t="shared" si="0"/>
        <v>Pass</v>
      </c>
      <c r="H44" s="13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8" t="s">
        <v>399</v>
      </c>
      <c r="D45" s="12">
        <v>10</v>
      </c>
      <c r="E45" s="1" t="s">
        <v>321</v>
      </c>
      <c r="F45" s="12">
        <v>0</v>
      </c>
      <c r="G45" s="12" t="str">
        <f t="shared" si="0"/>
        <v>Pass</v>
      </c>
      <c r="H45" s="13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8" t="s">
        <v>399</v>
      </c>
      <c r="D46" s="12">
        <v>100</v>
      </c>
      <c r="E46" s="1" t="s">
        <v>322</v>
      </c>
      <c r="F46" s="12">
        <v>60</v>
      </c>
      <c r="G46" s="12" t="str">
        <f t="shared" si="0"/>
        <v>Pass</v>
      </c>
      <c r="H46" s="13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8" t="s">
        <v>398</v>
      </c>
      <c r="D47" s="12" t="s">
        <v>476</v>
      </c>
      <c r="E47" s="1" t="s">
        <v>323</v>
      </c>
      <c r="F47" s="12">
        <v>5</v>
      </c>
      <c r="G47" s="12" t="str">
        <f t="shared" si="0"/>
        <v>Pass</v>
      </c>
      <c r="H47" s="13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8" t="s">
        <v>398</v>
      </c>
      <c r="D48" s="12" t="s">
        <v>476</v>
      </c>
      <c r="E48" s="1" t="s">
        <v>324</v>
      </c>
      <c r="F48" s="12">
        <v>4</v>
      </c>
      <c r="G48" s="12" t="str">
        <f t="shared" si="0"/>
        <v>Pass</v>
      </c>
      <c r="H48" s="13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8" t="s">
        <v>399</v>
      </c>
      <c r="D49" s="12">
        <v>200</v>
      </c>
      <c r="E49" s="1" t="s">
        <v>325</v>
      </c>
      <c r="F49" s="12">
        <v>30</v>
      </c>
      <c r="G49" s="12" t="str">
        <f t="shared" si="0"/>
        <v>Pass</v>
      </c>
      <c r="H49" s="13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8" t="s">
        <v>399</v>
      </c>
      <c r="D50" s="12">
        <v>10</v>
      </c>
      <c r="E50" s="1" t="s">
        <v>326</v>
      </c>
      <c r="F50" s="12">
        <v>0</v>
      </c>
      <c r="G50" s="12" t="str">
        <f t="shared" si="0"/>
        <v>Pass</v>
      </c>
      <c r="H50" s="13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8" t="s">
        <v>399</v>
      </c>
      <c r="D51" s="12">
        <v>1</v>
      </c>
      <c r="E51" s="1" t="s">
        <v>327</v>
      </c>
      <c r="F51" s="12">
        <v>1</v>
      </c>
      <c r="G51" s="12" t="str">
        <f t="shared" si="0"/>
        <v>Pass</v>
      </c>
      <c r="H51" s="13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8" t="s">
        <v>399</v>
      </c>
      <c r="D52" s="12">
        <v>1</v>
      </c>
      <c r="E52" s="1" t="s">
        <v>328</v>
      </c>
      <c r="F52" s="12">
        <v>1</v>
      </c>
      <c r="G52" s="12" t="str">
        <f t="shared" si="0"/>
        <v>Pass</v>
      </c>
      <c r="H52" s="13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8" t="s">
        <v>399</v>
      </c>
      <c r="D53" s="12">
        <v>1</v>
      </c>
      <c r="E53" s="1" t="s">
        <v>329</v>
      </c>
      <c r="F53" s="12">
        <v>1</v>
      </c>
      <c r="G53" s="12" t="str">
        <f t="shared" si="0"/>
        <v>Pass</v>
      </c>
      <c r="H53" s="13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8" t="s">
        <v>398</v>
      </c>
      <c r="D54" s="12" t="s">
        <v>476</v>
      </c>
      <c r="E54" s="1" t="s">
        <v>330</v>
      </c>
      <c r="F54" s="12">
        <v>2</v>
      </c>
      <c r="G54" s="12" t="str">
        <f t="shared" si="0"/>
        <v>Pass</v>
      </c>
      <c r="H54" s="13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8" t="s">
        <v>398</v>
      </c>
      <c r="D55" s="12" t="s">
        <v>476</v>
      </c>
      <c r="E55" s="1" t="s">
        <v>331</v>
      </c>
      <c r="F55" s="12">
        <v>2</v>
      </c>
      <c r="G55" s="12" t="str">
        <f t="shared" si="0"/>
        <v>Pass</v>
      </c>
      <c r="H55" s="13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8" t="s">
        <v>398</v>
      </c>
      <c r="D56" s="12" t="s">
        <v>476</v>
      </c>
      <c r="E56" s="1" t="s">
        <v>332</v>
      </c>
      <c r="F56" s="12">
        <v>0</v>
      </c>
      <c r="G56" s="12" t="str">
        <f t="shared" si="0"/>
        <v>Pass</v>
      </c>
      <c r="H56" s="13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8" t="s">
        <v>399</v>
      </c>
      <c r="D57" s="12">
        <v>10</v>
      </c>
      <c r="E57" s="1" t="s">
        <v>333</v>
      </c>
      <c r="F57" s="12">
        <v>1</v>
      </c>
      <c r="G57" s="12" t="str">
        <f t="shared" si="0"/>
        <v>Pass</v>
      </c>
      <c r="H57" s="13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8" t="s">
        <v>399</v>
      </c>
      <c r="D58" s="53">
        <v>64</v>
      </c>
      <c r="E58" s="1" t="s">
        <v>334</v>
      </c>
      <c r="F58" s="12">
        <v>64</v>
      </c>
      <c r="G58" s="12" t="str">
        <f t="shared" si="0"/>
        <v>Pass</v>
      </c>
      <c r="H58" s="13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8" t="s">
        <v>405</v>
      </c>
      <c r="D59" s="12" t="s">
        <v>477</v>
      </c>
      <c r="E59" s="1" t="s">
        <v>195</v>
      </c>
      <c r="F59" s="12">
        <v>8</v>
      </c>
      <c r="G59" s="12" t="str">
        <f t="shared" si="0"/>
        <v>Pass</v>
      </c>
      <c r="H59" s="13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8" t="s">
        <v>405</v>
      </c>
      <c r="D60" s="12" t="s">
        <v>298</v>
      </c>
      <c r="E60" s="1" t="s">
        <v>196</v>
      </c>
      <c r="F60" s="12">
        <v>9</v>
      </c>
      <c r="G60" s="12" t="str">
        <f t="shared" si="0"/>
        <v>Pass</v>
      </c>
      <c r="H60" s="13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8" t="s">
        <v>405</v>
      </c>
      <c r="D61" s="12" t="s">
        <v>298</v>
      </c>
      <c r="E61" s="1" t="s">
        <v>198</v>
      </c>
      <c r="F61" s="12">
        <v>8</v>
      </c>
      <c r="G61" s="12" t="str">
        <f t="shared" si="0"/>
        <v>Pass</v>
      </c>
      <c r="H61" s="13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8" t="s">
        <v>405</v>
      </c>
      <c r="D62" s="12" t="s">
        <v>298</v>
      </c>
      <c r="E62" s="1" t="s">
        <v>199</v>
      </c>
      <c r="F62" s="12">
        <v>6</v>
      </c>
      <c r="G62" s="12" t="str">
        <f t="shared" si="0"/>
        <v>Pass</v>
      </c>
      <c r="H62" s="13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8" t="s">
        <v>405</v>
      </c>
      <c r="D63" s="12" t="s">
        <v>298</v>
      </c>
      <c r="E63" s="1" t="s">
        <v>201</v>
      </c>
      <c r="F63" s="12">
        <v>8</v>
      </c>
      <c r="G63" s="12" t="str">
        <f t="shared" si="0"/>
        <v>Pass</v>
      </c>
      <c r="H63" s="13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8" t="s">
        <v>405</v>
      </c>
      <c r="D64" s="12" t="s">
        <v>298</v>
      </c>
      <c r="E64" s="1" t="s">
        <v>335</v>
      </c>
      <c r="F64" s="12">
        <v>5</v>
      </c>
      <c r="G64" s="12" t="str">
        <f t="shared" si="0"/>
        <v>Pass</v>
      </c>
      <c r="H64" s="13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8" t="s">
        <v>405</v>
      </c>
      <c r="D65" s="12" t="s">
        <v>477</v>
      </c>
      <c r="E65" s="1" t="s">
        <v>336</v>
      </c>
      <c r="F65" s="12">
        <v>9</v>
      </c>
      <c r="G65" s="12" t="str">
        <f t="shared" si="0"/>
        <v>Pass</v>
      </c>
      <c r="H65" s="13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8" t="s">
        <v>405</v>
      </c>
      <c r="D66" s="12" t="s">
        <v>298</v>
      </c>
      <c r="E66" s="1" t="s">
        <v>337</v>
      </c>
      <c r="F66" s="12">
        <v>6</v>
      </c>
      <c r="G66" s="12" t="str">
        <f t="shared" si="0"/>
        <v>Pass</v>
      </c>
      <c r="H66" s="13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8" t="s">
        <v>405</v>
      </c>
      <c r="D67" s="12" t="s">
        <v>477</v>
      </c>
      <c r="E67" s="1" t="s">
        <v>338</v>
      </c>
      <c r="F67" s="12">
        <v>9</v>
      </c>
      <c r="G67" s="12" t="str">
        <f t="shared" ref="G67:G113" si="4">IF(I67=J67,"Pass","Fail")</f>
        <v>Pass</v>
      </c>
      <c r="H67" s="13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8" t="s">
        <v>405</v>
      </c>
      <c r="D68" s="12" t="s">
        <v>477</v>
      </c>
      <c r="E68" s="1" t="s">
        <v>205</v>
      </c>
      <c r="F68" s="12">
        <v>9</v>
      </c>
      <c r="G68" s="12" t="str">
        <f t="shared" si="4"/>
        <v>Pass</v>
      </c>
      <c r="H68" s="13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8" t="s">
        <v>399</v>
      </c>
      <c r="D69" s="12">
        <v>8</v>
      </c>
      <c r="E69" s="1" t="s">
        <v>209</v>
      </c>
      <c r="F69" s="12">
        <v>2</v>
      </c>
      <c r="G69" s="12" t="str">
        <f t="shared" si="4"/>
        <v>Pass</v>
      </c>
      <c r="H69" s="13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8" t="s">
        <v>399</v>
      </c>
      <c r="D70" s="12">
        <v>50</v>
      </c>
      <c r="E70" s="1" t="s">
        <v>210</v>
      </c>
      <c r="F70" s="12">
        <v>13</v>
      </c>
      <c r="G70" s="12" t="str">
        <f t="shared" si="4"/>
        <v>Pass</v>
      </c>
      <c r="H70" s="13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8" t="s">
        <v>399</v>
      </c>
      <c r="D71" s="12">
        <v>100</v>
      </c>
      <c r="E71" s="1" t="s">
        <v>51</v>
      </c>
      <c r="F71" s="12">
        <v>0</v>
      </c>
      <c r="G71" s="12" t="str">
        <f t="shared" si="4"/>
        <v>Pass</v>
      </c>
      <c r="H71" s="13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8" t="s">
        <v>399</v>
      </c>
      <c r="D72" s="12">
        <v>100</v>
      </c>
      <c r="E72" s="1" t="s">
        <v>52</v>
      </c>
      <c r="F72" s="12">
        <v>0</v>
      </c>
      <c r="G72" s="12" t="str">
        <f t="shared" si="4"/>
        <v>Pass</v>
      </c>
      <c r="H72" s="13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8" t="s">
        <v>399</v>
      </c>
      <c r="D73" s="12">
        <v>100</v>
      </c>
      <c r="E73" s="1" t="s">
        <v>53</v>
      </c>
      <c r="F73" s="12">
        <v>0</v>
      </c>
      <c r="G73" s="12" t="str">
        <f t="shared" si="4"/>
        <v>Pass</v>
      </c>
      <c r="H73" s="13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8" t="s">
        <v>399</v>
      </c>
      <c r="D74" s="12">
        <v>100</v>
      </c>
      <c r="E74" s="1" t="s">
        <v>54</v>
      </c>
      <c r="F74" s="12">
        <v>0</v>
      </c>
      <c r="G74" s="12" t="str">
        <f t="shared" si="4"/>
        <v>Pass</v>
      </c>
      <c r="H74" s="13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8" t="s">
        <v>399</v>
      </c>
      <c r="D75" s="12">
        <v>100</v>
      </c>
      <c r="E75" s="1" t="s">
        <v>55</v>
      </c>
      <c r="F75" s="12">
        <v>0</v>
      </c>
      <c r="G75" s="12" t="str">
        <f t="shared" si="4"/>
        <v>Pass</v>
      </c>
      <c r="H75" s="13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8" t="s">
        <v>399</v>
      </c>
      <c r="D76" s="12">
        <v>100</v>
      </c>
      <c r="E76" s="1" t="s">
        <v>56</v>
      </c>
      <c r="F76" s="12">
        <v>0</v>
      </c>
      <c r="G76" s="12" t="str">
        <f t="shared" si="4"/>
        <v>Pass</v>
      </c>
      <c r="H76" s="13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8" t="s">
        <v>399</v>
      </c>
      <c r="D77" s="12">
        <v>100</v>
      </c>
      <c r="E77" s="1" t="s">
        <v>57</v>
      </c>
      <c r="F77" s="12">
        <v>0</v>
      </c>
      <c r="G77" s="12" t="str">
        <f t="shared" si="4"/>
        <v>Pass</v>
      </c>
      <c r="H77" s="13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8" t="s">
        <v>399</v>
      </c>
      <c r="D78" s="12">
        <v>100</v>
      </c>
      <c r="E78" s="1" t="s">
        <v>58</v>
      </c>
      <c r="F78" s="12">
        <v>0</v>
      </c>
      <c r="G78" s="12" t="str">
        <f t="shared" si="4"/>
        <v>Pass</v>
      </c>
      <c r="H78" s="13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8" t="s">
        <v>399</v>
      </c>
      <c r="D79" s="12">
        <v>100</v>
      </c>
      <c r="E79" s="1" t="s">
        <v>59</v>
      </c>
      <c r="F79" s="12">
        <v>0</v>
      </c>
      <c r="G79" s="12" t="str">
        <f t="shared" si="4"/>
        <v>Pass</v>
      </c>
      <c r="H79" s="13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8" t="s">
        <v>399</v>
      </c>
      <c r="D80" s="12">
        <v>100</v>
      </c>
      <c r="E80" s="1" t="s">
        <v>60</v>
      </c>
      <c r="F80" s="12">
        <v>0</v>
      </c>
      <c r="G80" s="12" t="str">
        <f t="shared" si="4"/>
        <v>Pass</v>
      </c>
      <c r="H80" s="13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8" t="s">
        <v>399</v>
      </c>
      <c r="D81" s="12">
        <v>100</v>
      </c>
      <c r="E81" s="1" t="s">
        <v>61</v>
      </c>
      <c r="F81" s="12">
        <v>0</v>
      </c>
      <c r="G81" s="12" t="str">
        <f t="shared" si="4"/>
        <v>Pass</v>
      </c>
      <c r="H81" s="13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8" t="s">
        <v>399</v>
      </c>
      <c r="D82" s="12">
        <v>100</v>
      </c>
      <c r="E82" s="1" t="s">
        <v>62</v>
      </c>
      <c r="F82" s="12">
        <v>0</v>
      </c>
      <c r="G82" s="12" t="str">
        <f t="shared" si="4"/>
        <v>Pass</v>
      </c>
      <c r="H82" s="13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8" t="s">
        <v>399</v>
      </c>
      <c r="D83" s="12">
        <v>100</v>
      </c>
      <c r="E83" s="1" t="s">
        <v>63</v>
      </c>
      <c r="F83" s="12">
        <v>0</v>
      </c>
      <c r="G83" s="12" t="str">
        <f t="shared" si="4"/>
        <v>Pass</v>
      </c>
      <c r="H83" s="13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8" t="s">
        <v>399</v>
      </c>
      <c r="D84" s="12">
        <v>100</v>
      </c>
      <c r="E84" s="1" t="s">
        <v>64</v>
      </c>
      <c r="F84" s="12">
        <v>0</v>
      </c>
      <c r="G84" s="12" t="str">
        <f t="shared" si="4"/>
        <v>Pass</v>
      </c>
      <c r="H84" s="13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8" t="s">
        <v>399</v>
      </c>
      <c r="D85" s="12">
        <v>100</v>
      </c>
      <c r="E85" s="1" t="s">
        <v>65</v>
      </c>
      <c r="F85" s="12">
        <v>0</v>
      </c>
      <c r="G85" s="12" t="str">
        <f t="shared" si="4"/>
        <v>Pass</v>
      </c>
      <c r="H85" s="13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8" t="s">
        <v>399</v>
      </c>
      <c r="D86" s="12">
        <v>100</v>
      </c>
      <c r="E86" s="1" t="s">
        <v>66</v>
      </c>
      <c r="F86" s="12">
        <v>8</v>
      </c>
      <c r="G86" s="12" t="str">
        <f t="shared" si="4"/>
        <v>Pass</v>
      </c>
      <c r="H86" s="13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8" t="s">
        <v>399</v>
      </c>
      <c r="D87" s="12">
        <v>100</v>
      </c>
      <c r="E87" s="1" t="s">
        <v>67</v>
      </c>
      <c r="F87" s="12">
        <v>14</v>
      </c>
      <c r="G87" s="12" t="str">
        <f t="shared" si="4"/>
        <v>Pass</v>
      </c>
      <c r="H87" s="13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8" t="s">
        <v>399</v>
      </c>
      <c r="D88" s="12">
        <v>100</v>
      </c>
      <c r="E88" s="1" t="s">
        <v>68</v>
      </c>
      <c r="F88" s="12">
        <v>8</v>
      </c>
      <c r="G88" s="12" t="str">
        <f t="shared" si="4"/>
        <v>Pass</v>
      </c>
      <c r="H88" s="13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8" t="s">
        <v>399</v>
      </c>
      <c r="D89" s="12">
        <v>100</v>
      </c>
      <c r="E89" s="1" t="s">
        <v>69</v>
      </c>
      <c r="F89" s="12">
        <v>14</v>
      </c>
      <c r="G89" s="12" t="str">
        <f t="shared" si="4"/>
        <v>Pass</v>
      </c>
      <c r="H89" s="13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8" t="s">
        <v>399</v>
      </c>
      <c r="D90" s="12">
        <v>100</v>
      </c>
      <c r="E90" s="1" t="s">
        <v>70</v>
      </c>
      <c r="F90" s="12">
        <v>8</v>
      </c>
      <c r="G90" s="12" t="str">
        <f t="shared" si="4"/>
        <v>Pass</v>
      </c>
      <c r="H90" s="13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8" t="s">
        <v>399</v>
      </c>
      <c r="D91" s="12">
        <v>50</v>
      </c>
      <c r="E91" s="1" t="s">
        <v>71</v>
      </c>
      <c r="F91" s="12">
        <v>32</v>
      </c>
      <c r="G91" s="12" t="str">
        <f t="shared" si="4"/>
        <v>Pass</v>
      </c>
      <c r="H91" s="13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8" t="s">
        <v>399</v>
      </c>
      <c r="D92" s="12">
        <v>20</v>
      </c>
      <c r="E92" s="1" t="s">
        <v>297</v>
      </c>
      <c r="F92" s="12">
        <v>4</v>
      </c>
      <c r="G92" s="12" t="str">
        <f t="shared" si="4"/>
        <v>Pass</v>
      </c>
      <c r="H92" s="13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2" t="s">
        <v>86</v>
      </c>
      <c r="C93" s="37" t="s">
        <v>399</v>
      </c>
      <c r="D93" s="12">
        <v>500</v>
      </c>
      <c r="E93" s="32" t="s">
        <v>86</v>
      </c>
      <c r="F93" s="12">
        <v>78</v>
      </c>
      <c r="G93" s="12" t="str">
        <f t="shared" si="4"/>
        <v>Pass</v>
      </c>
      <c r="H93" s="13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2" t="s">
        <v>436</v>
      </c>
      <c r="C94" s="37" t="s">
        <v>399</v>
      </c>
      <c r="D94" s="12">
        <v>100</v>
      </c>
      <c r="E94" s="32" t="s">
        <v>436</v>
      </c>
      <c r="F94" s="12">
        <v>14</v>
      </c>
      <c r="G94" s="12" t="str">
        <f t="shared" si="4"/>
        <v>Pass</v>
      </c>
      <c r="H94" s="13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2" t="s">
        <v>437</v>
      </c>
      <c r="C95" s="37" t="s">
        <v>399</v>
      </c>
      <c r="D95" s="12">
        <v>100</v>
      </c>
      <c r="E95" s="32" t="s">
        <v>437</v>
      </c>
      <c r="F95" s="12">
        <v>5</v>
      </c>
      <c r="G95" s="12" t="str">
        <f t="shared" si="4"/>
        <v>Pass</v>
      </c>
      <c r="H95" s="13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2" t="s">
        <v>438</v>
      </c>
      <c r="C96" s="37" t="s">
        <v>399</v>
      </c>
      <c r="D96" s="12">
        <v>100</v>
      </c>
      <c r="E96" s="32" t="s">
        <v>438</v>
      </c>
      <c r="F96" s="12">
        <v>5</v>
      </c>
      <c r="G96" s="12" t="str">
        <f t="shared" si="4"/>
        <v>Pass</v>
      </c>
      <c r="H96" s="13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2" t="s">
        <v>439</v>
      </c>
      <c r="C97" s="37" t="s">
        <v>399</v>
      </c>
      <c r="D97" s="12">
        <v>100</v>
      </c>
      <c r="E97" s="32" t="s">
        <v>439</v>
      </c>
      <c r="F97" s="12">
        <v>5</v>
      </c>
      <c r="G97" s="12" t="str">
        <f t="shared" si="4"/>
        <v>Pass</v>
      </c>
      <c r="H97" s="13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2" t="s">
        <v>440</v>
      </c>
      <c r="C98" s="37" t="s">
        <v>399</v>
      </c>
      <c r="D98" s="12">
        <v>100</v>
      </c>
      <c r="E98" s="32" t="s">
        <v>440</v>
      </c>
      <c r="F98" s="12">
        <v>5</v>
      </c>
      <c r="G98" s="12" t="str">
        <f t="shared" si="4"/>
        <v>Pass</v>
      </c>
      <c r="H98" s="13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2" t="s">
        <v>441</v>
      </c>
      <c r="C99" s="37" t="s">
        <v>399</v>
      </c>
      <c r="D99" s="12">
        <v>100</v>
      </c>
      <c r="E99" s="32" t="s">
        <v>441</v>
      </c>
      <c r="F99" s="12">
        <v>0</v>
      </c>
      <c r="G99" s="12" t="str">
        <f t="shared" si="4"/>
        <v>Pass</v>
      </c>
      <c r="H99" s="13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2" t="s">
        <v>442</v>
      </c>
      <c r="C100" s="37" t="s">
        <v>399</v>
      </c>
      <c r="D100" s="12">
        <v>100</v>
      </c>
      <c r="E100" s="32" t="s">
        <v>442</v>
      </c>
      <c r="F100" s="12">
        <v>0</v>
      </c>
      <c r="G100" s="12" t="str">
        <f t="shared" si="4"/>
        <v>Pass</v>
      </c>
      <c r="H100" s="13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2" t="s">
        <v>443</v>
      </c>
      <c r="C101" s="37" t="s">
        <v>399</v>
      </c>
      <c r="D101" s="12">
        <v>100</v>
      </c>
      <c r="E101" s="32" t="s">
        <v>443</v>
      </c>
      <c r="F101" s="12">
        <v>0</v>
      </c>
      <c r="G101" s="12" t="str">
        <f t="shared" si="4"/>
        <v>Pass</v>
      </c>
      <c r="H101" s="13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2" t="s">
        <v>444</v>
      </c>
      <c r="C102" s="37" t="s">
        <v>399</v>
      </c>
      <c r="D102" s="12">
        <v>100</v>
      </c>
      <c r="E102" s="32" t="s">
        <v>444</v>
      </c>
      <c r="F102" s="12">
        <v>0</v>
      </c>
      <c r="G102" s="12" t="str">
        <f t="shared" si="4"/>
        <v>Pass</v>
      </c>
      <c r="H102" s="13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2" t="s">
        <v>445</v>
      </c>
      <c r="C103" s="37" t="s">
        <v>399</v>
      </c>
      <c r="D103" s="12">
        <v>100</v>
      </c>
      <c r="E103" s="32" t="s">
        <v>445</v>
      </c>
      <c r="F103" s="12">
        <v>0</v>
      </c>
      <c r="G103" s="12" t="str">
        <f t="shared" si="4"/>
        <v>Pass</v>
      </c>
      <c r="H103" s="13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2" t="s">
        <v>446</v>
      </c>
      <c r="C104" s="37" t="s">
        <v>399</v>
      </c>
      <c r="D104" s="12">
        <v>100</v>
      </c>
      <c r="E104" s="32" t="s">
        <v>446</v>
      </c>
      <c r="F104" s="12">
        <v>0</v>
      </c>
      <c r="G104" s="12" t="str">
        <f t="shared" si="4"/>
        <v>Pass</v>
      </c>
      <c r="H104" s="13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2" t="s">
        <v>447</v>
      </c>
      <c r="C105" s="37" t="s">
        <v>399</v>
      </c>
      <c r="D105" s="12">
        <v>100</v>
      </c>
      <c r="E105" s="32" t="s">
        <v>447</v>
      </c>
      <c r="F105" s="12">
        <v>0</v>
      </c>
      <c r="G105" s="12" t="str">
        <f t="shared" si="4"/>
        <v>Pass</v>
      </c>
      <c r="H105" s="13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2" t="s">
        <v>448</v>
      </c>
      <c r="C106" s="37" t="s">
        <v>399</v>
      </c>
      <c r="D106" s="12">
        <v>100</v>
      </c>
      <c r="E106" s="32" t="s">
        <v>448</v>
      </c>
      <c r="F106" s="12">
        <v>0</v>
      </c>
      <c r="G106" s="12" t="str">
        <f t="shared" si="4"/>
        <v>Pass</v>
      </c>
      <c r="H106" s="13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2" t="s">
        <v>449</v>
      </c>
      <c r="C107" s="37" t="s">
        <v>399</v>
      </c>
      <c r="D107" s="12">
        <v>100</v>
      </c>
      <c r="E107" s="32" t="s">
        <v>449</v>
      </c>
      <c r="F107" s="12">
        <v>0</v>
      </c>
      <c r="G107" s="12" t="str">
        <f t="shared" si="4"/>
        <v>Pass</v>
      </c>
      <c r="H107" s="13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2" t="s">
        <v>450</v>
      </c>
      <c r="C108" s="37" t="s">
        <v>399</v>
      </c>
      <c r="D108" s="12">
        <v>100</v>
      </c>
      <c r="E108" s="32" t="s">
        <v>450</v>
      </c>
      <c r="F108" s="12">
        <v>0</v>
      </c>
      <c r="G108" s="12" t="str">
        <f t="shared" si="4"/>
        <v>Pass</v>
      </c>
      <c r="H108" s="13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2" t="s">
        <v>451</v>
      </c>
      <c r="C109" s="37" t="s">
        <v>399</v>
      </c>
      <c r="D109" s="12">
        <v>100</v>
      </c>
      <c r="E109" s="32" t="s">
        <v>451</v>
      </c>
      <c r="F109" s="12">
        <v>0</v>
      </c>
      <c r="G109" s="12" t="str">
        <f t="shared" si="4"/>
        <v>Pass</v>
      </c>
      <c r="H109" s="13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2" t="s">
        <v>452</v>
      </c>
      <c r="C110" s="37" t="s">
        <v>399</v>
      </c>
      <c r="D110" s="12">
        <v>100</v>
      </c>
      <c r="E110" s="32" t="s">
        <v>452</v>
      </c>
      <c r="F110" s="12">
        <v>0</v>
      </c>
      <c r="G110" s="12" t="str">
        <f t="shared" si="4"/>
        <v>Pass</v>
      </c>
      <c r="H110" s="13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2" t="s">
        <v>453</v>
      </c>
      <c r="C111" s="37" t="s">
        <v>399</v>
      </c>
      <c r="D111" s="12">
        <v>100</v>
      </c>
      <c r="E111" s="32" t="s">
        <v>453</v>
      </c>
      <c r="F111" s="12">
        <v>0</v>
      </c>
      <c r="G111" s="12" t="str">
        <f t="shared" si="4"/>
        <v>Pass</v>
      </c>
      <c r="H111" s="13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2" t="s">
        <v>454</v>
      </c>
      <c r="C112" s="37" t="s">
        <v>399</v>
      </c>
      <c r="D112" s="12">
        <v>100</v>
      </c>
      <c r="E112" s="32" t="s">
        <v>454</v>
      </c>
      <c r="F112" s="12">
        <v>0</v>
      </c>
      <c r="G112" s="12" t="str">
        <f t="shared" si="4"/>
        <v>Pass</v>
      </c>
      <c r="H112" s="13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2" t="s">
        <v>455</v>
      </c>
      <c r="C113" s="37" t="s">
        <v>399</v>
      </c>
      <c r="D113" s="12">
        <v>100</v>
      </c>
      <c r="E113" s="32" t="s">
        <v>455</v>
      </c>
      <c r="F113" s="12">
        <v>0</v>
      </c>
      <c r="G113" s="12" t="str">
        <f t="shared" si="4"/>
        <v>Pass</v>
      </c>
      <c r="H113" s="13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59" operator="equal">
      <formula>"Fail"</formula>
    </cfRule>
    <cfRule type="cellIs" dxfId="70" priority="460" operator="equal">
      <formula>"Pass"</formula>
    </cfRule>
  </conditionalFormatting>
  <conditionalFormatting sqref="M6:N7">
    <cfRule type="cellIs" dxfId="69" priority="7" operator="equal">
      <formula>"Fail"</formula>
    </cfRule>
    <cfRule type="cellIs" dxfId="68" priority="8" operator="equal">
      <formula>"Pass"</formula>
    </cfRule>
  </conditionalFormatting>
  <conditionalFormatting sqref="M8">
    <cfRule type="containsText" dxfId="67" priority="1" operator="containsText" text="Pass">
      <formula>NOT(ISERROR(SEARCH("Pass",M8)))</formula>
    </cfRule>
    <cfRule type="containsText" dxfId="6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 x14ac:dyDescent="0.25">
      <c r="B2" s="1" t="s">
        <v>83</v>
      </c>
      <c r="C2" s="18" t="s">
        <v>398</v>
      </c>
      <c r="D2" s="12" t="s">
        <v>476</v>
      </c>
      <c r="E2" s="1" t="s">
        <v>83</v>
      </c>
      <c r="F2" s="12">
        <v>6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 x14ac:dyDescent="0.25">
      <c r="B3" s="1" t="s">
        <v>71</v>
      </c>
      <c r="C3" s="18" t="s">
        <v>399</v>
      </c>
      <c r="D3" s="12">
        <v>50</v>
      </c>
      <c r="E3" s="1" t="s">
        <v>71</v>
      </c>
      <c r="F3" s="12">
        <v>32</v>
      </c>
      <c r="G3" s="12" t="str">
        <f t="shared" ref="G3:G15" si="0">IF(I3=J3,"Pass","Fail")</f>
        <v>Pass</v>
      </c>
      <c r="H3" s="13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20">
        <v>457358</v>
      </c>
      <c r="M3" s="20">
        <v>427856</v>
      </c>
      <c r="N3" s="23">
        <f>L3-M3</f>
        <v>29502</v>
      </c>
    </row>
    <row r="4" spans="2:15" x14ac:dyDescent="0.25">
      <c r="B4" s="1" t="s">
        <v>339</v>
      </c>
      <c r="C4" s="18" t="s">
        <v>399</v>
      </c>
      <c r="D4" s="12">
        <v>30</v>
      </c>
      <c r="E4" s="1" t="s">
        <v>339</v>
      </c>
      <c r="F4" s="12">
        <v>17</v>
      </c>
      <c r="G4" s="12" t="str">
        <f t="shared" si="0"/>
        <v>Pass</v>
      </c>
      <c r="H4" s="13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8" t="s">
        <v>399</v>
      </c>
      <c r="D5" s="12">
        <v>30</v>
      </c>
      <c r="E5" s="1" t="s">
        <v>340</v>
      </c>
      <c r="F5" s="12">
        <v>19</v>
      </c>
      <c r="G5" s="12" t="str">
        <f t="shared" si="0"/>
        <v>Pass</v>
      </c>
      <c r="H5" s="13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5" t="s">
        <v>403</v>
      </c>
      <c r="M5" s="35" t="s">
        <v>401</v>
      </c>
    </row>
    <row r="6" spans="2:15" x14ac:dyDescent="0.25">
      <c r="B6" s="1" t="s">
        <v>341</v>
      </c>
      <c r="C6" s="18" t="s">
        <v>399</v>
      </c>
      <c r="D6" s="12">
        <v>5</v>
      </c>
      <c r="E6" s="1" t="s">
        <v>341</v>
      </c>
      <c r="F6" s="12">
        <v>1</v>
      </c>
      <c r="G6" s="12" t="str">
        <f t="shared" si="0"/>
        <v>Pass</v>
      </c>
      <c r="H6" s="13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4" t="s">
        <v>81</v>
      </c>
      <c r="M6" s="12" t="str">
        <f>IF(ISERROR(VLOOKUP($O$1,$G$2:$G$15,1,)),"Pass","Fail")</f>
        <v>Pass</v>
      </c>
    </row>
    <row r="7" spans="2:15" x14ac:dyDescent="0.25">
      <c r="B7" s="1" t="s">
        <v>342</v>
      </c>
      <c r="C7" s="18" t="s">
        <v>400</v>
      </c>
      <c r="D7" s="12" t="s">
        <v>476</v>
      </c>
      <c r="E7" s="1" t="s">
        <v>342</v>
      </c>
      <c r="F7" s="12">
        <v>10</v>
      </c>
      <c r="G7" s="12" t="str">
        <f t="shared" si="0"/>
        <v>Pass</v>
      </c>
      <c r="H7" s="13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4" t="s">
        <v>402</v>
      </c>
      <c r="M7" s="12" t="str">
        <f>IF(ISERROR(VLOOKUP($O$1,$H$2:$H$15,1,)),"Pass","Fail")</f>
        <v>Pass</v>
      </c>
    </row>
    <row r="8" spans="2:15" x14ac:dyDescent="0.25">
      <c r="B8" s="1" t="s">
        <v>343</v>
      </c>
      <c r="C8" s="18" t="s">
        <v>399</v>
      </c>
      <c r="D8" s="12">
        <v>50</v>
      </c>
      <c r="E8" s="1" t="s">
        <v>343</v>
      </c>
      <c r="F8" s="12">
        <v>4</v>
      </c>
      <c r="G8" s="12" t="str">
        <f t="shared" si="0"/>
        <v>Pass</v>
      </c>
      <c r="H8" s="13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4" t="s">
        <v>467</v>
      </c>
      <c r="M8" s="39">
        <f>IF(M3=0,0%,N3/M3)</f>
        <v>6.8953105717811602E-2</v>
      </c>
    </row>
    <row r="9" spans="2:15" x14ac:dyDescent="0.25">
      <c r="B9" s="1" t="s">
        <v>344</v>
      </c>
      <c r="C9" s="18" t="s">
        <v>399</v>
      </c>
      <c r="D9" s="12">
        <v>200</v>
      </c>
      <c r="E9" s="1" t="s">
        <v>344</v>
      </c>
      <c r="F9" s="12">
        <v>108</v>
      </c>
      <c r="G9" s="12" t="str">
        <f t="shared" si="0"/>
        <v>Pass</v>
      </c>
      <c r="H9" s="13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4" t="s">
        <v>466</v>
      </c>
      <c r="M9" s="41">
        <f>File_Size_Comparision!F11</f>
        <v>6.5932659070541619E-2</v>
      </c>
    </row>
    <row r="10" spans="2:15" x14ac:dyDescent="0.25">
      <c r="B10" s="1" t="s">
        <v>345</v>
      </c>
      <c r="C10" s="18" t="s">
        <v>399</v>
      </c>
      <c r="D10" s="12">
        <v>50</v>
      </c>
      <c r="E10" s="1" t="s">
        <v>345</v>
      </c>
      <c r="F10" s="12">
        <v>1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8" t="s">
        <v>399</v>
      </c>
      <c r="D11" s="12">
        <v>200</v>
      </c>
      <c r="E11" s="1" t="s">
        <v>346</v>
      </c>
      <c r="F11" s="12">
        <v>55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8" t="s">
        <v>400</v>
      </c>
      <c r="D12" s="12" t="s">
        <v>476</v>
      </c>
      <c r="E12" s="1" t="s">
        <v>347</v>
      </c>
      <c r="F12" s="12">
        <v>10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8" t="s">
        <v>400</v>
      </c>
      <c r="D13" s="12" t="s">
        <v>476</v>
      </c>
      <c r="E13" s="1" t="s">
        <v>348</v>
      </c>
      <c r="F13" s="12">
        <v>10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8" t="s">
        <v>399</v>
      </c>
      <c r="D14" s="12">
        <v>1</v>
      </c>
      <c r="E14" s="1" t="s">
        <v>349</v>
      </c>
      <c r="F14" s="12">
        <v>1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8" t="s">
        <v>399</v>
      </c>
      <c r="D15" s="12">
        <v>1</v>
      </c>
      <c r="E15" s="1" t="s">
        <v>350</v>
      </c>
      <c r="F15" s="12">
        <v>1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7" operator="equal">
      <formula>"Fail"</formula>
    </cfRule>
    <cfRule type="cellIs" dxfId="64" priority="628" operator="equal">
      <formula>"Pass"</formula>
    </cfRule>
  </conditionalFormatting>
  <conditionalFormatting sqref="H2:H15">
    <cfRule type="cellIs" dxfId="63" priority="17" operator="equal">
      <formula>"Fail"</formula>
    </cfRule>
    <cfRule type="cellIs" dxfId="62" priority="18" operator="equal">
      <formula>"Pass"</formula>
    </cfRule>
  </conditionalFormatting>
  <conditionalFormatting sqref="H2:H15">
    <cfRule type="cellIs" dxfId="61" priority="15" operator="equal">
      <formula>"Fail"</formula>
    </cfRule>
    <cfRule type="cellIs" dxfId="60" priority="16" operator="equal">
      <formula>"Pass"</formula>
    </cfRule>
  </conditionalFormatting>
  <conditionalFormatting sqref="H2:H15">
    <cfRule type="cellIs" dxfId="59" priority="13" operator="equal">
      <formula>"Fail"</formula>
    </cfRule>
    <cfRule type="cellIs" dxfId="58" priority="14" operator="equal">
      <formula>"Pass"</formula>
    </cfRule>
  </conditionalFormatting>
  <conditionalFormatting sqref="H2:H15">
    <cfRule type="cellIs" dxfId="57" priority="11" operator="equal">
      <formula>"Fail"</formula>
    </cfRule>
    <cfRule type="cellIs" dxfId="56" priority="12" operator="equal">
      <formula>"Pass"</formula>
    </cfRule>
  </conditionalFormatting>
  <conditionalFormatting sqref="H2:H15">
    <cfRule type="cellIs" dxfId="55" priority="9" operator="equal">
      <formula>"Fail"</formula>
    </cfRule>
    <cfRule type="cellIs" dxfId="54" priority="10" operator="equal">
      <formula>"Pass"</formula>
    </cfRule>
  </conditionalFormatting>
  <conditionalFormatting sqref="H2:H15">
    <cfRule type="cellIs" dxfId="53" priority="7" operator="equal">
      <formula>"Fail"</formula>
    </cfRule>
    <cfRule type="cellIs" dxfId="52" priority="8" operator="equal">
      <formula>"Pass"</formula>
    </cfRule>
  </conditionalFormatting>
  <conditionalFormatting sqref="H2:H15">
    <cfRule type="cellIs" dxfId="51" priority="5" operator="equal">
      <formula>"Fail"</formula>
    </cfRule>
    <cfRule type="cellIs" dxfId="50" priority="6" operator="equal">
      <formula>"Pass"</formula>
    </cfRule>
  </conditionalFormatting>
  <conditionalFormatting sqref="H2:H15">
    <cfRule type="cellIs" dxfId="49" priority="3" operator="equal">
      <formula>"Fail"</formula>
    </cfRule>
    <cfRule type="cellIs" dxfId="48" priority="4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 x14ac:dyDescent="0.25">
      <c r="B2" s="1" t="s">
        <v>83</v>
      </c>
      <c r="C2" s="18" t="s">
        <v>398</v>
      </c>
      <c r="D2" s="12"/>
      <c r="E2" s="1" t="s">
        <v>83</v>
      </c>
      <c r="F2" s="12">
        <v>5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 x14ac:dyDescent="0.25">
      <c r="B3" s="1" t="s">
        <v>84</v>
      </c>
      <c r="C3" s="18" t="s">
        <v>399</v>
      </c>
      <c r="D3" s="12">
        <v>50</v>
      </c>
      <c r="E3" s="1" t="s">
        <v>84</v>
      </c>
      <c r="F3" s="12">
        <v>0</v>
      </c>
      <c r="G3" s="12" t="str">
        <f t="shared" ref="G3:G26" si="0">IF(I3=J3,"Pass","Fail")</f>
        <v>Pass</v>
      </c>
      <c r="H3" s="13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20">
        <v>18833</v>
      </c>
      <c r="M3" s="20">
        <v>17705</v>
      </c>
      <c r="N3" s="23">
        <f>L3-M3</f>
        <v>1128</v>
      </c>
    </row>
    <row r="4" spans="2:15" x14ac:dyDescent="0.25">
      <c r="B4" s="1" t="s">
        <v>85</v>
      </c>
      <c r="C4" s="18" t="s">
        <v>399</v>
      </c>
      <c r="D4" s="12">
        <v>50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 x14ac:dyDescent="0.25">
      <c r="B6" s="1" t="s">
        <v>0</v>
      </c>
      <c r="C6" s="18" t="s">
        <v>399</v>
      </c>
      <c r="D6" s="12">
        <v>20</v>
      </c>
      <c r="E6" s="1" t="s">
        <v>0</v>
      </c>
      <c r="F6" s="12">
        <v>11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IF(ISERROR(VLOOKUP($O$1,$G$2:$G$26,1,)),"Pass","Fail")</f>
        <v>Pass</v>
      </c>
    </row>
    <row r="7" spans="2:15" x14ac:dyDescent="0.25">
      <c r="B7" s="1" t="s">
        <v>89</v>
      </c>
      <c r="C7" s="18" t="s">
        <v>399</v>
      </c>
      <c r="D7" s="12">
        <v>50</v>
      </c>
      <c r="E7" s="1" t="s">
        <v>89</v>
      </c>
      <c r="F7" s="12">
        <v>0</v>
      </c>
      <c r="G7" s="12" t="str">
        <f t="shared" si="0"/>
        <v>Pass</v>
      </c>
      <c r="H7" s="13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4" t="s">
        <v>402</v>
      </c>
      <c r="M7" s="12" t="str">
        <f>IF(ISERROR(VLOOKUP($O$1,$H$2:$H$26,1,)),"Pass","Fail")</f>
        <v>Pass</v>
      </c>
    </row>
    <row r="8" spans="2:15" x14ac:dyDescent="0.25">
      <c r="B8" s="1" t="s">
        <v>90</v>
      </c>
      <c r="C8" s="18" t="s">
        <v>400</v>
      </c>
      <c r="D8" s="12"/>
      <c r="E8" s="1" t="s">
        <v>90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4" t="s">
        <v>467</v>
      </c>
      <c r="M8" s="39">
        <f>IF(M3=0,0%,N3/M3)</f>
        <v>6.3710816153628919E-2</v>
      </c>
    </row>
    <row r="9" spans="2:15" x14ac:dyDescent="0.25">
      <c r="B9" s="1" t="s">
        <v>91</v>
      </c>
      <c r="C9" s="18" t="s">
        <v>400</v>
      </c>
      <c r="D9" s="12"/>
      <c r="E9" s="1" t="s">
        <v>91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4" t="s">
        <v>466</v>
      </c>
      <c r="M9" s="41">
        <f>File_Size_Comparision!F12</f>
        <v>5.7823129251700654E-2</v>
      </c>
    </row>
    <row r="10" spans="2:15" x14ac:dyDescent="0.25">
      <c r="B10" s="1" t="s">
        <v>92</v>
      </c>
      <c r="C10" s="18" t="s">
        <v>399</v>
      </c>
      <c r="D10" s="12">
        <v>50</v>
      </c>
      <c r="E10" s="1" t="s">
        <v>92</v>
      </c>
      <c r="F10" s="12">
        <v>5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8" t="s">
        <v>399</v>
      </c>
      <c r="D11" s="12">
        <v>50</v>
      </c>
      <c r="E11" s="1" t="s">
        <v>93</v>
      </c>
      <c r="F11" s="12">
        <v>5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8" t="s">
        <v>399</v>
      </c>
      <c r="D12" s="12">
        <v>50</v>
      </c>
      <c r="E12" s="1" t="s">
        <v>94</v>
      </c>
      <c r="F12" s="12">
        <v>4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8" t="s">
        <v>399</v>
      </c>
      <c r="D13" s="12">
        <v>50</v>
      </c>
      <c r="E13" s="1" t="s">
        <v>95</v>
      </c>
      <c r="F13" s="12">
        <v>5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8" t="s">
        <v>399</v>
      </c>
      <c r="D14" s="12">
        <v>50</v>
      </c>
      <c r="E14" s="1" t="s">
        <v>96</v>
      </c>
      <c r="F14" s="12">
        <v>5</v>
      </c>
      <c r="G14" s="12" t="str">
        <f t="shared" si="0"/>
        <v>Pass</v>
      </c>
      <c r="H14" s="13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8" t="s">
        <v>399</v>
      </c>
      <c r="D15" s="12">
        <v>50</v>
      </c>
      <c r="E15" s="1" t="s">
        <v>97</v>
      </c>
      <c r="F15" s="12">
        <v>5</v>
      </c>
      <c r="G15" s="12" t="str">
        <f t="shared" si="0"/>
        <v>Pass</v>
      </c>
      <c r="H15" s="13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8" t="s">
        <v>399</v>
      </c>
      <c r="D16" s="12">
        <v>50</v>
      </c>
      <c r="E16" s="1" t="s">
        <v>98</v>
      </c>
      <c r="F16" s="12">
        <v>5</v>
      </c>
      <c r="G16" s="12" t="str">
        <f t="shared" si="0"/>
        <v>Pass</v>
      </c>
      <c r="H16" s="13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8" t="s">
        <v>399</v>
      </c>
      <c r="D17" s="12">
        <v>50</v>
      </c>
      <c r="E17" s="1" t="s">
        <v>99</v>
      </c>
      <c r="F17" s="12">
        <v>4</v>
      </c>
      <c r="G17" s="12" t="str">
        <f t="shared" si="0"/>
        <v>Pass</v>
      </c>
      <c r="H17" s="13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8" t="s">
        <v>399</v>
      </c>
      <c r="D18" s="12">
        <v>50</v>
      </c>
      <c r="E18" s="1" t="s">
        <v>100</v>
      </c>
      <c r="F18" s="12">
        <v>4</v>
      </c>
      <c r="G18" s="12" t="str">
        <f t="shared" si="0"/>
        <v>Pass</v>
      </c>
      <c r="H18" s="13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8" t="s">
        <v>399</v>
      </c>
      <c r="D19" s="12">
        <v>50</v>
      </c>
      <c r="E19" s="1" t="s">
        <v>101</v>
      </c>
      <c r="F19" s="12">
        <v>5</v>
      </c>
      <c r="G19" s="12" t="str">
        <f t="shared" si="0"/>
        <v>Pass</v>
      </c>
      <c r="H19" s="13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8" t="s">
        <v>399</v>
      </c>
      <c r="D20" s="12">
        <v>50</v>
      </c>
      <c r="E20" s="1" t="s">
        <v>102</v>
      </c>
      <c r="F20" s="12">
        <v>5</v>
      </c>
      <c r="G20" s="12" t="str">
        <f t="shared" si="0"/>
        <v>Pass</v>
      </c>
      <c r="H20" s="13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8" t="s">
        <v>399</v>
      </c>
      <c r="D21" s="12">
        <v>50</v>
      </c>
      <c r="E21" s="1" t="s">
        <v>103</v>
      </c>
      <c r="F21" s="12">
        <v>5</v>
      </c>
      <c r="G21" s="12" t="str">
        <f t="shared" si="0"/>
        <v>Pass</v>
      </c>
      <c r="H21" s="13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8" t="s">
        <v>399</v>
      </c>
      <c r="D22" s="12">
        <v>50</v>
      </c>
      <c r="E22" s="1" t="s">
        <v>104</v>
      </c>
      <c r="F22" s="12">
        <v>5</v>
      </c>
      <c r="G22" s="12" t="str">
        <f t="shared" si="0"/>
        <v>Pass</v>
      </c>
      <c r="H22" s="13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8" t="s">
        <v>399</v>
      </c>
      <c r="D23" s="12">
        <v>50</v>
      </c>
      <c r="E23" s="1" t="s">
        <v>105</v>
      </c>
      <c r="F23" s="12">
        <v>4</v>
      </c>
      <c r="G23" s="12" t="str">
        <f t="shared" si="0"/>
        <v>Pass</v>
      </c>
      <c r="H23" s="13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8" t="s">
        <v>399</v>
      </c>
      <c r="D24" s="12">
        <v>50</v>
      </c>
      <c r="E24" s="1" t="s">
        <v>106</v>
      </c>
      <c r="F24" s="12">
        <v>5</v>
      </c>
      <c r="G24" s="12" t="str">
        <f t="shared" si="0"/>
        <v>Pass</v>
      </c>
      <c r="H24" s="13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8" t="s">
        <v>399</v>
      </c>
      <c r="D25" s="12">
        <v>50</v>
      </c>
      <c r="E25" s="1" t="s">
        <v>107</v>
      </c>
      <c r="F25" s="12">
        <v>5</v>
      </c>
      <c r="G25" s="12" t="str">
        <f t="shared" si="0"/>
        <v>Pass</v>
      </c>
      <c r="H25" s="13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8" t="s">
        <v>399</v>
      </c>
      <c r="D26" s="12">
        <v>50</v>
      </c>
      <c r="E26" s="1" t="s">
        <v>108</v>
      </c>
      <c r="F26" s="12">
        <v>4</v>
      </c>
      <c r="G26" s="12" t="str">
        <f t="shared" si="0"/>
        <v>Pass</v>
      </c>
      <c r="H26" s="13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5" operator="equal">
      <formula>"Fail"</formula>
    </cfRule>
    <cfRule type="cellIs" dxfId="44" priority="836" operator="equal">
      <formula>"Pass"</formula>
    </cfRule>
  </conditionalFormatting>
  <conditionalFormatting sqref="H2:H26">
    <cfRule type="cellIs" dxfId="43" priority="19" operator="equal">
      <formula>"Fail"</formula>
    </cfRule>
    <cfRule type="cellIs" dxfId="42" priority="20" operator="equal">
      <formula>"Pass"</formula>
    </cfRule>
  </conditionalFormatting>
  <conditionalFormatting sqref="H2:H26">
    <cfRule type="cellIs" dxfId="41" priority="17" operator="equal">
      <formula>"Fail"</formula>
    </cfRule>
    <cfRule type="cellIs" dxfId="40" priority="18" operator="equal">
      <formula>"Pass"</formula>
    </cfRule>
  </conditionalFormatting>
  <conditionalFormatting sqref="H2:H26">
    <cfRule type="cellIs" dxfId="39" priority="15" operator="equal">
      <formula>"Fail"</formula>
    </cfRule>
    <cfRule type="cellIs" dxfId="38" priority="16" operator="equal">
      <formula>"Pass"</formula>
    </cfRule>
  </conditionalFormatting>
  <conditionalFormatting sqref="H2:H26">
    <cfRule type="cellIs" dxfId="37" priority="13" operator="equal">
      <formula>"Fail"</formula>
    </cfRule>
    <cfRule type="cellIs" dxfId="36" priority="14" operator="equal">
      <formula>"Pass"</formula>
    </cfRule>
  </conditionalFormatting>
  <conditionalFormatting sqref="H2:H26">
    <cfRule type="cellIs" dxfId="35" priority="11" operator="equal">
      <formula>"Fail"</formula>
    </cfRule>
    <cfRule type="cellIs" dxfId="34" priority="12" operator="equal">
      <formula>"Pass"</formula>
    </cfRule>
  </conditionalFormatting>
  <conditionalFormatting sqref="H2:H26">
    <cfRule type="cellIs" dxfId="33" priority="9" operator="equal">
      <formula>"Fail"</formula>
    </cfRule>
    <cfRule type="cellIs" dxfId="32" priority="10" operator="equal">
      <formula>"Pass"</formula>
    </cfRule>
  </conditionalFormatting>
  <conditionalFormatting sqref="H2:H26">
    <cfRule type="cellIs" dxfId="31" priority="7" operator="equal">
      <formula>"Fail"</formula>
    </cfRule>
    <cfRule type="cellIs" dxfId="30" priority="8" operator="equal">
      <formula>"Pass"</formula>
    </cfRule>
  </conditionalFormatting>
  <conditionalFormatting sqref="H2:H26">
    <cfRule type="cellIs" dxfId="29" priority="5" operator="equal">
      <formula>"Fail"</formula>
    </cfRule>
    <cfRule type="cellIs" dxfId="28" priority="6" operator="equal">
      <formula>"Pass"</formula>
    </cfRule>
  </conditionalFormatting>
  <conditionalFormatting sqref="H2:H26">
    <cfRule type="cellIs" dxfId="27" priority="3" operator="equal">
      <formula>"Fail"</formula>
    </cfRule>
    <cfRule type="cellIs" dxfId="26" priority="4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7" t="s">
        <v>389</v>
      </c>
      <c r="C1" s="17" t="s">
        <v>397</v>
      </c>
      <c r="D1" s="17" t="s">
        <v>390</v>
      </c>
      <c r="E1" s="17" t="s">
        <v>72</v>
      </c>
      <c r="F1" s="17" t="s">
        <v>80</v>
      </c>
      <c r="G1" s="17" t="s">
        <v>81</v>
      </c>
      <c r="H1" s="17" t="s">
        <v>82</v>
      </c>
      <c r="O1" s="27" t="s">
        <v>413</v>
      </c>
    </row>
    <row r="2" spans="2:15" x14ac:dyDescent="0.25">
      <c r="B2" s="1" t="s">
        <v>83</v>
      </c>
      <c r="C2" s="18" t="s">
        <v>398</v>
      </c>
      <c r="D2" s="12"/>
      <c r="E2" s="1" t="s">
        <v>83</v>
      </c>
      <c r="F2" s="12">
        <v>6</v>
      </c>
      <c r="G2" s="12" t="str">
        <f>IF(I2=J2,"Pass","Fail")</f>
        <v>Pass</v>
      </c>
      <c r="H2" s="13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 t="s">
        <v>460</v>
      </c>
      <c r="M2" s="21" t="s">
        <v>461</v>
      </c>
      <c r="N2" s="21" t="s">
        <v>396</v>
      </c>
    </row>
    <row r="3" spans="2:15" x14ac:dyDescent="0.25">
      <c r="B3" s="1" t="s">
        <v>84</v>
      </c>
      <c r="C3" s="18" t="s">
        <v>399</v>
      </c>
      <c r="D3" s="12">
        <v>50</v>
      </c>
      <c r="E3" s="1" t="s">
        <v>84</v>
      </c>
      <c r="F3" s="12">
        <v>0</v>
      </c>
      <c r="G3" s="12" t="str">
        <f t="shared" ref="G3:G13" si="0">IF(I3=J3,"Pass","Fail")</f>
        <v>Pass</v>
      </c>
      <c r="H3" s="13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20">
        <v>112525</v>
      </c>
      <c r="M3" s="20">
        <v>109154</v>
      </c>
      <c r="N3" s="23">
        <f>L3-M3</f>
        <v>3371</v>
      </c>
    </row>
    <row r="4" spans="2:15" x14ac:dyDescent="0.25">
      <c r="B4" s="1" t="s">
        <v>85</v>
      </c>
      <c r="C4" s="18" t="s">
        <v>399</v>
      </c>
      <c r="D4" s="12">
        <v>50</v>
      </c>
      <c r="E4" s="1" t="s">
        <v>85</v>
      </c>
      <c r="F4" s="12">
        <v>8</v>
      </c>
      <c r="G4" s="12" t="str">
        <f t="shared" si="0"/>
        <v>Pass</v>
      </c>
      <c r="H4" s="13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8" t="s">
        <v>399</v>
      </c>
      <c r="D5" s="12">
        <v>50</v>
      </c>
      <c r="E5" s="1" t="s">
        <v>71</v>
      </c>
      <c r="F5" s="12">
        <v>32</v>
      </c>
      <c r="G5" s="12" t="str">
        <f t="shared" si="0"/>
        <v>Pass</v>
      </c>
      <c r="H5" s="13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5" t="s">
        <v>403</v>
      </c>
      <c r="M5" s="35" t="s">
        <v>401</v>
      </c>
    </row>
    <row r="6" spans="2:15" x14ac:dyDescent="0.25">
      <c r="B6" s="1" t="s">
        <v>0</v>
      </c>
      <c r="C6" s="18" t="s">
        <v>399</v>
      </c>
      <c r="D6" s="12">
        <v>20</v>
      </c>
      <c r="E6" s="1" t="s">
        <v>0</v>
      </c>
      <c r="F6" s="12">
        <v>11</v>
      </c>
      <c r="G6" s="12" t="str">
        <f t="shared" si="0"/>
        <v>Pass</v>
      </c>
      <c r="H6" s="13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81</v>
      </c>
      <c r="M6" s="12" t="str">
        <f>IF(ISERROR(VLOOKUP($O$1,$G$2:$G$13,1,)),"Pass","Fail")</f>
        <v>Pass</v>
      </c>
    </row>
    <row r="7" spans="2:15" x14ac:dyDescent="0.25">
      <c r="B7" s="1" t="s">
        <v>351</v>
      </c>
      <c r="C7" s="18" t="s">
        <v>399</v>
      </c>
      <c r="D7" s="12">
        <v>50</v>
      </c>
      <c r="E7" s="1" t="s">
        <v>351</v>
      </c>
      <c r="F7" s="12">
        <v>29</v>
      </c>
      <c r="G7" s="12" t="str">
        <f t="shared" si="0"/>
        <v>Pass</v>
      </c>
      <c r="H7" s="13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4" t="s">
        <v>402</v>
      </c>
      <c r="M7" s="12" t="str">
        <f>IF(ISERROR(VLOOKUP($O$1,$H$2:$H$13,1,)),"Pass","Fail")</f>
        <v>Pass</v>
      </c>
    </row>
    <row r="8" spans="2:15" x14ac:dyDescent="0.25">
      <c r="B8" s="1" t="s">
        <v>352</v>
      </c>
      <c r="C8" s="18" t="s">
        <v>400</v>
      </c>
      <c r="D8" s="12"/>
      <c r="E8" s="1" t="s">
        <v>352</v>
      </c>
      <c r="F8" s="12">
        <v>10</v>
      </c>
      <c r="G8" s="12" t="str">
        <f t="shared" si="0"/>
        <v>Pass</v>
      </c>
      <c r="H8" s="13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4" t="s">
        <v>467</v>
      </c>
      <c r="M8" s="39">
        <f>IF(M3=0,0%,N3/M3)</f>
        <v>3.0882972680799606E-2</v>
      </c>
    </row>
    <row r="9" spans="2:15" x14ac:dyDescent="0.25">
      <c r="B9" s="1" t="s">
        <v>353</v>
      </c>
      <c r="C9" s="18" t="s">
        <v>400</v>
      </c>
      <c r="D9" s="12"/>
      <c r="E9" s="1" t="s">
        <v>353</v>
      </c>
      <c r="F9" s="12">
        <v>10</v>
      </c>
      <c r="G9" s="12" t="str">
        <f t="shared" si="0"/>
        <v>Pass</v>
      </c>
      <c r="H9" s="13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4" t="s">
        <v>466</v>
      </c>
      <c r="M9" s="41">
        <f>File_Size_Comparision!F13</f>
        <v>3.2939189189189234E-2</v>
      </c>
    </row>
    <row r="10" spans="2:15" x14ac:dyDescent="0.25">
      <c r="B10" s="1" t="s">
        <v>354</v>
      </c>
      <c r="C10" s="18" t="s">
        <v>399</v>
      </c>
      <c r="D10" s="12">
        <v>20</v>
      </c>
      <c r="E10" s="1" t="s">
        <v>354</v>
      </c>
      <c r="F10" s="12">
        <v>1</v>
      </c>
      <c r="G10" s="12" t="str">
        <f t="shared" si="0"/>
        <v>Pass</v>
      </c>
      <c r="H10" s="13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8" t="s">
        <v>399</v>
      </c>
      <c r="D11" s="12">
        <v>55</v>
      </c>
      <c r="E11" s="1" t="s">
        <v>355</v>
      </c>
      <c r="F11" s="12">
        <v>26</v>
      </c>
      <c r="G11" s="12" t="str">
        <f t="shared" si="0"/>
        <v>Pass</v>
      </c>
      <c r="H11" s="13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8" t="s">
        <v>405</v>
      </c>
      <c r="D12" s="12"/>
      <c r="E12" s="1" t="s">
        <v>356</v>
      </c>
      <c r="F12" s="12">
        <v>3</v>
      </c>
      <c r="G12" s="12" t="str">
        <f t="shared" si="0"/>
        <v>Pass</v>
      </c>
      <c r="H12" s="13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2" t="s">
        <v>459</v>
      </c>
      <c r="C13" s="33" t="s">
        <v>399</v>
      </c>
      <c r="D13" s="12">
        <v>1</v>
      </c>
      <c r="E13" s="32" t="s">
        <v>544</v>
      </c>
      <c r="F13" s="12">
        <v>1</v>
      </c>
      <c r="G13" s="12" t="str">
        <f t="shared" si="0"/>
        <v>Pass</v>
      </c>
      <c r="H13" s="13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79" operator="equal">
      <formula>"Fail"</formula>
    </cfRule>
    <cfRule type="cellIs" dxfId="22" priority="1080" operator="equal">
      <formula>"Pass"</formula>
    </cfRule>
  </conditionalFormatting>
  <conditionalFormatting sqref="H2:H13">
    <cfRule type="cellIs" dxfId="21" priority="21" operator="equal">
      <formula>"Fail"</formula>
    </cfRule>
    <cfRule type="cellIs" dxfId="20" priority="22" operator="equal">
      <formula>"Pass"</formula>
    </cfRule>
  </conditionalFormatting>
  <conditionalFormatting sqref="H2:H13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13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13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13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13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1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13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13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1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svinduwa</cp:lastModifiedBy>
  <dcterms:created xsi:type="dcterms:W3CDTF">2013-12-03T07:41:54Z</dcterms:created>
  <dcterms:modified xsi:type="dcterms:W3CDTF">2017-02-27T17:07:24Z</dcterms:modified>
</cp:coreProperties>
</file>