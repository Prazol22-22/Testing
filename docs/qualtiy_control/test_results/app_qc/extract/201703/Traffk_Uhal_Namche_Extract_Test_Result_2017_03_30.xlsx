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44525"/>
</workbook>
</file>

<file path=xl/calcChain.xml><?xml version="1.0" encoding="utf-8"?>
<calcChain xmlns="http://schemas.openxmlformats.org/spreadsheetml/2006/main">
  <c r="I7" i="14" l="1"/>
  <c r="H7" i="14"/>
  <c r="I3" i="14"/>
  <c r="H3" i="14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 s="1"/>
  <c r="J3" i="19"/>
  <c r="I3" i="19"/>
  <c r="H3" i="19"/>
  <c r="J2" i="19"/>
  <c r="I2" i="19"/>
  <c r="H2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 s="1"/>
  <c r="J2" i="18"/>
  <c r="I2" i="18"/>
  <c r="H2" i="18"/>
  <c r="F7" i="14" l="1"/>
  <c r="M9" i="19" s="1"/>
  <c r="F3" i="14"/>
  <c r="G6" i="19"/>
  <c r="G16" i="19"/>
  <c r="G2" i="19"/>
  <c r="G7" i="19"/>
  <c r="G21" i="19"/>
  <c r="G12" i="19"/>
  <c r="G20" i="19"/>
  <c r="G2" i="18"/>
  <c r="G3" i="18"/>
  <c r="G7" i="18"/>
  <c r="G8" i="18"/>
  <c r="G9" i="18"/>
  <c r="G13" i="18"/>
  <c r="G17" i="18"/>
  <c r="G4" i="18"/>
  <c r="G10" i="18"/>
  <c r="G14" i="18"/>
  <c r="G18" i="18"/>
  <c r="G13" i="19"/>
  <c r="G17" i="19"/>
  <c r="G3" i="19"/>
  <c r="G4" i="19"/>
  <c r="G8" i="19"/>
  <c r="G9" i="19"/>
  <c r="G10" i="19"/>
  <c r="G14" i="19"/>
  <c r="G18" i="19"/>
  <c r="G22" i="19"/>
  <c r="G5" i="19"/>
  <c r="G11" i="19"/>
  <c r="G15" i="19"/>
  <c r="G19" i="19"/>
  <c r="G23" i="19"/>
  <c r="G24" i="19"/>
  <c r="M7" i="19"/>
  <c r="G25" i="3" s="1"/>
  <c r="G26" i="19"/>
  <c r="G25" i="19"/>
  <c r="M6" i="18"/>
  <c r="G16" i="3" s="1"/>
  <c r="G5" i="18"/>
  <c r="G11" i="18"/>
  <c r="G15" i="18"/>
  <c r="G19" i="18"/>
  <c r="G6" i="18"/>
  <c r="G12" i="18"/>
  <c r="G16" i="18"/>
  <c r="N2" i="16"/>
  <c r="M7" i="16" s="1"/>
  <c r="N3" i="9"/>
  <c r="M8" i="9" s="1"/>
  <c r="G3" i="14" l="1"/>
  <c r="M8" i="18"/>
  <c r="M5" i="18"/>
  <c r="G15" i="3" s="1"/>
  <c r="G7" i="14"/>
  <c r="M6" i="19"/>
  <c r="G24" i="3" s="1"/>
  <c r="N4" i="17"/>
  <c r="M10" i="17" s="1"/>
  <c r="N3" i="17"/>
  <c r="M9" i="17" s="1"/>
  <c r="G31" i="3" s="1"/>
  <c r="N2" i="15"/>
  <c r="M7" i="15" s="1"/>
  <c r="J11" i="17"/>
  <c r="J12" i="17"/>
  <c r="H11" i="17"/>
  <c r="H12" i="17"/>
  <c r="I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H11" i="14"/>
  <c r="I11" i="14"/>
  <c r="H12" i="14"/>
  <c r="I12" i="14"/>
  <c r="H13" i="14"/>
  <c r="I13" i="14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F12" i="14" l="1"/>
  <c r="G12" i="14" s="1"/>
  <c r="F13" i="14"/>
  <c r="G13" i="14" s="1"/>
  <c r="F11" i="14"/>
  <c r="G11" i="14" s="1"/>
  <c r="M8" i="17"/>
  <c r="G30" i="3" s="1"/>
  <c r="G11" i="17"/>
  <c r="G6" i="16"/>
  <c r="G12" i="17"/>
  <c r="G6" i="17"/>
  <c r="G10" i="17"/>
  <c r="G5" i="17"/>
  <c r="G9" i="17"/>
  <c r="M6" i="16"/>
  <c r="G23" i="3" s="1"/>
  <c r="G4" i="17"/>
  <c r="G8" i="17"/>
  <c r="G3" i="17"/>
  <c r="G2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M9" i="11" l="1"/>
  <c r="M9" i="12"/>
  <c r="G9" i="15"/>
  <c r="G17" i="15"/>
  <c r="G25" i="15"/>
  <c r="G5" i="15"/>
  <c r="G13" i="15"/>
  <c r="G21" i="15"/>
  <c r="M7" i="17"/>
  <c r="G29" i="3" s="1"/>
  <c r="G7" i="15"/>
  <c r="M9" i="13"/>
  <c r="M6" i="15"/>
  <c r="G18" i="3" s="1"/>
  <c r="M5" i="16"/>
  <c r="G22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7" i="3" s="1"/>
  <c r="N3" i="10"/>
  <c r="M9" i="10" s="1"/>
  <c r="N2" i="10"/>
  <c r="M8" i="10" s="1"/>
  <c r="G36" i="3" s="1"/>
  <c r="N3" i="7"/>
  <c r="M9" i="7" s="1"/>
  <c r="N2" i="7"/>
  <c r="M8" i="7" s="1"/>
  <c r="G28" i="3" s="1"/>
  <c r="N2" i="2"/>
  <c r="M8" i="2" s="1"/>
  <c r="G21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5" i="14"/>
  <c r="I6" i="14"/>
  <c r="I8" i="14"/>
  <c r="I9" i="14"/>
  <c r="I10" i="14"/>
  <c r="I4" i="14"/>
  <c r="H5" i="14"/>
  <c r="H6" i="14"/>
  <c r="H8" i="14"/>
  <c r="H9" i="14"/>
  <c r="H10" i="14"/>
  <c r="H4" i="14"/>
  <c r="F10" i="14" l="1"/>
  <c r="F9" i="14"/>
  <c r="G9" i="14" s="1"/>
  <c r="F5" i="14"/>
  <c r="M10" i="2" s="1"/>
  <c r="G5" i="13"/>
  <c r="G11" i="13"/>
  <c r="G9" i="13"/>
  <c r="G7" i="13"/>
  <c r="G3" i="13"/>
  <c r="G10" i="14"/>
  <c r="M11" i="17"/>
  <c r="F6" i="14"/>
  <c r="G6" i="14" s="1"/>
  <c r="F8" i="14"/>
  <c r="M10" i="7" s="1"/>
  <c r="F4" i="14"/>
  <c r="M8" i="15" s="1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G5" i="14" l="1"/>
  <c r="G8" i="14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<sst xmlns="http://schemas.openxmlformats.org/spreadsheetml/2006/main" count="2243" uniqueCount="553">
  <si>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</si>
  <si>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</si>
  <si>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</si>
  <si>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</si>
  <si>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</si>
  <si>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</si>
  <si>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</si>
  <si>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</si>
  <si>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</si>
  <si>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</si>
  <si>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</si>
  <si>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</si>
  <si>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</si>
  <si>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</si>
  <si>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</si>
  <si>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</si>
  <si>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</si>
  <si>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</si>
  <si>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</si>
  <si>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</si>
  <si>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</si>
  <si>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</si>
  <si>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</si>
  <si>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</si>
  <si>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</si>
  <si>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</si>
  <si>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</si>
  <si>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</si>
  <si>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</si>
  <si>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</si>
  <si>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</si>
  <si>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</si>
  <si>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</si>
  <si>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</si>
  <si>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</si>
  <si>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</si>
  <si>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</si>
  <si>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</si>
  <si>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</si>
  <si>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</si>
  <si>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</si>
  <si>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</si>
  <si>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</si>
  <si>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</si>
  <si>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</si>
  <si>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</si>
  <si>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</si>
  <si>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</si>
  <si>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</si>
  <si>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</si>
  <si>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</si>
  <si>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</si>
  <si>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</si>
  <si>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</si>
  <si>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</si>
  <si>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</si>
  <si>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</si>
  <si>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</si>
  <si>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</si>
  <si>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</si>
  <si>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</si>
  <si>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</si>
  <si>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</si>
  <si>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</si>
  <si>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</si>
  <si>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</si>
  <si>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</si>
  <si>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</si>
  <si>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</si>
  <si>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</si>
  <si>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</si>
  <si>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</si>
  <si>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</si>
  <si>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</si>
  <si>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</si>
  <si>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</si>
  <si>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</si>
  <si>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</si>
  <si>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</si>
  <si>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</si>
  <si>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</si>
  <si>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</si>
  <si>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</si>
  <si>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</si>
  <si>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</si>
  <si>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</si>
  <si>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</si>
  <si>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</si>
  <si>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</si>
  <si>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</si>
  <si>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</si>
  <si>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</si>
  <si>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</si>
  <si>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</si>
  <si>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</si>
  <si>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</si>
  <si>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</si>
  <si>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</si>
  <si>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</si>
  <si>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</si>
  <si>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</si>
  <si>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</si>
  <si>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</si>
  <si>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</si>
  <si>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</si>
  <si>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</si>
  <si>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</si>
  <si>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</si>
  <si>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</si>
  <si>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</si>
  <si>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</si>
  <si>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</si>
  <si>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</si>
  <si>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</si>
  <si>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</si>
  <si>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</si>
  <si>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</si>
  <si>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</si>
  <si>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</si>
  <si>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</si>
  <si>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</si>
  <si>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</si>
  <si>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</si>
  <si>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</si>
  <si>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</si>
  <si>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</si>
  <si>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</si>
  <si>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</si>
  <si>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</si>
  <si>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</si>
  <si>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</si>
  <si>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</si>
  <si>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</si>
  <si>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</si>
  <si>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</si>
  <si>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</si>
  <si>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</si>
  <si>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</si>
  <si>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</si>
  <si>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</si>
  <si>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</si>
  <si>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</si>
  <si>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</si>
  <si>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</si>
  <si>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</si>
  <si>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</si>
  <si>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</si>
  <si>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</si>
  <si>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</si>
  <si>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</si>
  <si>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</si>
  <si>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</si>
  <si>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</si>
  <si>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</si>
  <si>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</si>
  <si>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</si>
  <si>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</si>
  <si>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</si>
  <si>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</si>
  <si>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</si>
  <si>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</si>
  <si>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</si>
  <si>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</si>
  <si>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</si>
  <si>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</si>
  <si>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</si>
  <si>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</si>
  <si>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</si>
  <si>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</si>
  <si>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</si>
  <si>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</si>
  <si>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</si>
  <si>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</si>
  <si>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</si>
  <si>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</si>
  <si>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</si>
  <si>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</si>
  <si>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</si>
  <si>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</si>
  <si>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</si>
  <si>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</si>
  <si>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</si>
  <si>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</si>
  <si>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</si>
  <si>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</si>
  <si>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</si>
  <si>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</si>
  <si>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</si>
  <si>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</si>
  <si>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</si>
  <si>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</si>
  <si>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</si>
  <si>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</si>
  <si>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</si>
  <si>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</si>
  <si>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</si>
  <si>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</si>
  <si>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</si>
  <si>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</si>
  <si>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</si>
  <si>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</si>
  <si>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</si>
  <si>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</si>
  <si>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</si>
  <si>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</si>
  <si>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</si>
  <si>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</si>
  <si>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</si>
  <si>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</si>
  <si>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</si>
  <si>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</si>
  <si>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</si>
  <si>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</si>
  <si>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</si>
  <si>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</si>
  <si>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</si>
  <si>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</si>
  <si>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</si>
  <si>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</si>
  <si>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</si>
  <si>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</si>
  <si>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</si>
  <si>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</si>
  <si>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</si>
  <si>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</si>
  <si>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</si>
  <si>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</si>
  <si>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</si>
  <si>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</si>
  <si>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</si>
  <si>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</si>
  <si>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</si>
  <si>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</si>
  <si>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</si>
  <si>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</si>
  <si>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</si>
  <si>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</si>
  <si>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</si>
  <si>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</si>
  <si>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</si>
  <si>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</si>
  <si>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</si>
  <si>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</si>
  <si>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</si>
  <si>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</si>
  <si>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</si>
  <si>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</si>
  <si>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</si>
  <si>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</si>
  <si>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</si>
  <si>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</si>
  <si>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</si>
  <si>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</si>
  <si>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</si>
  <si>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</si>
  <si>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</si>
  <si>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</si>
  <si>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</si>
  <si>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</si>
  <si>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</si>
  <si>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</si>
  <si>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</si>
  <si>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</si>
  <si>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</si>
  <si>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</si>
  <si>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</si>
  <si>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</si>
  <si>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</si>
  <si>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</si>
  <si>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</si>
  <si>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</si>
  <si>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</si>
  <si>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</si>
  <si>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</si>
  <si>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</si>
  <si>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</si>
  <si>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</si>
  <si>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</si>
  <si>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</si>
  <si>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</si>
  <si>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</si>
  <si>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</si>
  <si>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</si>
  <si>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</si>
  <si>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</si>
  <si>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</si>
  <si>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</si>
  <si>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</si>
  <si>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</si>
  <si>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</si>
  <si>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</si>
  <si>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</si>
  <si>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</si>
  <si>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</si>
  <si>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</si>
  <si>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</si>
  <si>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</si>
  <si>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</si>
  <si>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</si>
  <si>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</si>
  <si>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</si>
  <si>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</si>
  <si>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</si>
  <si>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</si>
  <si>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</si>
  <si>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</si>
  <si>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</si>
  <si>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</si>
  <si>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</si>
  <si>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</si>
  <si>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</si>
  <si>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</si>
  <si>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</si>
  <si>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</si>
  <si>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</si>
  <si>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</si>
  <si>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</si>
  <si>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</si>
  <si>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</si>
  <si>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</si>
  <si>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</si>
  <si>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</si>
  <si>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</si>
  <si>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</si>
  <si>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</si>
  <si>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</si>
  <si>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</si>
  <si>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</si>
  <si>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</si>
  <si>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</si>
  <si>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</si>
  <si>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</si>
  <si>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</si>
  <si>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</si>
  <si>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</si>
  <si>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</si>
  <si>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</si>
  <si>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</si>
  <si>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</si>
  <si>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</si>
  <si>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</si>
  <si>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</si>
  <si>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</si>
  <si>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</si>
  <si>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</si>
  <si>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</si>
  <si>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</si>
  <si>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</si>
  <si>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</si>
  <si>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</si>
  <si>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</si>
  <si>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</si>
  <si>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</si>
  <si>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</si>
  <si>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</si>
  <si>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</si>
  <si>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</si>
  <si>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</si>
  <si>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</si>
  <si>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</si>
  <si>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</si>
  <si>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</si>
  <si>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</si>
  <si>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</si>
  <si>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</si>
  <si>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</si>
  <si>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</si>
  <si>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</si>
  <si>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</si>
  <si>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</si>
  <si>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</si>
  <si>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</si>
  <si>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</si>
  <si>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</si>
  <si>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</si>
  <si>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</si>
  <si>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</si>
  <si>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</si>
  <si>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</si>
  <si>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</si>
  <si>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</si>
  <si>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</si>
  <si>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</si>
  <si>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</si>
  <si>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</si>
  <si>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</si>
  <si>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</si>
  <si>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</si>
  <si>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</si>
  <si>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</si>
  <si>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</si>
  <si>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</si>
  <si>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</si>
  <si>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</si>
  <si>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</si>
  <si>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</si>
  <si>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</si>
  <si>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</si>
  <si>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</si>
  <si>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</si>
  <si>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</si>
  <si>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</si>
  <si>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</si>
  <si>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</si>
  <si>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</si>
  <si>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</si>
  <si>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</si>
  <si>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</si>
  <si>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</si>
  <si>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</si>
  <si>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</si>
  <si>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</si>
  <si>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</si>
  <si>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</si>
  <si>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</si>
  <si>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</si>
  <si>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</si>
  <si>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</si>
  <si>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</si>
  <si>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</si>
  <si>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</si>
  <si>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</si>
  <si>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</si>
  <si>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</si>
  <si>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</si>
  <si>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</si>
  <si>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</si>
  <si>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</si>
  <si>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</si>
  <si>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</si>
  <si>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</si>
  <si>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</si>
  <si>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</si>
  <si>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</si>
  <si>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</si>
  <si>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</si>
  <si>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</si>
  <si>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</si>
  <si>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</si>
  <si>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</si>
  <si>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</si>
  <si>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</si>
  <si>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</si>
  <si>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</si>
  <si>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</si>
  <si>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</si>
  <si>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</si>
  <si>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</si>
  <si>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</si>
  <si>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</si>
  <si>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</si>
  <si>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</si>
  <si>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</si>
  <si>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</si>
  <si>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</si>
  <si>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</si>
  <si>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</si>
  <si>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</si>
  <si>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</si>
  <si>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</si>
  <si>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</si>
  <si>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</si>
  <si>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</si>
  <si>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</si>
  <si>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</si>
  <si>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</si>
  <si>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</si>
  <si>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</si>
  <si>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</si>
  <si>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</si>
  <si>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</si>
  <si>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</si>
  <si>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</si>
  <si>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</si>
  <si>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</si>
  <si>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</si>
  <si>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</si>
  <si>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</si>
  <si>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</si>
  <si>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</si>
  <si>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</si>
  <si>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</si>
  <si>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</si>
  <si>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</si>
  <si>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</si>
  <si>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</si>
  <si>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</si>
  <si>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</si>
  <si>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</si>
  <si>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</si>
  <si>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</si>
  <si>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</si>
  <si>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</si>
  <si>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</si>
  <si>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</si>
  <si>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</si>
  <si>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</si>
  <si>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</si>
  <si>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</si>
  <si>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</si>
  <si>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</si>
  <si>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</si>
  <si>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</si>
  <si>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</si>
  <si>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</si>
  <si>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</si>
  <si>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</si>
  <si>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</si>
  <si>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</si>
  <si>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</si>
  <si>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</si>
  <si>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</si>
  <si>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</si>
  <si>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</si>
  <si>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</si>
  <si>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</si>
  <si>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</si>
  <si>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</si>
  <si>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</si>
  <si>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</si>
  <si>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</si>
  <si>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</si>
  <si>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</si>
  <si>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</si>
  <si>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</si>
  <si>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</si>
  <si>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</si>
  <si>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 xml:space="preserve">Verify Historical_Scores layout </t>
  </si>
  <si>
    <t>Verify Historical_Scores field length</t>
  </si>
  <si>
    <t>22.88 MB</t>
  </si>
  <si>
    <t>6.88 MB</t>
  </si>
  <si>
    <t>103.15 MB</t>
  </si>
  <si>
    <t>3.03 MB</t>
  </si>
  <si>
    <t>41.68 MB</t>
  </si>
  <si>
    <t>1.84 GB</t>
  </si>
  <si>
    <t>999 KB</t>
  </si>
  <si>
    <t>222.13 MB</t>
  </si>
  <si>
    <t>80.75 MB</t>
  </si>
  <si>
    <t>2.85 MB</t>
  </si>
  <si>
    <t>12.10 MB</t>
  </si>
  <si>
    <t>23.00 MB</t>
  </si>
  <si>
    <t>6.79 MB</t>
  </si>
  <si>
    <t>93.59 MB</t>
  </si>
  <si>
    <t>2.99 MB</t>
  </si>
  <si>
    <t>38.81 MB</t>
  </si>
  <si>
    <t>1.78 GB</t>
  </si>
  <si>
    <t>997 KB</t>
  </si>
  <si>
    <t>214.07 MB</t>
  </si>
  <si>
    <t>78.11 MB</t>
  </si>
  <si>
    <t>2.94 MB</t>
  </si>
  <si>
    <t>11.84 MB</t>
  </si>
  <si>
    <t>AsmitaS/AchyutB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</si>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</sst>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3" borderId="1" xfId="0" applyFont="1" applyFill="1" applyBorder="1" applyAlignment="1">
      <alignment horizontal="left"/>
    </xf>
    <xf numFmtId="0" fontId="0" fillId="0" borderId="0" xfId="0" applyFill="1"/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0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workbookViewId="0">
      <selection activeCell="B1" sqref="B1:G1"/>
    </sheetView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6.140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71" t="s">
        <v>386</v>
      </c>
      <c r="C1" s="71"/>
      <c r="D1" s="71"/>
      <c r="E1" s="71"/>
      <c r="F1" s="71"/>
      <c r="G1" s="71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68" t="s">
        <v>387</v>
      </c>
      <c r="C8" s="69"/>
      <c r="D8" s="69"/>
      <c r="E8" s="69"/>
      <c r="F8" s="69"/>
      <c r="G8" s="70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42824</v>
      </c>
      <c r="C10" s="9">
        <v>42824</v>
      </c>
      <c r="D10" s="29" t="s">
        <v>502</v>
      </c>
      <c r="E10" s="7" t="s">
        <v>551</v>
      </c>
      <c r="F10" s="29" t="s">
        <v>552</v>
      </c>
      <c r="G10" s="8"/>
    </row>
    <row r="12" spans="2:7" x14ac:dyDescent="0.25">
      <c r="B12" s="71" t="s">
        <v>388</v>
      </c>
      <c r="C12" s="71"/>
      <c r="D12" s="71"/>
      <c r="E12" s="71"/>
      <c r="F12" s="71"/>
      <c r="G12" s="71"/>
    </row>
    <row r="13" spans="2:7" x14ac:dyDescent="0.25">
      <c r="B13" s="15" t="s">
        <v>361</v>
      </c>
      <c r="C13" s="72" t="s">
        <v>362</v>
      </c>
      <c r="D13" s="72"/>
      <c r="E13" s="72"/>
      <c r="F13" s="72"/>
      <c r="G13" s="15" t="s">
        <v>360</v>
      </c>
    </row>
    <row r="14" spans="2:7" x14ac:dyDescent="0.25">
      <c r="B14" s="1" t="s">
        <v>363</v>
      </c>
      <c r="C14" s="67" t="s">
        <v>373</v>
      </c>
      <c r="D14" s="67"/>
      <c r="E14" s="67"/>
      <c r="F14" s="67"/>
      <c r="G14" s="11" t="str">
        <f>File_Size_Comparision!L2</f>
        <v>Pass</v>
      </c>
    </row>
    <row r="15" spans="2:7" x14ac:dyDescent="0.25">
      <c r="B15" s="49" t="s">
        <v>364</v>
      </c>
      <c r="C15" s="67" t="s">
        <v>518</v>
      </c>
      <c r="D15" s="67"/>
      <c r="E15" s="67"/>
      <c r="F15" s="67"/>
      <c r="G15" s="11" t="str">
        <f>Care_Alerts!M5</f>
        <v>Pass</v>
      </c>
    </row>
    <row r="16" spans="2:7" x14ac:dyDescent="0.25">
      <c r="B16" s="49" t="s">
        <v>365</v>
      </c>
      <c r="C16" s="67" t="s">
        <v>519</v>
      </c>
      <c r="D16" s="67"/>
      <c r="E16" s="67"/>
      <c r="F16" s="67"/>
      <c r="G16" s="11" t="str">
        <f>Care_Alerts!M6</f>
        <v>Pass</v>
      </c>
    </row>
    <row r="17" spans="2:7" x14ac:dyDescent="0.25">
      <c r="B17" s="49" t="s">
        <v>366</v>
      </c>
      <c r="C17" s="67" t="s">
        <v>476</v>
      </c>
      <c r="D17" s="67"/>
      <c r="E17" s="67"/>
      <c r="F17" s="67"/>
      <c r="G17" s="11" t="str">
        <f>Demographics!M5</f>
        <v>Pass</v>
      </c>
    </row>
    <row r="18" spans="2:7" x14ac:dyDescent="0.25">
      <c r="B18" s="49" t="s">
        <v>367</v>
      </c>
      <c r="C18" s="67" t="s">
        <v>477</v>
      </c>
      <c r="D18" s="67"/>
      <c r="E18" s="67"/>
      <c r="F18" s="67"/>
      <c r="G18" s="11" t="str">
        <f>Demographics!M6</f>
        <v>Pass</v>
      </c>
    </row>
    <row r="19" spans="2:7" x14ac:dyDescent="0.25">
      <c r="B19" s="49" t="s">
        <v>368</v>
      </c>
      <c r="C19" s="67" t="s">
        <v>414</v>
      </c>
      <c r="D19" s="67"/>
      <c r="E19" s="67"/>
      <c r="F19" s="67"/>
      <c r="G19" s="11" t="str">
        <f>Eligibility!M6</f>
        <v>Pass</v>
      </c>
    </row>
    <row r="20" spans="2:7" x14ac:dyDescent="0.25">
      <c r="B20" s="49" t="s">
        <v>369</v>
      </c>
      <c r="C20" s="67" t="s">
        <v>415</v>
      </c>
      <c r="D20" s="67"/>
      <c r="E20" s="67"/>
      <c r="F20" s="67"/>
      <c r="G20" s="11" t="str">
        <f>Eligibility!M7</f>
        <v>Pass</v>
      </c>
    </row>
    <row r="21" spans="2:7" x14ac:dyDescent="0.25">
      <c r="B21" s="49" t="s">
        <v>370</v>
      </c>
      <c r="C21" s="67" t="s">
        <v>469</v>
      </c>
      <c r="D21" s="67"/>
      <c r="E21" s="67"/>
      <c r="F21" s="67"/>
      <c r="G21" s="11" t="str">
        <f>Eligibility!M8</f>
        <v>Pass</v>
      </c>
    </row>
    <row r="22" spans="2:7" x14ac:dyDescent="0.25">
      <c r="B22" s="49" t="s">
        <v>371</v>
      </c>
      <c r="C22" s="67" t="s">
        <v>482</v>
      </c>
      <c r="D22" s="67"/>
      <c r="E22" s="67"/>
      <c r="F22" s="67"/>
      <c r="G22" s="11" t="str">
        <f>High_Cost!M5</f>
        <v>Pass</v>
      </c>
    </row>
    <row r="23" spans="2:7" x14ac:dyDescent="0.25">
      <c r="B23" s="49" t="s">
        <v>372</v>
      </c>
      <c r="C23" s="67" t="s">
        <v>483</v>
      </c>
      <c r="D23" s="67"/>
      <c r="E23" s="67"/>
      <c r="F23" s="67"/>
      <c r="G23" s="11" t="str">
        <f>High_Cost!M6</f>
        <v>Pass</v>
      </c>
    </row>
    <row r="24" spans="2:7" x14ac:dyDescent="0.25">
      <c r="B24" s="49" t="s">
        <v>374</v>
      </c>
      <c r="C24" s="67" t="s">
        <v>527</v>
      </c>
      <c r="D24" s="67"/>
      <c r="E24" s="67"/>
      <c r="F24" s="67"/>
      <c r="G24" s="11" t="str">
        <f>Historical_Scores!M6</f>
        <v>Pass</v>
      </c>
    </row>
    <row r="25" spans="2:7" x14ac:dyDescent="0.25">
      <c r="B25" s="49" t="s">
        <v>416</v>
      </c>
      <c r="C25" s="67" t="s">
        <v>528</v>
      </c>
      <c r="D25" s="67"/>
      <c r="E25" s="67"/>
      <c r="F25" s="67"/>
      <c r="G25" s="11" t="str">
        <f>Historical_Scores!M7</f>
        <v>Pass</v>
      </c>
    </row>
    <row r="26" spans="2:7" x14ac:dyDescent="0.25">
      <c r="B26" s="49" t="s">
        <v>417</v>
      </c>
      <c r="C26" s="67" t="s">
        <v>431</v>
      </c>
      <c r="D26" s="67"/>
      <c r="E26" s="67"/>
      <c r="F26" s="67"/>
      <c r="G26" s="11" t="str">
        <f>Medical_Claims!M6</f>
        <v>Pass</v>
      </c>
    </row>
    <row r="27" spans="2:7" x14ac:dyDescent="0.25">
      <c r="B27" s="49" t="s">
        <v>418</v>
      </c>
      <c r="C27" s="67" t="s">
        <v>432</v>
      </c>
      <c r="D27" s="67"/>
      <c r="E27" s="67"/>
      <c r="F27" s="67"/>
      <c r="G27" s="11" t="str">
        <f>Medical_Claims!M7</f>
        <v>Pass</v>
      </c>
    </row>
    <row r="28" spans="2:7" x14ac:dyDescent="0.25">
      <c r="B28" s="49" t="s">
        <v>419</v>
      </c>
      <c r="C28" s="67" t="s">
        <v>470</v>
      </c>
      <c r="D28" s="67"/>
      <c r="E28" s="67"/>
      <c r="F28" s="67"/>
      <c r="G28" s="11" t="str">
        <f>Medical_Claims!M8</f>
        <v>Pass</v>
      </c>
    </row>
    <row r="29" spans="2:7" hidden="1" x14ac:dyDescent="0.25">
      <c r="B29" s="49" t="s">
        <v>472</v>
      </c>
      <c r="C29" s="67" t="s">
        <v>501</v>
      </c>
      <c r="D29" s="67"/>
      <c r="E29" s="67"/>
      <c r="F29" s="67"/>
      <c r="G29" s="11" t="str">
        <f>Participation!M7</f>
        <v>Pass</v>
      </c>
    </row>
    <row r="30" spans="2:7" hidden="1" x14ac:dyDescent="0.25">
      <c r="B30" s="49" t="s">
        <v>473</v>
      </c>
      <c r="C30" s="67" t="s">
        <v>496</v>
      </c>
      <c r="D30" s="67"/>
      <c r="E30" s="67"/>
      <c r="F30" s="67"/>
      <c r="G30" s="11" t="str">
        <f>Participation!M8</f>
        <v>Pass</v>
      </c>
    </row>
    <row r="31" spans="2:7" x14ac:dyDescent="0.25">
      <c r="B31" s="49" t="s">
        <v>472</v>
      </c>
      <c r="C31" s="67" t="s">
        <v>497</v>
      </c>
      <c r="D31" s="67"/>
      <c r="E31" s="67"/>
      <c r="F31" s="67"/>
      <c r="G31" s="39" t="str">
        <f>Participation!M9</f>
        <v>Pass</v>
      </c>
    </row>
    <row r="32" spans="2:7" x14ac:dyDescent="0.25">
      <c r="B32" s="49" t="s">
        <v>473</v>
      </c>
      <c r="C32" s="67" t="s">
        <v>420</v>
      </c>
      <c r="D32" s="67"/>
      <c r="E32" s="67"/>
      <c r="F32" s="67"/>
      <c r="G32" s="11" t="str">
        <f>Member_PCP!M6</f>
        <v>Pass</v>
      </c>
    </row>
    <row r="33" spans="2:7" x14ac:dyDescent="0.25">
      <c r="B33" s="57" t="s">
        <v>474</v>
      </c>
      <c r="C33" s="67" t="s">
        <v>425</v>
      </c>
      <c r="D33" s="67"/>
      <c r="E33" s="67"/>
      <c r="F33" s="67"/>
      <c r="G33" s="11" t="str">
        <f>Member_PCP!M7</f>
        <v>Pass</v>
      </c>
    </row>
    <row r="34" spans="2:7" x14ac:dyDescent="0.25">
      <c r="B34" s="57" t="s">
        <v>484</v>
      </c>
      <c r="C34" s="67" t="s">
        <v>421</v>
      </c>
      <c r="D34" s="67"/>
      <c r="E34" s="67"/>
      <c r="F34" s="67"/>
      <c r="G34" s="11" t="str">
        <f>Pharmacy!M6</f>
        <v>Pass</v>
      </c>
    </row>
    <row r="35" spans="2:7" x14ac:dyDescent="0.25">
      <c r="B35" s="57" t="s">
        <v>485</v>
      </c>
      <c r="C35" s="67" t="s">
        <v>426</v>
      </c>
      <c r="D35" s="67"/>
      <c r="E35" s="67"/>
      <c r="F35" s="67"/>
      <c r="G35" s="11" t="str">
        <f>Pharmacy!M7</f>
        <v>Pass</v>
      </c>
    </row>
    <row r="36" spans="2:7" x14ac:dyDescent="0.25">
      <c r="B36" s="57" t="s">
        <v>486</v>
      </c>
      <c r="C36" s="67" t="s">
        <v>471</v>
      </c>
      <c r="D36" s="67"/>
      <c r="E36" s="67"/>
      <c r="F36" s="67"/>
      <c r="G36" s="11" t="str">
        <f>Pharmacy!M8</f>
        <v>Pass</v>
      </c>
    </row>
    <row r="37" spans="2:7" x14ac:dyDescent="0.25">
      <c r="B37" s="57" t="s">
        <v>487</v>
      </c>
      <c r="C37" s="67" t="s">
        <v>422</v>
      </c>
      <c r="D37" s="67"/>
      <c r="E37" s="67"/>
      <c r="F37" s="67"/>
      <c r="G37" s="11" t="str">
        <f>Quality_Metrics!M6</f>
        <v>Pass</v>
      </c>
    </row>
    <row r="38" spans="2:7" x14ac:dyDescent="0.25">
      <c r="B38" s="57" t="s">
        <v>498</v>
      </c>
      <c r="C38" s="67" t="s">
        <v>427</v>
      </c>
      <c r="D38" s="67"/>
      <c r="E38" s="67"/>
      <c r="F38" s="67"/>
      <c r="G38" s="11" t="str">
        <f>Quality_Metrics!M7</f>
        <v>Pass</v>
      </c>
    </row>
    <row r="39" spans="2:7" x14ac:dyDescent="0.25">
      <c r="B39" s="57" t="s">
        <v>499</v>
      </c>
      <c r="C39" s="67" t="s">
        <v>423</v>
      </c>
      <c r="D39" s="67"/>
      <c r="E39" s="67"/>
      <c r="F39" s="67"/>
      <c r="G39" s="11" t="str">
        <f>Scores!M6</f>
        <v>Pass</v>
      </c>
    </row>
    <row r="40" spans="2:7" x14ac:dyDescent="0.25">
      <c r="B40" s="57" t="s">
        <v>500</v>
      </c>
      <c r="C40" s="67" t="s">
        <v>428</v>
      </c>
      <c r="D40" s="67"/>
      <c r="E40" s="67"/>
      <c r="F40" s="67"/>
      <c r="G40" s="11" t="str">
        <f>Scores!M7</f>
        <v>Pass</v>
      </c>
    </row>
    <row r="41" spans="2:7" x14ac:dyDescent="0.25">
      <c r="B41" s="57" t="s">
        <v>520</v>
      </c>
      <c r="C41" s="67" t="s">
        <v>424</v>
      </c>
      <c r="D41" s="67"/>
      <c r="E41" s="67"/>
      <c r="F41" s="67"/>
      <c r="G41" s="11" t="str">
        <f>Visit!M6</f>
        <v>Pass</v>
      </c>
    </row>
    <row r="42" spans="2:7" x14ac:dyDescent="0.25">
      <c r="B42" s="57" t="s">
        <v>521</v>
      </c>
      <c r="C42" s="67" t="s">
        <v>429</v>
      </c>
      <c r="D42" s="67"/>
      <c r="E42" s="67"/>
      <c r="F42" s="67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07" priority="41" operator="equal">
      <formula>"Fail"</formula>
    </cfRule>
    <cfRule type="cellIs" dxfId="206" priority="42" operator="equal">
      <formula>"Pass"</formula>
    </cfRule>
  </conditionalFormatting>
  <conditionalFormatting sqref="F10 G14:G42">
    <cfRule type="cellIs" dxfId="205" priority="39" operator="equal">
      <formula>"Not Tested"</formula>
    </cfRule>
    <cfRule type="cellIs" dxfId="204" priority="40" operator="equal">
      <formula>"Partially Pass"</formula>
    </cfRule>
  </conditionalFormatting>
  <conditionalFormatting sqref="F10">
    <cfRule type="containsText" dxfId="203" priority="1" operator="containsText" text="Partially Pass">
      <formula>NOT(ISERROR(SEARCH("Partially Pass",F10)))</formula>
    </cfRule>
    <cfRule type="containsText" dxfId="202" priority="2" operator="containsText" text="Pass">
      <formula>NOT(ISERROR(SEARCH("Pass",F10)))</formula>
    </cfRule>
    <cfRule type="cellIs" dxfId="201" priority="25" operator="equal">
      <formula>"Not Tested"</formula>
    </cfRule>
    <cfRule type="cellIs" dxfId="200" priority="26" operator="equal">
      <formula>"Pending"</formula>
    </cfRule>
    <cfRule type="cellIs" dxfId="199" priority="27" operator="equal">
      <formula>"Ongoing"</formula>
    </cfRule>
    <cfRule type="cellIs" dxfId="198" priority="28" operator="equal">
      <formula>"Blocked"</formula>
    </cfRule>
    <cfRule type="cellIs" dxfId="197" priority="29" operator="equal">
      <formula>"Fail"</formula>
    </cfRule>
    <cfRule type="cellIs" dxfId="196" priority="30" operator="equal">
      <formula>"Partially Fail"</formula>
    </cfRule>
    <cfRule type="cellIs" dxfId="195" priority="31" operator="equal">
      <formula>"Pass"</formula>
    </cfRule>
  </conditionalFormatting>
  <conditionalFormatting sqref="F10">
    <cfRule type="cellIs" dxfId="194" priority="32" operator="equal">
      <formula>"Not Tested"</formula>
    </cfRule>
    <cfRule type="cellIs" dxfId="193" priority="33" operator="equal">
      <formula>"Pending"</formula>
    </cfRule>
    <cfRule type="cellIs" dxfId="192" priority="34" operator="equal">
      <formula>"Ongoing"</formula>
    </cfRule>
    <cfRule type="cellIs" dxfId="191" priority="35" operator="equal">
      <formula>"Blocked"</formula>
    </cfRule>
    <cfRule type="cellIs" dxfId="190" priority="36" operator="equal">
      <formula>"Fail"</formula>
    </cfRule>
    <cfRule type="cellIs" dxfId="189" priority="37" operator="equal">
      <formula>"Partially Pass"</formula>
    </cfRule>
    <cfRule type="cellIs" dxfId="188" priority="38" operator="equal">
      <formula>"Pass"</formula>
    </cfRule>
  </conditionalFormatting>
  <conditionalFormatting sqref="G42">
    <cfRule type="cellIs" dxfId="187" priority="5" operator="equal">
      <formula>"Fail"</formula>
    </cfRule>
    <cfRule type="cellIs" dxfId="186" priority="6" operator="equal">
      <formula>"Pass"</formula>
    </cfRule>
  </conditionalFormatting>
  <conditionalFormatting sqref="G42">
    <cfRule type="cellIs" dxfId="185" priority="3" operator="equal">
      <formula>"Not Tested"</formula>
    </cfRule>
    <cfRule type="cellIs" dxfId="184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0"/>
  <sheetViews>
    <sheetView showGridLines="0" workbookViewId="0">
      <pane ySplit="2" topLeftCell="A3" activePane="bottomLeft" state="frozen"/>
      <selection pane="bottomLeft" activeCell="B1" sqref="B1:C1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style="61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</cols>
  <sheetData>
    <row r="1" spans="2:13" x14ac:dyDescent="0.25">
      <c r="B1" s="72" t="s">
        <v>391</v>
      </c>
      <c r="C1" s="72"/>
      <c r="D1" s="72" t="s">
        <v>357</v>
      </c>
      <c r="E1" s="72"/>
      <c r="F1" s="73" t="s">
        <v>375</v>
      </c>
      <c r="G1" s="73" t="s">
        <v>360</v>
      </c>
      <c r="M1" s="26" t="s">
        <v>413</v>
      </c>
    </row>
    <row r="2" spans="2:13" x14ac:dyDescent="0.25">
      <c r="B2" s="15" t="s">
        <v>358</v>
      </c>
      <c r="C2" s="62" t="s">
        <v>359</v>
      </c>
      <c r="D2" s="15" t="s">
        <v>358</v>
      </c>
      <c r="E2" s="15" t="s">
        <v>359</v>
      </c>
      <c r="F2" s="73"/>
      <c r="G2" s="73"/>
      <c r="K2" s="24" t="s">
        <v>430</v>
      </c>
      <c r="L2" s="11" t="str">
        <f>IF(ISERROR(VLOOKUP($M$1,$G$2:$G$10,1,)),"Pass","Fail")</f>
        <v>Pass</v>
      </c>
    </row>
    <row r="3" spans="2:13" x14ac:dyDescent="0.25">
      <c r="B3" s="51" t="s">
        <v>503</v>
      </c>
      <c r="C3" s="59" t="s">
        <v>540</v>
      </c>
      <c r="D3" s="51" t="s">
        <v>503</v>
      </c>
      <c r="E3" s="60" t="s">
        <v>529</v>
      </c>
      <c r="F3" s="2">
        <f>IF(I3=0,0%,(I3-H3)/I3)</f>
        <v>-5.2447552447552883E-3</v>
      </c>
      <c r="G3" s="11" t="str">
        <f>IF(AND(F3&lt;=10%,F3&gt;=-10%),"Pass","Fail")</f>
        <v>Pass</v>
      </c>
      <c r="H3" s="52" t="str">
        <f>LEFT(C3, SEARCH(" ", C3, 1))</f>
        <v xml:space="preserve">23.00 </v>
      </c>
      <c r="I3" s="52" t="str">
        <f t="shared" ref="I3:I13" si="0">LEFT(E3, SEARCH(" ", E3, 1))</f>
        <v xml:space="preserve">22.88 </v>
      </c>
      <c r="K3" s="53"/>
      <c r="L3" s="37"/>
      <c r="M3" s="28"/>
    </row>
    <row r="4" spans="2:13" x14ac:dyDescent="0.25">
      <c r="B4" s="59" t="s">
        <v>488</v>
      </c>
      <c r="C4" s="59" t="s">
        <v>541</v>
      </c>
      <c r="D4" s="46" t="s">
        <v>488</v>
      </c>
      <c r="E4" s="60" t="s">
        <v>530</v>
      </c>
      <c r="F4" s="2">
        <f t="shared" ref="F4:F13" si="1">IF(I4=0,0%,(I4-H4)/I4)</f>
        <v>1.3081395348837189E-2</v>
      </c>
      <c r="G4" s="11" t="str">
        <f t="shared" ref="G4:G12" si="2">IF(AND(F4&lt;=10%,F4&gt;=-10%),"Pass","Fail")</f>
        <v>Pass</v>
      </c>
      <c r="H4" s="1" t="str">
        <f>LEFT(C4, SEARCH(" ", C4, 1))</f>
        <v xml:space="preserve">6.79 </v>
      </c>
      <c r="I4" s="1" t="str">
        <f t="shared" si="0"/>
        <v xml:space="preserve">6.88 </v>
      </c>
      <c r="M4" s="28"/>
    </row>
    <row r="5" spans="2:13" x14ac:dyDescent="0.25">
      <c r="B5" s="59" t="s">
        <v>73</v>
      </c>
      <c r="C5" s="59" t="s">
        <v>542</v>
      </c>
      <c r="D5" s="46" t="s">
        <v>73</v>
      </c>
      <c r="E5" s="60" t="s">
        <v>531</v>
      </c>
      <c r="F5" s="2">
        <f t="shared" si="1"/>
        <v>9.2680562287930215E-2</v>
      </c>
      <c r="G5" s="11" t="str">
        <f t="shared" si="2"/>
        <v>Pass</v>
      </c>
      <c r="H5" s="1" t="str">
        <f t="shared" ref="H5:H8" si="3">LEFT(C5, SEARCH(" ", C5, 1))</f>
        <v xml:space="preserve">93.59 </v>
      </c>
      <c r="I5" s="1" t="str">
        <f t="shared" si="0"/>
        <v xml:space="preserve">103.15 </v>
      </c>
      <c r="M5" s="28"/>
    </row>
    <row r="6" spans="2:13" x14ac:dyDescent="0.25">
      <c r="B6" s="59" t="s">
        <v>489</v>
      </c>
      <c r="C6" s="59" t="s">
        <v>543</v>
      </c>
      <c r="D6" s="46" t="s">
        <v>489</v>
      </c>
      <c r="E6" s="60" t="s">
        <v>532</v>
      </c>
      <c r="F6" s="2">
        <f t="shared" si="1"/>
        <v>1.3201320132013068E-2</v>
      </c>
      <c r="G6" s="11" t="str">
        <f t="shared" si="2"/>
        <v>Pass</v>
      </c>
      <c r="H6" s="1" t="str">
        <f t="shared" si="3"/>
        <v xml:space="preserve">2.99 </v>
      </c>
      <c r="I6" s="1" t="str">
        <f t="shared" si="0"/>
        <v xml:space="preserve">3.03 </v>
      </c>
      <c r="M6" s="28"/>
    </row>
    <row r="7" spans="2:13" x14ac:dyDescent="0.25">
      <c r="B7" s="59" t="s">
        <v>504</v>
      </c>
      <c r="C7" s="59" t="s">
        <v>544</v>
      </c>
      <c r="D7" s="49" t="s">
        <v>504</v>
      </c>
      <c r="E7" s="60" t="s">
        <v>533</v>
      </c>
      <c r="F7" s="2">
        <f t="shared" si="1"/>
        <v>6.8857965451055603E-2</v>
      </c>
      <c r="G7" s="11" t="str">
        <f t="shared" si="2"/>
        <v>Pass</v>
      </c>
      <c r="H7" s="52" t="str">
        <f t="shared" si="3"/>
        <v xml:space="preserve">38.81 </v>
      </c>
      <c r="I7" s="52" t="str">
        <f t="shared" si="0"/>
        <v xml:space="preserve">41.68 </v>
      </c>
      <c r="M7" s="28"/>
    </row>
    <row r="8" spans="2:13" x14ac:dyDescent="0.25">
      <c r="B8" s="59" t="s">
        <v>74</v>
      </c>
      <c r="C8" s="59" t="s">
        <v>545</v>
      </c>
      <c r="D8" s="46" t="s">
        <v>74</v>
      </c>
      <c r="E8" s="60" t="s">
        <v>534</v>
      </c>
      <c r="F8" s="2">
        <f t="shared" si="1"/>
        <v>3.260869565217394E-2</v>
      </c>
      <c r="G8" s="11" t="str">
        <f t="shared" si="2"/>
        <v>Pass</v>
      </c>
      <c r="H8" s="1" t="str">
        <f t="shared" si="3"/>
        <v xml:space="preserve">1.78 </v>
      </c>
      <c r="I8" s="1" t="str">
        <f t="shared" si="0"/>
        <v xml:space="preserve">1.84 </v>
      </c>
      <c r="M8" s="28"/>
    </row>
    <row r="9" spans="2:13" x14ac:dyDescent="0.25">
      <c r="B9" s="59" t="s">
        <v>75</v>
      </c>
      <c r="C9" s="59" t="s">
        <v>546</v>
      </c>
      <c r="D9" s="57" t="s">
        <v>75</v>
      </c>
      <c r="E9" s="60" t="s">
        <v>535</v>
      </c>
      <c r="F9" s="2">
        <f t="shared" si="1"/>
        <v>2.002002002002002E-3</v>
      </c>
      <c r="G9" s="11" t="str">
        <f t="shared" si="2"/>
        <v>Pass</v>
      </c>
      <c r="H9" s="1" t="str">
        <f>LEFT(C9, SEARCH(" ", C9, 1))</f>
        <v xml:space="preserve">997 </v>
      </c>
      <c r="I9" s="1" t="str">
        <f t="shared" si="0"/>
        <v xml:space="preserve">999 </v>
      </c>
      <c r="M9" s="28"/>
    </row>
    <row r="10" spans="2:13" x14ac:dyDescent="0.25">
      <c r="B10" s="59" t="s">
        <v>76</v>
      </c>
      <c r="C10" s="59" t="s">
        <v>547</v>
      </c>
      <c r="D10" s="57" t="s">
        <v>76</v>
      </c>
      <c r="E10" s="60" t="s">
        <v>536</v>
      </c>
      <c r="F10" s="2">
        <f t="shared" si="1"/>
        <v>3.6285058299194178E-2</v>
      </c>
      <c r="G10" s="11" t="str">
        <f t="shared" si="2"/>
        <v>Pass</v>
      </c>
      <c r="H10" s="1" t="str">
        <f>LEFT(C10, SEARCH(" ", C10, 1))</f>
        <v xml:space="preserve">214.07 </v>
      </c>
      <c r="I10" s="1" t="str">
        <f t="shared" si="0"/>
        <v xml:space="preserve">222.13 </v>
      </c>
      <c r="M10" s="28"/>
    </row>
    <row r="11" spans="2:13" x14ac:dyDescent="0.25">
      <c r="B11" s="59" t="s">
        <v>77</v>
      </c>
      <c r="C11" s="59" t="s">
        <v>548</v>
      </c>
      <c r="D11" s="57" t="s">
        <v>77</v>
      </c>
      <c r="E11" s="60" t="s">
        <v>537</v>
      </c>
      <c r="F11" s="2">
        <f t="shared" si="1"/>
        <v>3.2693498452012394E-2</v>
      </c>
      <c r="G11" s="11" t="str">
        <f t="shared" si="2"/>
        <v>Pass</v>
      </c>
      <c r="H11" s="46" t="str">
        <f t="shared" ref="H11:H13" si="4">LEFT(C11, SEARCH(" ", C11, 1))</f>
        <v xml:space="preserve">78.11 </v>
      </c>
      <c r="I11" s="46" t="str">
        <f t="shared" si="0"/>
        <v xml:space="preserve">80.75 </v>
      </c>
      <c r="M11" s="28"/>
    </row>
    <row r="12" spans="2:13" x14ac:dyDescent="0.25">
      <c r="B12" s="59" t="s">
        <v>78</v>
      </c>
      <c r="C12" s="59" t="s">
        <v>549</v>
      </c>
      <c r="D12" s="57" t="s">
        <v>78</v>
      </c>
      <c r="E12" s="60" t="s">
        <v>538</v>
      </c>
      <c r="F12" s="2">
        <f t="shared" si="1"/>
        <v>-3.1578947368421005E-2</v>
      </c>
      <c r="G12" s="11" t="str">
        <f t="shared" si="2"/>
        <v>Pass</v>
      </c>
      <c r="H12" s="46" t="str">
        <f t="shared" si="4"/>
        <v xml:space="preserve">2.94 </v>
      </c>
      <c r="I12" s="46" t="str">
        <f t="shared" si="0"/>
        <v xml:space="preserve">2.85 </v>
      </c>
      <c r="M12" s="28"/>
    </row>
    <row r="13" spans="2:13" x14ac:dyDescent="0.25">
      <c r="B13" s="59" t="s">
        <v>79</v>
      </c>
      <c r="C13" s="59" t="s">
        <v>550</v>
      </c>
      <c r="D13" s="57" t="s">
        <v>79</v>
      </c>
      <c r="E13" s="60" t="s">
        <v>539</v>
      </c>
      <c r="F13" s="2">
        <f t="shared" si="1"/>
        <v>2.1487603305785107E-2</v>
      </c>
      <c r="G13" s="11" t="str">
        <f>IF(AND(F13&lt;=10%,F13&gt;=-10%),"Pass","Fail")</f>
        <v>Pass</v>
      </c>
      <c r="H13" s="46" t="str">
        <f t="shared" si="4"/>
        <v xml:space="preserve">11.84 </v>
      </c>
      <c r="I13" s="46" t="str">
        <f t="shared" si="0"/>
        <v xml:space="preserve">12.10 </v>
      </c>
      <c r="M13" s="28"/>
    </row>
    <row r="14" spans="2:13" x14ac:dyDescent="0.25">
      <c r="M14" s="28"/>
    </row>
    <row r="15" spans="2:13" x14ac:dyDescent="0.25">
      <c r="M15" s="28"/>
    </row>
    <row r="16" spans="2:13" x14ac:dyDescent="0.25">
      <c r="K16" s="28"/>
      <c r="M16" s="28"/>
    </row>
    <row r="17" spans="2:13" x14ac:dyDescent="0.25">
      <c r="E17" s="28"/>
      <c r="M17" s="28"/>
    </row>
    <row r="18" spans="2:13" x14ac:dyDescent="0.25">
      <c r="M18" s="28"/>
    </row>
    <row r="19" spans="2:13" x14ac:dyDescent="0.25">
      <c r="B19" s="28"/>
      <c r="M19" s="28"/>
    </row>
    <row r="20" spans="2:13" x14ac:dyDescent="0.25">
      <c r="B20" s="28"/>
      <c r="M20" s="28"/>
    </row>
    <row r="21" spans="2:13" x14ac:dyDescent="0.25">
      <c r="B21" s="28"/>
      <c r="M21" s="28"/>
    </row>
    <row r="22" spans="2:13" x14ac:dyDescent="0.25">
      <c r="B22" s="28"/>
      <c r="M22" s="28"/>
    </row>
    <row r="23" spans="2:13" x14ac:dyDescent="0.25">
      <c r="B23" s="28"/>
      <c r="M23" s="28"/>
    </row>
    <row r="24" spans="2:13" x14ac:dyDescent="0.25">
      <c r="B24" s="28"/>
      <c r="M24" s="28"/>
    </row>
    <row r="25" spans="2:13" x14ac:dyDescent="0.25">
      <c r="B25" s="28"/>
      <c r="M25" s="28"/>
    </row>
    <row r="26" spans="2:13" x14ac:dyDescent="0.25">
      <c r="M26" s="28"/>
    </row>
    <row r="27" spans="2:13" x14ac:dyDescent="0.25">
      <c r="M27" s="28"/>
    </row>
    <row r="28" spans="2:13" x14ac:dyDescent="0.25">
      <c r="M28" s="28"/>
    </row>
    <row r="29" spans="2:13" x14ac:dyDescent="0.25">
      <c r="M29" s="28"/>
    </row>
    <row r="30" spans="2:13" x14ac:dyDescent="0.25">
      <c r="M30" s="28"/>
    </row>
  </sheetData>
  <mergeCells count="4">
    <mergeCell ref="B1:C1"/>
    <mergeCell ref="D1:E1"/>
    <mergeCell ref="G1:G2"/>
    <mergeCell ref="F1:F2"/>
  </mergeCells>
  <conditionalFormatting sqref="G3:G13">
    <cfRule type="cellIs" dxfId="183" priority="11" operator="equal">
      <formula>"Fail"</formula>
    </cfRule>
    <cfRule type="cellIs" dxfId="182" priority="12" operator="equal">
      <formula>"Pass"</formula>
    </cfRule>
  </conditionalFormatting>
  <conditionalFormatting sqref="L3">
    <cfRule type="cellIs" dxfId="181" priority="9" operator="equal">
      <formula>"Fail"</formula>
    </cfRule>
    <cfRule type="cellIs" dxfId="180" priority="10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workbookViewId="0">
      <pane ySplit="1" topLeftCell="A2" activePane="bottomLeft" state="frozen"/>
      <selection pane="bottomLeft" activeCell="M2" sqref="M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115617</v>
      </c>
      <c r="M2" s="59">
        <v>116165</v>
      </c>
      <c r="N2" s="22">
        <f>L2-M2</f>
        <v>-548</v>
      </c>
    </row>
    <row r="3" spans="2:15" x14ac:dyDescent="0.25">
      <c r="B3" s="49" t="s">
        <v>71</v>
      </c>
      <c r="C3" s="49" t="s">
        <v>399</v>
      </c>
      <c r="D3" s="11">
        <v>50</v>
      </c>
      <c r="E3" s="49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49" t="s">
        <v>0</v>
      </c>
      <c r="C4" s="49" t="s">
        <v>399</v>
      </c>
      <c r="D4" s="11">
        <v>50</v>
      </c>
      <c r="E4" s="49" t="s">
        <v>0</v>
      </c>
      <c r="F4" s="11">
        <v>19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0" t="s">
        <v>401</v>
      </c>
    </row>
    <row r="5" spans="2:15" x14ac:dyDescent="0.25">
      <c r="B5" s="49" t="s">
        <v>505</v>
      </c>
      <c r="C5" s="49" t="s">
        <v>399</v>
      </c>
      <c r="D5" s="11">
        <v>50</v>
      </c>
      <c r="E5" s="49" t="s">
        <v>505</v>
      </c>
      <c r="F5" s="11">
        <v>17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 x14ac:dyDescent="0.25">
      <c r="B6" s="49" t="s">
        <v>506</v>
      </c>
      <c r="C6" s="49" t="s">
        <v>399</v>
      </c>
      <c r="D6" s="11">
        <v>20</v>
      </c>
      <c r="E6" s="49" t="s">
        <v>506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 x14ac:dyDescent="0.25">
      <c r="B7" s="49" t="s">
        <v>507</v>
      </c>
      <c r="C7" s="49" t="s">
        <v>399</v>
      </c>
      <c r="D7" s="11">
        <v>10</v>
      </c>
      <c r="E7" s="49" t="s">
        <v>507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-4.7174277966685321E-3</v>
      </c>
    </row>
    <row r="8" spans="2:15" x14ac:dyDescent="0.25">
      <c r="B8" s="49" t="s">
        <v>8</v>
      </c>
      <c r="C8" s="49" t="s">
        <v>400</v>
      </c>
      <c r="D8" s="11"/>
      <c r="E8" s="49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-5.2447552447552883E-3</v>
      </c>
    </row>
    <row r="9" spans="2:15" x14ac:dyDescent="0.25">
      <c r="B9" s="49" t="s">
        <v>7</v>
      </c>
      <c r="C9" s="49" t="s">
        <v>399</v>
      </c>
      <c r="D9" s="11">
        <v>10</v>
      </c>
      <c r="E9" s="49" t="s">
        <v>7</v>
      </c>
      <c r="F9" s="11">
        <v>6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49" t="s">
        <v>508</v>
      </c>
      <c r="C10" s="49" t="s">
        <v>399</v>
      </c>
      <c r="D10" s="11">
        <v>10</v>
      </c>
      <c r="E10" s="49" t="s">
        <v>508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49" t="s">
        <v>509</v>
      </c>
      <c r="C11" s="49" t="s">
        <v>399</v>
      </c>
      <c r="D11" s="11">
        <v>50</v>
      </c>
      <c r="E11" s="49" t="s">
        <v>509</v>
      </c>
      <c r="F11" s="11">
        <v>22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 x14ac:dyDescent="0.25">
      <c r="B12" s="56" t="s">
        <v>510</v>
      </c>
      <c r="C12" s="49" t="s">
        <v>399</v>
      </c>
      <c r="D12" s="45">
        <v>50</v>
      </c>
      <c r="E12" s="49" t="s">
        <v>510</v>
      </c>
      <c r="F12" s="45">
        <v>10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6" t="s">
        <v>511</v>
      </c>
      <c r="C13" s="49" t="s">
        <v>399</v>
      </c>
      <c r="D13" s="45">
        <v>2</v>
      </c>
      <c r="E13" s="49" t="s">
        <v>511</v>
      </c>
      <c r="F13" s="45">
        <v>2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49" t="s">
        <v>512</v>
      </c>
      <c r="C14" s="49" t="s">
        <v>399</v>
      </c>
      <c r="D14" s="11">
        <v>3</v>
      </c>
      <c r="E14" s="49" t="s">
        <v>512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49" t="s">
        <v>513</v>
      </c>
      <c r="C15" s="49" t="s">
        <v>400</v>
      </c>
      <c r="D15" s="11"/>
      <c r="E15" s="49" t="s">
        <v>513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49" t="s">
        <v>514</v>
      </c>
      <c r="C16" s="49" t="s">
        <v>399</v>
      </c>
      <c r="D16" s="11">
        <v>50</v>
      </c>
      <c r="E16" s="49" t="s">
        <v>514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32" t="s">
        <v>515</v>
      </c>
      <c r="C17" s="32" t="s">
        <v>399</v>
      </c>
      <c r="D17" s="55">
        <v>94</v>
      </c>
      <c r="E17" s="32" t="s">
        <v>515</v>
      </c>
      <c r="F17" s="55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49" t="s">
        <v>516</v>
      </c>
      <c r="C18" s="49" t="s">
        <v>399</v>
      </c>
      <c r="D18" s="11">
        <v>50</v>
      </c>
      <c r="E18" s="49" t="s">
        <v>516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49" t="s">
        <v>517</v>
      </c>
      <c r="C19" s="49" t="s">
        <v>399</v>
      </c>
      <c r="D19" s="11">
        <v>50</v>
      </c>
      <c r="E19" s="49" t="s">
        <v>517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4.85546875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398</v>
      </c>
      <c r="D2" s="11"/>
      <c r="E2" s="44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29613</v>
      </c>
      <c r="M2" s="19">
        <v>29303</v>
      </c>
      <c r="N2" s="22">
        <f>L2-M2</f>
        <v>310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7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45">
        <v>20</v>
      </c>
      <c r="E6" s="44" t="s">
        <v>0</v>
      </c>
      <c r="F6" s="11">
        <v>19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32" t="s">
        <v>2</v>
      </c>
      <c r="C7" s="32" t="s">
        <v>399</v>
      </c>
      <c r="D7" s="55">
        <v>22</v>
      </c>
      <c r="E7" s="32" t="s">
        <v>2</v>
      </c>
      <c r="F7" s="55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1.0579121591645906E-2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17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1.3081395348837189E-2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399</v>
      </c>
      <c r="D10" s="11">
        <v>100</v>
      </c>
      <c r="E10" s="44" t="s">
        <v>5</v>
      </c>
      <c r="F10" s="11">
        <v>19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0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0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22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78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33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style="63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8">
        <v>20</v>
      </c>
      <c r="E2" s="1" t="s">
        <v>0</v>
      </c>
      <c r="F2" s="11">
        <v>19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202475</v>
      </c>
      <c r="M2" s="21">
        <v>202475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58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183840</v>
      </c>
      <c r="N3" s="22">
        <f>L2-M3</f>
        <v>18635</v>
      </c>
    </row>
    <row r="4" spans="2:15" x14ac:dyDescent="0.25">
      <c r="B4" s="32" t="s">
        <v>2</v>
      </c>
      <c r="C4" s="32" t="s">
        <v>399</v>
      </c>
      <c r="D4" s="55">
        <v>22</v>
      </c>
      <c r="E4" s="32" t="s">
        <v>2</v>
      </c>
      <c r="F4" s="55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4"/>
    </row>
    <row r="5" spans="2:15" x14ac:dyDescent="0.25">
      <c r="B5" s="1" t="s">
        <v>3</v>
      </c>
      <c r="C5" s="17" t="s">
        <v>399</v>
      </c>
      <c r="D5" s="58">
        <v>30</v>
      </c>
      <c r="E5" s="1" t="s">
        <v>3</v>
      </c>
      <c r="F5" s="11">
        <v>17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58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58">
        <v>30</v>
      </c>
      <c r="E7" s="1" t="s">
        <v>5</v>
      </c>
      <c r="F7" s="11">
        <v>19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58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0.10136531766753699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9.2680562287930215E-2</v>
      </c>
    </row>
    <row r="11" spans="2:15" x14ac:dyDescent="0.25">
      <c r="B11" s="1" t="s">
        <v>9</v>
      </c>
      <c r="C11" s="17" t="s">
        <v>399</v>
      </c>
      <c r="D11" s="58">
        <v>50</v>
      </c>
      <c r="E11" s="1" t="s">
        <v>9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58">
        <v>50</v>
      </c>
      <c r="E12" s="1" t="s">
        <v>10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58">
        <v>100</v>
      </c>
      <c r="E13" s="1" t="s">
        <v>11</v>
      </c>
      <c r="F13" s="11">
        <v>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58">
        <v>20</v>
      </c>
      <c r="E14" s="1" t="s">
        <v>12</v>
      </c>
      <c r="F14" s="11">
        <v>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58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58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58">
        <v>15</v>
      </c>
      <c r="E17" s="1" t="s">
        <v>15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58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58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58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32" t="s">
        <v>19</v>
      </c>
      <c r="C21" s="32" t="s">
        <v>399</v>
      </c>
      <c r="D21" s="55">
        <v>22</v>
      </c>
      <c r="E21" s="32" t="s">
        <v>19</v>
      </c>
      <c r="F21" s="55">
        <v>22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58">
        <v>20</v>
      </c>
      <c r="E22" s="1" t="s">
        <v>20</v>
      </c>
      <c r="F22" s="11">
        <v>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58">
        <v>255</v>
      </c>
      <c r="E23" s="1" t="s">
        <v>21</v>
      </c>
      <c r="F23" s="11">
        <v>25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58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58">
        <v>50</v>
      </c>
      <c r="E25" s="1" t="s">
        <v>23</v>
      </c>
      <c r="F25" s="11">
        <v>40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58">
        <v>20</v>
      </c>
      <c r="E26" s="1" t="s">
        <v>24</v>
      </c>
      <c r="F26" s="11">
        <v>3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58">
        <v>50</v>
      </c>
      <c r="E27" s="1" t="s">
        <v>25</v>
      </c>
      <c r="F27" s="11">
        <v>41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56" t="s">
        <v>26</v>
      </c>
      <c r="C28" s="17" t="s">
        <v>399</v>
      </c>
      <c r="D28" s="58">
        <v>20</v>
      </c>
      <c r="E28" s="1" t="s">
        <v>26</v>
      </c>
      <c r="F28" s="11">
        <v>13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58">
        <v>100</v>
      </c>
      <c r="E29" s="1" t="s">
        <v>27</v>
      </c>
      <c r="F29" s="11">
        <v>14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58">
        <v>20</v>
      </c>
      <c r="E30" s="1" t="s">
        <v>28</v>
      </c>
      <c r="F30" s="11">
        <v>13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58">
        <v>50</v>
      </c>
      <c r="E31" s="1" t="s">
        <v>29</v>
      </c>
      <c r="F31" s="11">
        <v>31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56" t="s">
        <v>30</v>
      </c>
      <c r="C32" s="17" t="s">
        <v>399</v>
      </c>
      <c r="D32" s="58">
        <v>20</v>
      </c>
      <c r="E32" s="1" t="s">
        <v>30</v>
      </c>
      <c r="F32" s="11">
        <v>8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58">
        <v>100</v>
      </c>
      <c r="E33" s="1" t="s">
        <v>31</v>
      </c>
      <c r="F33" s="11">
        <v>56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58">
        <v>2</v>
      </c>
      <c r="E34" s="1" t="s">
        <v>32</v>
      </c>
      <c r="F34" s="11">
        <v>1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58">
        <v>30</v>
      </c>
      <c r="E35" s="1" t="s">
        <v>33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58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58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58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58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58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58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58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58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58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58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58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58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58">
        <v>50</v>
      </c>
      <c r="E48" s="1" t="s">
        <v>46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58">
        <v>100</v>
      </c>
      <c r="E49" s="1" t="s">
        <v>47</v>
      </c>
      <c r="F49" s="11">
        <v>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58">
        <v>30</v>
      </c>
      <c r="E50" s="1" t="s">
        <v>48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58">
        <v>30</v>
      </c>
      <c r="E51" s="1" t="s">
        <v>49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58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58">
        <v>100</v>
      </c>
      <c r="E53" s="1" t="s">
        <v>51</v>
      </c>
      <c r="F53" s="11">
        <v>30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58">
        <v>100</v>
      </c>
      <c r="E54" s="1" t="s">
        <v>52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58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58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58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58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58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58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58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58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58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58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58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58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58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58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58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58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58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58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58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58">
        <v>500</v>
      </c>
      <c r="E74" s="31" t="s">
        <v>86</v>
      </c>
      <c r="F74" s="11">
        <v>78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58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58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58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58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58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58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58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58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58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58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58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58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58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58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58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58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58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58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58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58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29613</v>
      </c>
      <c r="M2" s="19">
        <v>29303</v>
      </c>
      <c r="N2" s="22">
        <f>L2-M2</f>
        <v>310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6" t="s">
        <v>0</v>
      </c>
      <c r="C6" s="46" t="s">
        <v>399</v>
      </c>
      <c r="D6" s="58">
        <v>20</v>
      </c>
      <c r="E6" s="46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6" t="s">
        <v>478</v>
      </c>
      <c r="C7" s="46" t="s">
        <v>399</v>
      </c>
      <c r="D7" s="11">
        <v>10</v>
      </c>
      <c r="E7" s="46" t="s">
        <v>522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1.0579121591645906E-2</v>
      </c>
    </row>
    <row r="8" spans="2:15" x14ac:dyDescent="0.25">
      <c r="B8" s="46" t="s">
        <v>479</v>
      </c>
      <c r="C8" s="46" t="s">
        <v>399</v>
      </c>
      <c r="D8" s="11">
        <v>50</v>
      </c>
      <c r="E8" s="46" t="s">
        <v>523</v>
      </c>
      <c r="F8" s="11">
        <v>23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1.3201320132013068E-2</v>
      </c>
    </row>
    <row r="9" spans="2:15" x14ac:dyDescent="0.25">
      <c r="B9" s="46" t="s">
        <v>480</v>
      </c>
      <c r="C9" s="46" t="s">
        <v>399</v>
      </c>
      <c r="D9" s="11">
        <v>50</v>
      </c>
      <c r="E9" s="46" t="s">
        <v>524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6" t="s">
        <v>481</v>
      </c>
      <c r="C10" s="46" t="s">
        <v>399</v>
      </c>
      <c r="D10" s="11">
        <v>50</v>
      </c>
      <c r="E10" s="46" t="s">
        <v>525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topLeftCell="B1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9" t="s">
        <v>83</v>
      </c>
      <c r="C2" s="49" t="s">
        <v>398</v>
      </c>
      <c r="D2" s="11"/>
      <c r="E2" s="49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49" t="s">
        <v>84</v>
      </c>
      <c r="C3" s="49" t="s">
        <v>399</v>
      </c>
      <c r="D3" s="11">
        <v>50</v>
      </c>
      <c r="E3" s="49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265095</v>
      </c>
      <c r="M3" s="19">
        <v>246826</v>
      </c>
      <c r="N3" s="22">
        <f>L3-M3</f>
        <v>18269</v>
      </c>
    </row>
    <row r="4" spans="2:15" x14ac:dyDescent="0.25">
      <c r="B4" s="49" t="s">
        <v>85</v>
      </c>
      <c r="C4" s="49" t="s">
        <v>399</v>
      </c>
      <c r="D4" s="11">
        <v>50</v>
      </c>
      <c r="E4" s="49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49" t="s">
        <v>71</v>
      </c>
      <c r="C5" s="49" t="s">
        <v>399</v>
      </c>
      <c r="D5" s="11">
        <v>50</v>
      </c>
      <c r="E5" s="49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0" t="s">
        <v>401</v>
      </c>
    </row>
    <row r="6" spans="2:15" x14ac:dyDescent="0.25">
      <c r="B6" s="49" t="s">
        <v>0</v>
      </c>
      <c r="C6" s="49" t="s">
        <v>399</v>
      </c>
      <c r="D6" s="58">
        <v>20</v>
      </c>
      <c r="E6" s="49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49" t="s">
        <v>89</v>
      </c>
      <c r="C7" s="49" t="s">
        <v>399</v>
      </c>
      <c r="D7" s="11">
        <v>50</v>
      </c>
      <c r="E7" s="49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49" t="s">
        <v>90</v>
      </c>
      <c r="C8" s="49" t="s">
        <v>400</v>
      </c>
      <c r="D8" s="11"/>
      <c r="E8" s="49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7.4015703369985336E-2</v>
      </c>
    </row>
    <row r="9" spans="2:15" x14ac:dyDescent="0.25">
      <c r="B9" s="49" t="s">
        <v>91</v>
      </c>
      <c r="C9" s="49" t="s">
        <v>400</v>
      </c>
      <c r="D9" s="11"/>
      <c r="E9" s="49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6.8857965451055603E-2</v>
      </c>
    </row>
    <row r="10" spans="2:15" x14ac:dyDescent="0.25">
      <c r="B10" s="49" t="s">
        <v>92</v>
      </c>
      <c r="C10" s="49" t="s">
        <v>399</v>
      </c>
      <c r="D10" s="11">
        <v>50</v>
      </c>
      <c r="E10" s="49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49" t="s">
        <v>93</v>
      </c>
      <c r="C11" s="49" t="s">
        <v>399</v>
      </c>
      <c r="D11" s="11">
        <v>50</v>
      </c>
      <c r="E11" s="49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49" t="s">
        <v>94</v>
      </c>
      <c r="C12" s="49" t="s">
        <v>399</v>
      </c>
      <c r="D12" s="11">
        <v>50</v>
      </c>
      <c r="E12" s="49" t="s">
        <v>94</v>
      </c>
      <c r="F12" s="1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49" t="s">
        <v>95</v>
      </c>
      <c r="C13" s="49" t="s">
        <v>399</v>
      </c>
      <c r="D13" s="11">
        <v>50</v>
      </c>
      <c r="E13" s="49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49" t="s">
        <v>96</v>
      </c>
      <c r="C14" s="49" t="s">
        <v>399</v>
      </c>
      <c r="D14" s="11">
        <v>50</v>
      </c>
      <c r="E14" s="49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49" t="s">
        <v>97</v>
      </c>
      <c r="C15" s="49" t="s">
        <v>399</v>
      </c>
      <c r="D15" s="11">
        <v>50</v>
      </c>
      <c r="E15" s="49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49" t="s">
        <v>98</v>
      </c>
      <c r="C16" s="49" t="s">
        <v>399</v>
      </c>
      <c r="D16" s="11">
        <v>50</v>
      </c>
      <c r="E16" s="49" t="s">
        <v>98</v>
      </c>
      <c r="F16" s="11">
        <v>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49" t="s">
        <v>99</v>
      </c>
      <c r="C17" s="49" t="s">
        <v>399</v>
      </c>
      <c r="D17" s="11">
        <v>50</v>
      </c>
      <c r="E17" s="49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49" t="s">
        <v>100</v>
      </c>
      <c r="C18" s="49" t="s">
        <v>399</v>
      </c>
      <c r="D18" s="11">
        <v>50</v>
      </c>
      <c r="E18" s="49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49" t="s">
        <v>101</v>
      </c>
      <c r="C19" s="49" t="s">
        <v>399</v>
      </c>
      <c r="D19" s="11">
        <v>50</v>
      </c>
      <c r="E19" s="49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49" t="s">
        <v>102</v>
      </c>
      <c r="C20" s="49" t="s">
        <v>399</v>
      </c>
      <c r="D20" s="11">
        <v>50</v>
      </c>
      <c r="E20" s="49" t="s">
        <v>102</v>
      </c>
      <c r="F20" s="11">
        <v>6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49" t="s">
        <v>103</v>
      </c>
      <c r="C21" s="49" t="s">
        <v>399</v>
      </c>
      <c r="D21" s="11">
        <v>50</v>
      </c>
      <c r="E21" s="49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49" t="s">
        <v>104</v>
      </c>
      <c r="C22" s="49" t="s">
        <v>399</v>
      </c>
      <c r="D22" s="11">
        <v>50</v>
      </c>
      <c r="E22" s="49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49" t="s">
        <v>105</v>
      </c>
      <c r="C23" s="49" t="s">
        <v>399</v>
      </c>
      <c r="D23" s="11">
        <v>50</v>
      </c>
      <c r="E23" s="49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49" t="s">
        <v>106</v>
      </c>
      <c r="C24" s="49" t="s">
        <v>399</v>
      </c>
      <c r="D24" s="11">
        <v>50</v>
      </c>
      <c r="E24" s="49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49" t="s">
        <v>107</v>
      </c>
      <c r="C25" s="49" t="s">
        <v>399</v>
      </c>
      <c r="D25" s="11">
        <v>50</v>
      </c>
      <c r="E25" s="49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49" t="s">
        <v>108</v>
      </c>
      <c r="C26" s="49" t="s">
        <v>399</v>
      </c>
      <c r="D26" s="11">
        <v>50</v>
      </c>
      <c r="E26" s="49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style="63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32" t="s">
        <v>109</v>
      </c>
      <c r="C2" s="32" t="s">
        <v>399</v>
      </c>
      <c r="D2" s="55">
        <v>37</v>
      </c>
      <c r="E2" s="32" t="s">
        <v>109</v>
      </c>
      <c r="F2" s="55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1059136</v>
      </c>
      <c r="M2" s="21">
        <v>1059136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58">
        <v>25</v>
      </c>
      <c r="E3" s="1" t="s">
        <v>110</v>
      </c>
      <c r="F3" s="11">
        <v>11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1025013</v>
      </c>
      <c r="N3" s="22">
        <f>L2-M3</f>
        <v>34123</v>
      </c>
    </row>
    <row r="4" spans="2:15" x14ac:dyDescent="0.25">
      <c r="B4" s="1" t="s">
        <v>111</v>
      </c>
      <c r="C4" s="17" t="s">
        <v>399</v>
      </c>
      <c r="D4" s="58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58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58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58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58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58">
        <v>50</v>
      </c>
      <c r="E9" s="1" t="s">
        <v>23</v>
      </c>
      <c r="F9" s="11">
        <v>40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3.3290309488757705E-2</v>
      </c>
    </row>
    <row r="10" spans="2:15" x14ac:dyDescent="0.25">
      <c r="B10" s="1" t="s">
        <v>24</v>
      </c>
      <c r="C10" s="17" t="s">
        <v>399</v>
      </c>
      <c r="D10" s="58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3.260869565217394E-2</v>
      </c>
    </row>
    <row r="11" spans="2:15" x14ac:dyDescent="0.25">
      <c r="B11" s="1" t="s">
        <v>25</v>
      </c>
      <c r="C11" s="17" t="s">
        <v>399</v>
      </c>
      <c r="D11" s="58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56" t="s">
        <v>26</v>
      </c>
      <c r="C12" s="17" t="s">
        <v>399</v>
      </c>
      <c r="D12" s="58">
        <v>20</v>
      </c>
      <c r="E12" s="1" t="s">
        <v>26</v>
      </c>
      <c r="F12" s="11">
        <v>13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58">
        <v>20</v>
      </c>
      <c r="E13" s="1" t="s">
        <v>28</v>
      </c>
      <c r="F13" s="11">
        <v>13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58">
        <v>50</v>
      </c>
      <c r="E14" s="1" t="s">
        <v>29</v>
      </c>
      <c r="F14" s="11">
        <v>31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56" t="s">
        <v>30</v>
      </c>
      <c r="C15" s="17" t="s">
        <v>399</v>
      </c>
      <c r="D15" s="58">
        <v>20</v>
      </c>
      <c r="E15" s="1" t="s">
        <v>30</v>
      </c>
      <c r="F15" s="11">
        <v>8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58">
        <v>100</v>
      </c>
      <c r="E16" s="1" t="s">
        <v>31</v>
      </c>
      <c r="F16" s="11">
        <v>56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58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58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8">
        <v>20</v>
      </c>
      <c r="E19" s="1" t="s">
        <v>0</v>
      </c>
      <c r="F19" s="1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32" t="s">
        <v>2</v>
      </c>
      <c r="C20" s="32" t="s">
        <v>399</v>
      </c>
      <c r="D20" s="55">
        <v>22</v>
      </c>
      <c r="E20" s="32" t="s">
        <v>2</v>
      </c>
      <c r="F20" s="55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58">
        <v>30</v>
      </c>
      <c r="E21" s="1" t="s">
        <v>3</v>
      </c>
      <c r="F21" s="11">
        <v>17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58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58">
        <v>30</v>
      </c>
      <c r="E23" s="1" t="s">
        <v>5</v>
      </c>
      <c r="F23" s="11">
        <v>18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58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58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58">
        <v>50</v>
      </c>
      <c r="E26" s="1" t="s">
        <v>9</v>
      </c>
      <c r="F26" s="11">
        <v>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58">
        <v>50</v>
      </c>
      <c r="E27" s="1" t="s">
        <v>10</v>
      </c>
      <c r="F27" s="11">
        <v>0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58">
        <v>50</v>
      </c>
      <c r="E28" s="1" t="s">
        <v>11</v>
      </c>
      <c r="F28" s="11">
        <v>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58">
        <v>20</v>
      </c>
      <c r="E29" s="1" t="s">
        <v>12</v>
      </c>
      <c r="F29" s="11">
        <v>0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58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58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58">
        <v>15</v>
      </c>
      <c r="E32" s="1" t="s">
        <v>15</v>
      </c>
      <c r="F32" s="11">
        <v>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58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58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58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32" t="s">
        <v>19</v>
      </c>
      <c r="C36" s="32" t="s">
        <v>399</v>
      </c>
      <c r="D36" s="55">
        <v>22</v>
      </c>
      <c r="E36" s="32" t="s">
        <v>19</v>
      </c>
      <c r="F36" s="55">
        <v>22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8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58">
        <v>30</v>
      </c>
      <c r="E38" s="1" t="s">
        <v>114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58">
        <v>30</v>
      </c>
      <c r="E39" s="1" t="s">
        <v>115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58">
        <v>70</v>
      </c>
      <c r="E40" s="1" t="s">
        <v>116</v>
      </c>
      <c r="F40" s="11">
        <v>45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58">
        <v>100</v>
      </c>
      <c r="E41" s="1" t="s">
        <v>117</v>
      </c>
      <c r="F41" s="11">
        <v>10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58">
        <v>30</v>
      </c>
      <c r="E42" s="1" t="s">
        <v>118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58">
        <v>40</v>
      </c>
      <c r="E43" s="1" t="s">
        <v>119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58">
        <v>2</v>
      </c>
      <c r="E44" s="1" t="s">
        <v>120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58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58">
        <v>10</v>
      </c>
      <c r="E46" s="1" t="s">
        <v>122</v>
      </c>
      <c r="F46" s="11">
        <v>1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58">
        <v>50</v>
      </c>
      <c r="E47" s="1" t="s">
        <v>123</v>
      </c>
      <c r="F47" s="11">
        <v>7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58">
        <v>20</v>
      </c>
      <c r="E48" s="1" t="s">
        <v>124</v>
      </c>
      <c r="F48" s="11">
        <v>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58">
        <v>10</v>
      </c>
      <c r="E49" s="1" t="s">
        <v>125</v>
      </c>
      <c r="F49" s="11">
        <v>2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58">
        <v>100</v>
      </c>
      <c r="E50" s="1" t="s">
        <v>126</v>
      </c>
      <c r="F50" s="11">
        <v>49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58">
        <v>10</v>
      </c>
      <c r="E51" s="1" t="s">
        <v>127</v>
      </c>
      <c r="F51" s="11">
        <v>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58">
        <v>100</v>
      </c>
      <c r="E52" s="1" t="s">
        <v>128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58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58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58">
        <v>128</v>
      </c>
      <c r="E55" s="1" t="s">
        <v>131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58">
        <v>128</v>
      </c>
      <c r="E56" s="1" t="s">
        <v>132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58">
        <v>32</v>
      </c>
      <c r="E57" s="1" t="s">
        <v>133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58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56" t="s">
        <v>135</v>
      </c>
      <c r="C59" s="17" t="s">
        <v>399</v>
      </c>
      <c r="D59" s="58">
        <v>2</v>
      </c>
      <c r="E59" s="1" t="s">
        <v>135</v>
      </c>
      <c r="F59" s="11">
        <v>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58">
        <v>10</v>
      </c>
      <c r="E60" s="1" t="s">
        <v>136</v>
      </c>
      <c r="F60" s="11">
        <v>3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58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58">
        <v>30</v>
      </c>
      <c r="E62" s="1" t="s">
        <v>46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58">
        <v>100</v>
      </c>
      <c r="E63" s="1" t="s">
        <v>47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58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58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58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58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58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58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58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58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58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58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58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58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58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58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58">
        <v>30</v>
      </c>
      <c r="E78" s="1" t="s">
        <v>150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58">
        <v>100</v>
      </c>
      <c r="E79" s="1" t="s">
        <v>151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58">
        <v>30</v>
      </c>
      <c r="E80" s="1" t="s">
        <v>152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58">
        <v>100</v>
      </c>
      <c r="E81" s="1" t="s">
        <v>153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58">
        <v>30</v>
      </c>
      <c r="E82" s="1" t="s">
        <v>154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58">
        <v>100</v>
      </c>
      <c r="E83" s="1" t="s">
        <v>155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58">
        <v>30</v>
      </c>
      <c r="E84" s="1" t="s">
        <v>156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58">
        <v>100</v>
      </c>
      <c r="E85" s="1" t="s">
        <v>157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58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58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58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58">
        <v>5</v>
      </c>
      <c r="E89" s="1" t="s">
        <v>161</v>
      </c>
      <c r="F89" s="11">
        <v>5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58">
        <v>100</v>
      </c>
      <c r="E90" s="1" t="s">
        <v>162</v>
      </c>
      <c r="F90" s="11">
        <v>87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58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58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58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58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32" t="s">
        <v>167</v>
      </c>
      <c r="C95" s="32" t="s">
        <v>399</v>
      </c>
      <c r="D95" s="55">
        <v>7</v>
      </c>
      <c r="E95" s="32" t="s">
        <v>167</v>
      </c>
      <c r="F95" s="55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58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58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58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58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58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58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32" t="s">
        <v>174</v>
      </c>
      <c r="C102" s="32" t="s">
        <v>399</v>
      </c>
      <c r="D102" s="55">
        <v>200</v>
      </c>
      <c r="E102" s="32" t="s">
        <v>174</v>
      </c>
      <c r="F102" s="55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58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58">
        <v>100</v>
      </c>
      <c r="E104" s="1" t="s">
        <v>176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58">
        <v>8</v>
      </c>
      <c r="E105" s="1" t="s">
        <v>177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58">
        <v>100</v>
      </c>
      <c r="E106" s="1" t="s">
        <v>178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58">
        <v>8</v>
      </c>
      <c r="E107" s="1" t="s">
        <v>179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58">
        <v>100</v>
      </c>
      <c r="E108" s="1" t="s">
        <v>180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58">
        <v>5</v>
      </c>
      <c r="E109" s="33" t="s">
        <v>181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58">
        <v>100</v>
      </c>
      <c r="E110" s="1" t="s">
        <v>182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58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56" t="s">
        <v>184</v>
      </c>
      <c r="C112" s="17" t="s">
        <v>399</v>
      </c>
      <c r="D112" s="58">
        <v>100</v>
      </c>
      <c r="E112" s="31" t="s">
        <v>184</v>
      </c>
      <c r="F112" s="11">
        <v>80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58"/>
      <c r="E113" s="1" t="s">
        <v>185</v>
      </c>
      <c r="F113" s="11">
        <v>6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58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58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8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58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58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58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58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58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58">
        <v>100</v>
      </c>
      <c r="E122" s="1" t="s">
        <v>194</v>
      </c>
      <c r="F122" s="11">
        <v>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58" t="s">
        <v>456</v>
      </c>
      <c r="E123" s="1" t="s">
        <v>195</v>
      </c>
      <c r="F123" s="11">
        <v>4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58" t="s">
        <v>456</v>
      </c>
      <c r="E124" s="1" t="s">
        <v>196</v>
      </c>
      <c r="F124" s="11">
        <v>4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58" t="s">
        <v>456</v>
      </c>
      <c r="E125" s="1" t="s">
        <v>197</v>
      </c>
      <c r="F125" s="11">
        <v>4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58" t="s">
        <v>456</v>
      </c>
      <c r="E126" s="1" t="s">
        <v>198</v>
      </c>
      <c r="F126" s="11">
        <v>4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58" t="s">
        <v>457</v>
      </c>
      <c r="E127" s="1" t="s">
        <v>199</v>
      </c>
      <c r="F127" s="11">
        <v>4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58" t="s">
        <v>456</v>
      </c>
      <c r="E128" s="1" t="s">
        <v>200</v>
      </c>
      <c r="F128" s="11">
        <v>4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58" t="s">
        <v>456</v>
      </c>
      <c r="E129" s="1" t="s">
        <v>201</v>
      </c>
      <c r="F129" s="11">
        <v>4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58" t="s">
        <v>298</v>
      </c>
      <c r="E130" s="1" t="s">
        <v>202</v>
      </c>
      <c r="F130" s="11">
        <v>4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58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58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58" t="s">
        <v>456</v>
      </c>
      <c r="E133" s="1" t="s">
        <v>205</v>
      </c>
      <c r="F133" s="11">
        <v>10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58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58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58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58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58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58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58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58">
        <v>3</v>
      </c>
      <c r="E141" s="1" t="s">
        <v>211</v>
      </c>
      <c r="F141" s="11">
        <v>0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58">
        <v>100</v>
      </c>
      <c r="E142" s="1" t="s">
        <v>212</v>
      </c>
      <c r="F142" s="11">
        <v>0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58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58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58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58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58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58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58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58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58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58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58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58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58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58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58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58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58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58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58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58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32" t="s">
        <v>88</v>
      </c>
      <c r="C163" s="32" t="s">
        <v>399</v>
      </c>
      <c r="D163" s="55">
        <v>33</v>
      </c>
      <c r="E163" s="32" t="s">
        <v>88</v>
      </c>
      <c r="F163" s="55">
        <v>33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58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58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58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58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58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58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58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58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58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58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58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58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58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58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58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58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58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58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58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58">
        <v>100</v>
      </c>
      <c r="E183" s="1" t="s">
        <v>230</v>
      </c>
      <c r="F183" s="11">
        <v>45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58">
        <v>100</v>
      </c>
      <c r="E184" s="1" t="s">
        <v>231</v>
      </c>
      <c r="F184" s="11">
        <v>45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58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58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58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58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58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58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58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58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58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58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58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58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58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58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58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58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58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58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58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58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58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58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58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58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58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58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58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58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58">
        <v>100</v>
      </c>
      <c r="E213" s="1" t="s">
        <v>260</v>
      </c>
      <c r="F213" s="11">
        <v>0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58">
        <v>100</v>
      </c>
      <c r="E214" s="1" t="s">
        <v>261</v>
      </c>
      <c r="F214" s="11">
        <v>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58">
        <v>100</v>
      </c>
      <c r="E215" s="1" t="s">
        <v>262</v>
      </c>
      <c r="F215" s="11">
        <v>0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58">
        <v>100</v>
      </c>
      <c r="E216" s="1" t="s">
        <v>263</v>
      </c>
      <c r="F216" s="11">
        <v>0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58">
        <v>100</v>
      </c>
      <c r="E217" s="1" t="s">
        <v>264</v>
      </c>
      <c r="F217" s="11">
        <v>0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58">
        <v>100</v>
      </c>
      <c r="E218" s="1" t="s">
        <v>265</v>
      </c>
      <c r="F218" s="11">
        <v>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58">
        <v>100</v>
      </c>
      <c r="E219" s="1" t="s">
        <v>266</v>
      </c>
      <c r="F219" s="11">
        <v>0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58">
        <v>100</v>
      </c>
      <c r="E220" s="1" t="s">
        <v>267</v>
      </c>
      <c r="F220" s="11">
        <v>0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58">
        <v>100</v>
      </c>
      <c r="E221" s="1" t="s">
        <v>268</v>
      </c>
      <c r="F221" s="11">
        <v>0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58">
        <v>100</v>
      </c>
      <c r="E222" s="1" t="s">
        <v>269</v>
      </c>
      <c r="F222" s="11">
        <v>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58">
        <v>100</v>
      </c>
      <c r="E223" s="1" t="s">
        <v>270</v>
      </c>
      <c r="F223" s="11">
        <v>0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58">
        <v>100</v>
      </c>
      <c r="E224" s="1" t="s">
        <v>271</v>
      </c>
      <c r="F224" s="11">
        <v>0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58">
        <v>100</v>
      </c>
      <c r="E225" s="1" t="s">
        <v>272</v>
      </c>
      <c r="F225" s="11">
        <v>0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58">
        <v>100</v>
      </c>
      <c r="E226" s="1" t="s">
        <v>273</v>
      </c>
      <c r="F226" s="11">
        <v>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58">
        <v>100</v>
      </c>
      <c r="E227" s="1" t="s">
        <v>274</v>
      </c>
      <c r="F227" s="11">
        <v>0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58">
        <v>100</v>
      </c>
      <c r="E228" s="1" t="s">
        <v>275</v>
      </c>
      <c r="F228" s="11">
        <v>0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32" t="s">
        <v>279</v>
      </c>
      <c r="C229" s="32" t="s">
        <v>399</v>
      </c>
      <c r="D229" s="55">
        <v>11</v>
      </c>
      <c r="E229" s="32" t="s">
        <v>279</v>
      </c>
      <c r="F229" s="55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58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58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58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58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58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58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58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58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58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58">
        <v>100</v>
      </c>
      <c r="E239" s="1" t="s">
        <v>283</v>
      </c>
      <c r="F239" s="11">
        <v>12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58">
        <v>100</v>
      </c>
      <c r="E240" s="1" t="s">
        <v>284</v>
      </c>
      <c r="F240" s="11">
        <v>15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58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58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58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58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58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58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58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58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58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58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58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58">
        <v>255</v>
      </c>
      <c r="E252" s="1" t="s">
        <v>86</v>
      </c>
      <c r="F252" s="11">
        <v>73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58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58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58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58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58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58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58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58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58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58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58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58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58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58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58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58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58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58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58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58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58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58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58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58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6" t="s">
        <v>83</v>
      </c>
      <c r="C2" s="46" t="s">
        <v>398</v>
      </c>
      <c r="D2" s="11"/>
      <c r="E2" s="46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 x14ac:dyDescent="0.25">
      <c r="B3" s="46" t="s">
        <v>84</v>
      </c>
      <c r="C3" s="46" t="s">
        <v>399</v>
      </c>
      <c r="D3" s="11">
        <v>50</v>
      </c>
      <c r="E3" s="46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 x14ac:dyDescent="0.25">
      <c r="B4" s="46" t="s">
        <v>85</v>
      </c>
      <c r="C4" s="46" t="s">
        <v>399</v>
      </c>
      <c r="D4" s="11">
        <v>50</v>
      </c>
      <c r="E4" s="46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 x14ac:dyDescent="0.25">
      <c r="B5" s="46" t="s">
        <v>71</v>
      </c>
      <c r="C5" s="46" t="s">
        <v>399</v>
      </c>
      <c r="D5" s="11">
        <v>50</v>
      </c>
      <c r="E5" s="46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 x14ac:dyDescent="0.25">
      <c r="B6" s="46" t="s">
        <v>0</v>
      </c>
      <c r="C6" s="46" t="s">
        <v>399</v>
      </c>
      <c r="D6" s="11">
        <v>20</v>
      </c>
      <c r="E6" s="46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7" t="s">
        <v>401</v>
      </c>
      <c r="N6" s="41"/>
    </row>
    <row r="7" spans="2:15" x14ac:dyDescent="0.25">
      <c r="B7" s="46" t="s">
        <v>490</v>
      </c>
      <c r="C7" s="46" t="s">
        <v>399</v>
      </c>
      <c r="D7" s="11">
        <v>50</v>
      </c>
      <c r="E7" s="46" t="s">
        <v>490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 x14ac:dyDescent="0.25">
      <c r="B8" s="46" t="s">
        <v>491</v>
      </c>
      <c r="C8" s="46" t="s">
        <v>399</v>
      </c>
      <c r="D8" s="11">
        <v>20</v>
      </c>
      <c r="E8" s="46" t="s">
        <v>491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6" t="s">
        <v>492</v>
      </c>
      <c r="C9" s="46" t="s">
        <v>399</v>
      </c>
      <c r="D9" s="11">
        <v>50</v>
      </c>
      <c r="E9" s="46" t="s">
        <v>492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 x14ac:dyDescent="0.25">
      <c r="B10" s="46" t="s">
        <v>493</v>
      </c>
      <c r="C10" s="46" t="s">
        <v>399</v>
      </c>
      <c r="D10" s="11">
        <v>20</v>
      </c>
      <c r="E10" s="46" t="s">
        <v>493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 x14ac:dyDescent="0.25">
      <c r="B11" s="46" t="s">
        <v>494</v>
      </c>
      <c r="C11" s="46" t="s">
        <v>400</v>
      </c>
      <c r="D11" s="46"/>
      <c r="E11" s="46" t="s">
        <v>494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 t="e">
        <f>File_Size_Comparision!#REF!</f>
        <v>#REF!</v>
      </c>
    </row>
    <row r="12" spans="2:15" x14ac:dyDescent="0.25">
      <c r="B12" s="46" t="s">
        <v>495</v>
      </c>
      <c r="C12" s="46" t="s">
        <v>400</v>
      </c>
      <c r="D12" s="46"/>
      <c r="E12" s="46" t="s">
        <v>495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 x14ac:dyDescent="0.2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10950</v>
      </c>
      <c r="M3" s="19">
        <v>10929</v>
      </c>
      <c r="N3" s="22">
        <f>L3-M3</f>
        <v>21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19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1.9214932747735384E-3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File_Size_Comparision!F9</f>
        <v>2.002002002002002E-3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style="66" bestFit="1" customWidth="1"/>
    <col min="5" max="5" width="27.7109375" bestFit="1" customWidth="1"/>
    <col min="6" max="6" width="13.5703125" style="6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64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58">
        <v>80</v>
      </c>
      <c r="E2" s="1" t="s">
        <v>303</v>
      </c>
      <c r="F2" s="11">
        <v>20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311814</v>
      </c>
      <c r="M2" s="21">
        <v>311814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58">
        <v>20</v>
      </c>
      <c r="E3" s="1" t="s">
        <v>20</v>
      </c>
      <c r="F3" s="1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300537</v>
      </c>
      <c r="N3" s="22">
        <f>L2-M3</f>
        <v>11277</v>
      </c>
    </row>
    <row r="4" spans="2:15" x14ac:dyDescent="0.25">
      <c r="B4" s="1" t="s">
        <v>21</v>
      </c>
      <c r="C4" s="17" t="s">
        <v>399</v>
      </c>
      <c r="D4" s="58">
        <v>255</v>
      </c>
      <c r="E4" s="1" t="s">
        <v>21</v>
      </c>
      <c r="F4" s="1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56" t="s">
        <v>0</v>
      </c>
      <c r="C5" s="17" t="s">
        <v>399</v>
      </c>
      <c r="D5" s="58">
        <v>30</v>
      </c>
      <c r="E5" s="1" t="s">
        <v>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58">
        <v>30</v>
      </c>
      <c r="E6" s="1" t="s">
        <v>3</v>
      </c>
      <c r="F6" s="1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58">
        <v>30</v>
      </c>
      <c r="E7" s="1" t="s">
        <v>4</v>
      </c>
      <c r="F7" s="1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58">
        <v>30</v>
      </c>
      <c r="E8" s="1" t="s">
        <v>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7</v>
      </c>
      <c r="C9" s="17" t="s">
        <v>399</v>
      </c>
      <c r="D9" s="58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3.7522834126912825E-2</v>
      </c>
    </row>
    <row r="10" spans="2:15" x14ac:dyDescent="0.25">
      <c r="B10" s="1" t="s">
        <v>8</v>
      </c>
      <c r="C10" s="17" t="s">
        <v>400</v>
      </c>
      <c r="D10" s="58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File_Size_Comparision!F10</f>
        <v>3.6285058299194178E-2</v>
      </c>
    </row>
    <row r="11" spans="2:15" x14ac:dyDescent="0.25">
      <c r="B11" s="31" t="s">
        <v>11</v>
      </c>
      <c r="C11" s="17" t="s">
        <v>399</v>
      </c>
      <c r="D11" s="58">
        <v>20</v>
      </c>
      <c r="E11" s="31" t="s">
        <v>11</v>
      </c>
      <c r="F11" s="11">
        <v>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58">
        <v>20</v>
      </c>
      <c r="E12" s="1" t="s">
        <v>12</v>
      </c>
      <c r="F12" s="11">
        <v>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58">
        <v>10</v>
      </c>
      <c r="E13" s="1" t="s">
        <v>14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58">
        <v>5</v>
      </c>
      <c r="E14" s="1" t="s">
        <v>18</v>
      </c>
      <c r="F14" s="1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32" t="s">
        <v>19</v>
      </c>
      <c r="C15" s="32" t="s">
        <v>399</v>
      </c>
      <c r="D15" s="55">
        <v>22</v>
      </c>
      <c r="E15" s="32" t="s">
        <v>19</v>
      </c>
      <c r="F15" s="55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58">
        <v>20</v>
      </c>
      <c r="E16" s="1" t="s">
        <v>22</v>
      </c>
      <c r="F16" s="1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58">
        <v>50</v>
      </c>
      <c r="E17" s="1" t="s">
        <v>23</v>
      </c>
      <c r="F17" s="11">
        <v>40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58">
        <v>20</v>
      </c>
      <c r="E18" s="1" t="s">
        <v>24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58">
        <v>50</v>
      </c>
      <c r="E19" s="1" t="s">
        <v>25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58">
        <v>20</v>
      </c>
      <c r="E20" s="1" t="s">
        <v>28</v>
      </c>
      <c r="F20" s="11">
        <v>13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58">
        <v>100</v>
      </c>
      <c r="E21" s="1" t="s">
        <v>29</v>
      </c>
      <c r="F21" s="11">
        <v>31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56" t="s">
        <v>30</v>
      </c>
      <c r="C22" s="17" t="s">
        <v>399</v>
      </c>
      <c r="D22" s="58">
        <v>20</v>
      </c>
      <c r="E22" s="1" t="s">
        <v>30</v>
      </c>
      <c r="F22" s="11">
        <v>8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58">
        <v>100</v>
      </c>
      <c r="E23" s="1" t="s">
        <v>31</v>
      </c>
      <c r="F23" s="11">
        <v>56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58">
        <v>2</v>
      </c>
      <c r="E24" s="1" t="s">
        <v>32</v>
      </c>
      <c r="F24" s="1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58">
        <v>30</v>
      </c>
      <c r="E25" s="1" t="s">
        <v>33</v>
      </c>
      <c r="F25" s="1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58">
        <v>20</v>
      </c>
      <c r="E26" s="33" t="s">
        <v>304</v>
      </c>
      <c r="F26" s="1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58">
        <v>70</v>
      </c>
      <c r="E27" s="1" t="s">
        <v>305</v>
      </c>
      <c r="F27" s="11">
        <v>57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58">
        <v>30</v>
      </c>
      <c r="E28" s="1" t="s">
        <v>306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58">
        <v>40</v>
      </c>
      <c r="E29" s="1" t="s">
        <v>307</v>
      </c>
      <c r="F29" s="11">
        <v>25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58">
        <v>10</v>
      </c>
      <c r="E30" s="1" t="s">
        <v>308</v>
      </c>
      <c r="F30" s="1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58">
        <v>50</v>
      </c>
      <c r="E31" s="1" t="s">
        <v>309</v>
      </c>
      <c r="F31" s="1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58">
        <v>30</v>
      </c>
      <c r="E32" s="1" t="s">
        <v>310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58">
        <v>30</v>
      </c>
      <c r="E33" s="1" t="s">
        <v>114</v>
      </c>
      <c r="F33" s="1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58">
        <v>30</v>
      </c>
      <c r="E34" s="1" t="s">
        <v>311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58">
        <v>10</v>
      </c>
      <c r="E35" s="1" t="s">
        <v>312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58"/>
      <c r="E36" s="1" t="s">
        <v>313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58"/>
      <c r="E37" s="1" t="s">
        <v>314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58"/>
      <c r="E38" s="1" t="s">
        <v>315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58"/>
      <c r="E39" s="1" t="s">
        <v>192</v>
      </c>
      <c r="F39" s="1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58">
        <v>11</v>
      </c>
      <c r="E40" s="1" t="s">
        <v>316</v>
      </c>
      <c r="F40" s="1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58">
        <v>256</v>
      </c>
      <c r="E41" s="1" t="s">
        <v>317</v>
      </c>
      <c r="F41" s="11">
        <v>34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58">
        <v>12</v>
      </c>
      <c r="E42" s="1" t="s">
        <v>318</v>
      </c>
      <c r="F42" s="1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58">
        <v>200</v>
      </c>
      <c r="E43" s="1" t="s">
        <v>319</v>
      </c>
      <c r="F43" s="1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58">
        <v>200</v>
      </c>
      <c r="E44" s="1" t="s">
        <v>320</v>
      </c>
      <c r="F44" s="1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58">
        <v>10</v>
      </c>
      <c r="E45" s="1" t="s">
        <v>321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58">
        <v>100</v>
      </c>
      <c r="E46" s="1" t="s">
        <v>322</v>
      </c>
      <c r="F46" s="1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58"/>
      <c r="E47" s="1" t="s">
        <v>323</v>
      </c>
      <c r="F47" s="1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58"/>
      <c r="E48" s="1" t="s">
        <v>324</v>
      </c>
      <c r="F48" s="1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58">
        <v>200</v>
      </c>
      <c r="E49" s="1" t="s">
        <v>325</v>
      </c>
      <c r="F49" s="1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58">
        <v>10</v>
      </c>
      <c r="E50" s="1" t="s">
        <v>326</v>
      </c>
      <c r="F50" s="1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58">
        <v>1</v>
      </c>
      <c r="E51" s="1" t="s">
        <v>327</v>
      </c>
      <c r="F51" s="1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58">
        <v>1</v>
      </c>
      <c r="E52" s="1" t="s">
        <v>328</v>
      </c>
      <c r="F52" s="1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58">
        <v>1</v>
      </c>
      <c r="E53" s="1" t="s">
        <v>329</v>
      </c>
      <c r="F53" s="1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58"/>
      <c r="E54" s="1" t="s">
        <v>330</v>
      </c>
      <c r="F54" s="1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58"/>
      <c r="E55" s="1" t="s">
        <v>331</v>
      </c>
      <c r="F55" s="1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58"/>
      <c r="E56" s="1" t="s">
        <v>332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58">
        <v>10</v>
      </c>
      <c r="E57" s="1" t="s">
        <v>333</v>
      </c>
      <c r="F57" s="1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32" t="s">
        <v>334</v>
      </c>
      <c r="C58" s="32" t="s">
        <v>399</v>
      </c>
      <c r="D58" s="55">
        <v>64</v>
      </c>
      <c r="E58" s="32" t="s">
        <v>334</v>
      </c>
      <c r="F58" s="55">
        <v>64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58" t="s">
        <v>456</v>
      </c>
      <c r="E59" s="1" t="s">
        <v>195</v>
      </c>
      <c r="F59" s="11">
        <v>9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58" t="s">
        <v>298</v>
      </c>
      <c r="E60" s="1" t="s">
        <v>196</v>
      </c>
      <c r="F60" s="11">
        <v>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58" t="s">
        <v>298</v>
      </c>
      <c r="E61" s="1" t="s">
        <v>198</v>
      </c>
      <c r="F61" s="11">
        <v>8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58" t="s">
        <v>298</v>
      </c>
      <c r="E62" s="1" t="s">
        <v>199</v>
      </c>
      <c r="F62" s="11">
        <v>6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58" t="s">
        <v>298</v>
      </c>
      <c r="E63" s="1" t="s">
        <v>201</v>
      </c>
      <c r="F63" s="1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58" t="s">
        <v>298</v>
      </c>
      <c r="E64" s="1" t="s">
        <v>335</v>
      </c>
      <c r="F64" s="11">
        <v>5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58" t="s">
        <v>456</v>
      </c>
      <c r="E65" s="1" t="s">
        <v>336</v>
      </c>
      <c r="F65" s="11">
        <v>9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58" t="s">
        <v>298</v>
      </c>
      <c r="E66" s="1" t="s">
        <v>337</v>
      </c>
      <c r="F66" s="1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58" t="s">
        <v>456</v>
      </c>
      <c r="E67" s="1" t="s">
        <v>338</v>
      </c>
      <c r="F67" s="11">
        <v>9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58" t="s">
        <v>456</v>
      </c>
      <c r="E68" s="1" t="s">
        <v>205</v>
      </c>
      <c r="F68" s="11">
        <v>9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58">
        <v>8</v>
      </c>
      <c r="E69" s="1" t="s">
        <v>209</v>
      </c>
      <c r="F69" s="1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58">
        <v>50</v>
      </c>
      <c r="E70" s="1" t="s">
        <v>210</v>
      </c>
      <c r="F70" s="11">
        <v>13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58">
        <v>100</v>
      </c>
      <c r="E71" s="1" t="s">
        <v>51</v>
      </c>
      <c r="F71" s="1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58">
        <v>100</v>
      </c>
      <c r="E72" s="1" t="s">
        <v>52</v>
      </c>
      <c r="F72" s="1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58">
        <v>100</v>
      </c>
      <c r="E73" s="1" t="s">
        <v>53</v>
      </c>
      <c r="F73" s="1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58">
        <v>100</v>
      </c>
      <c r="E74" s="1" t="s">
        <v>54</v>
      </c>
      <c r="F74" s="1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58">
        <v>100</v>
      </c>
      <c r="E75" s="1" t="s">
        <v>55</v>
      </c>
      <c r="F75" s="1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58">
        <v>100</v>
      </c>
      <c r="E76" s="1" t="s">
        <v>56</v>
      </c>
      <c r="F76" s="1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58">
        <v>100</v>
      </c>
      <c r="E77" s="1" t="s">
        <v>57</v>
      </c>
      <c r="F77" s="1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58">
        <v>100</v>
      </c>
      <c r="E78" s="1" t="s">
        <v>58</v>
      </c>
      <c r="F78" s="1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58">
        <v>100</v>
      </c>
      <c r="E79" s="1" t="s">
        <v>59</v>
      </c>
      <c r="F79" s="1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58">
        <v>100</v>
      </c>
      <c r="E80" s="1" t="s">
        <v>60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58">
        <v>100</v>
      </c>
      <c r="E81" s="1" t="s">
        <v>61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58">
        <v>100</v>
      </c>
      <c r="E82" s="1" t="s">
        <v>62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58">
        <v>100</v>
      </c>
      <c r="E83" s="1" t="s">
        <v>63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58">
        <v>100</v>
      </c>
      <c r="E84" s="1" t="s">
        <v>64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58">
        <v>100</v>
      </c>
      <c r="E85" s="1" t="s">
        <v>65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58">
        <v>100</v>
      </c>
      <c r="E86" s="1" t="s">
        <v>66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58">
        <v>100</v>
      </c>
      <c r="E87" s="1" t="s">
        <v>67</v>
      </c>
      <c r="F87" s="1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58">
        <v>100</v>
      </c>
      <c r="E88" s="1" t="s">
        <v>68</v>
      </c>
      <c r="F88" s="1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58">
        <v>100</v>
      </c>
      <c r="E89" s="1" t="s">
        <v>69</v>
      </c>
      <c r="F89" s="1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58">
        <v>100</v>
      </c>
      <c r="E90" s="1" t="s">
        <v>70</v>
      </c>
      <c r="F90" s="1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58">
        <v>50</v>
      </c>
      <c r="E91" s="1" t="s">
        <v>71</v>
      </c>
      <c r="F91" s="1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58">
        <v>20</v>
      </c>
      <c r="E92" s="1" t="s">
        <v>297</v>
      </c>
      <c r="F92" s="1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/>
      <c r="D93" s="58">
        <v>500</v>
      </c>
      <c r="E93" s="31" t="s">
        <v>86</v>
      </c>
      <c r="F93" s="11">
        <v>78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/>
      <c r="D94" s="58">
        <v>100</v>
      </c>
      <c r="E94" s="31" t="s">
        <v>436</v>
      </c>
      <c r="F94" s="1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/>
      <c r="D95" s="58">
        <v>100</v>
      </c>
      <c r="E95" s="31" t="s">
        <v>437</v>
      </c>
      <c r="F95" s="1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/>
      <c r="D96" s="58">
        <v>100</v>
      </c>
      <c r="E96" s="31" t="s">
        <v>438</v>
      </c>
      <c r="F96" s="1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/>
      <c r="D97" s="58">
        <v>100</v>
      </c>
      <c r="E97" s="31" t="s">
        <v>439</v>
      </c>
      <c r="F97" s="1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/>
      <c r="D98" s="58">
        <v>100</v>
      </c>
      <c r="E98" s="31" t="s">
        <v>440</v>
      </c>
      <c r="F98" s="1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/>
      <c r="D99" s="58">
        <v>100</v>
      </c>
      <c r="E99" s="31" t="s">
        <v>441</v>
      </c>
      <c r="F99" s="1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/>
      <c r="D100" s="58">
        <v>100</v>
      </c>
      <c r="E100" s="31" t="s">
        <v>442</v>
      </c>
      <c r="F100" s="1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/>
      <c r="D101" s="58">
        <v>100</v>
      </c>
      <c r="E101" s="31" t="s">
        <v>443</v>
      </c>
      <c r="F101" s="1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/>
      <c r="D102" s="58">
        <v>100</v>
      </c>
      <c r="E102" s="31" t="s">
        <v>444</v>
      </c>
      <c r="F102" s="1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/>
      <c r="D103" s="58">
        <v>100</v>
      </c>
      <c r="E103" s="31" t="s">
        <v>445</v>
      </c>
      <c r="F103" s="1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/>
      <c r="D104" s="58">
        <v>100</v>
      </c>
      <c r="E104" s="31" t="s">
        <v>446</v>
      </c>
      <c r="F104" s="1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/>
      <c r="D105" s="58">
        <v>100</v>
      </c>
      <c r="E105" s="31" t="s">
        <v>447</v>
      </c>
      <c r="F105" s="1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/>
      <c r="D106" s="58">
        <v>100</v>
      </c>
      <c r="E106" s="31" t="s">
        <v>448</v>
      </c>
      <c r="F106" s="1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/>
      <c r="D107" s="58">
        <v>100</v>
      </c>
      <c r="E107" s="31" t="s">
        <v>449</v>
      </c>
      <c r="F107" s="1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/>
      <c r="D108" s="58">
        <v>100</v>
      </c>
      <c r="E108" s="31" t="s">
        <v>450</v>
      </c>
      <c r="F108" s="1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/>
      <c r="D109" s="58">
        <v>100</v>
      </c>
      <c r="E109" s="31" t="s">
        <v>451</v>
      </c>
      <c r="F109" s="1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/>
      <c r="D110" s="58">
        <v>100</v>
      </c>
      <c r="E110" s="31" t="s">
        <v>452</v>
      </c>
      <c r="F110" s="1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/>
      <c r="D111" s="58">
        <v>100</v>
      </c>
      <c r="E111" s="31" t="s">
        <v>453</v>
      </c>
      <c r="F111" s="1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/>
      <c r="D112" s="58">
        <v>100</v>
      </c>
      <c r="E112" s="31" t="s">
        <v>454</v>
      </c>
      <c r="F112" s="1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/>
      <c r="D113" s="58">
        <v>100</v>
      </c>
      <c r="E113" s="31" t="s">
        <v>455</v>
      </c>
      <c r="F113" s="1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473674</v>
      </c>
      <c r="M3" s="19">
        <v>457358</v>
      </c>
      <c r="N3" s="22">
        <f>L3-M3</f>
        <v>16316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17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19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3.5674460706929804E-2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File_Size_Comparision!F11</f>
        <v>3.2693498452012394E-2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18269</v>
      </c>
      <c r="M3" s="19">
        <v>18833</v>
      </c>
      <c r="N3" s="22">
        <f>L3-M3</f>
        <v>-564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-2.9947432697923857E-2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File_Size_Comparision!F12</f>
        <v>-3.1578947368421005E-2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114961</v>
      </c>
      <c r="M3" s="19">
        <v>112525</v>
      </c>
      <c r="N3" s="22">
        <f>L3-M3</f>
        <v>2436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8">
        <v>20</v>
      </c>
      <c r="E6" s="1" t="s">
        <v>0</v>
      </c>
      <c r="F6" s="11">
        <v>11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2.1648522550544322E-2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File_Size_Comparision!F13</f>
        <v>2.1487603305785107E-2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526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abhattarai</cp:lastModifiedBy>
  <dcterms:created xsi:type="dcterms:W3CDTF">2013-12-03T07:41:54Z</dcterms:created>
  <dcterms:modified xsi:type="dcterms:W3CDTF">2017-03-30T01:45:01Z</dcterms:modified>
</cp:coreProperties>
</file>