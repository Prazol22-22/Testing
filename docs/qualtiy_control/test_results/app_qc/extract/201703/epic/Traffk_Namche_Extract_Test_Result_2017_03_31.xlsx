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state="hidden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44525"/>
</workbook>
</file>

<file path=xl/calcChain.xml><?xml version="1.0" encoding="utf-8"?>
<calcChain xmlns="http://schemas.openxmlformats.org/spreadsheetml/2006/main">
  <c r="M9" i="12" l="1"/>
  <c r="M9" i="11"/>
  <c r="M9" i="19"/>
  <c r="J26" i="19"/>
  <c r="I26" i="19"/>
  <c r="H26" i="19"/>
  <c r="J25" i="19"/>
  <c r="I25" i="19"/>
  <c r="H25" i="19"/>
  <c r="J24" i="19"/>
  <c r="I24" i="19"/>
  <c r="G24" i="19" s="1"/>
  <c r="H24" i="19"/>
  <c r="J23" i="19"/>
  <c r="I23" i="19"/>
  <c r="G23" i="19" s="1"/>
  <c r="H23" i="19"/>
  <c r="J22" i="19"/>
  <c r="I22" i="19"/>
  <c r="G22" i="19" s="1"/>
  <c r="H22" i="19"/>
  <c r="J21" i="19"/>
  <c r="I21" i="19"/>
  <c r="H21" i="19"/>
  <c r="J20" i="19"/>
  <c r="I20" i="19"/>
  <c r="G20" i="19" s="1"/>
  <c r="H20" i="19"/>
  <c r="J19" i="19"/>
  <c r="I19" i="19"/>
  <c r="G19" i="19" s="1"/>
  <c r="H19" i="19"/>
  <c r="J18" i="19"/>
  <c r="I18" i="19"/>
  <c r="G18" i="19" s="1"/>
  <c r="H18" i="19"/>
  <c r="J17" i="19"/>
  <c r="I17" i="19"/>
  <c r="H17" i="19"/>
  <c r="J16" i="19"/>
  <c r="I16" i="19"/>
  <c r="G16" i="19" s="1"/>
  <c r="H16" i="19"/>
  <c r="J15" i="19"/>
  <c r="I15" i="19"/>
  <c r="G15" i="19" s="1"/>
  <c r="H15" i="19"/>
  <c r="J14" i="19"/>
  <c r="I14" i="19"/>
  <c r="G14" i="19" s="1"/>
  <c r="H14" i="19"/>
  <c r="J13" i="19"/>
  <c r="I13" i="19"/>
  <c r="H13" i="19"/>
  <c r="J12" i="19"/>
  <c r="I12" i="19"/>
  <c r="G12" i="19" s="1"/>
  <c r="H12" i="19"/>
  <c r="J11" i="19"/>
  <c r="I11" i="19"/>
  <c r="G11" i="19" s="1"/>
  <c r="H11" i="19"/>
  <c r="J10" i="19"/>
  <c r="I10" i="19"/>
  <c r="G10" i="19" s="1"/>
  <c r="H10" i="19"/>
  <c r="J9" i="19"/>
  <c r="I9" i="19"/>
  <c r="G9" i="19" s="1"/>
  <c r="H9" i="19"/>
  <c r="J8" i="19"/>
  <c r="G8" i="19" s="1"/>
  <c r="I8" i="19"/>
  <c r="H8" i="19"/>
  <c r="J7" i="19"/>
  <c r="G7" i="19" s="1"/>
  <c r="I7" i="19"/>
  <c r="H7" i="19"/>
  <c r="J6" i="19"/>
  <c r="I6" i="19"/>
  <c r="H6" i="19"/>
  <c r="J5" i="19"/>
  <c r="I5" i="19"/>
  <c r="G5" i="19" s="1"/>
  <c r="H5" i="19"/>
  <c r="J4" i="19"/>
  <c r="I4" i="19"/>
  <c r="G4" i="19" s="1"/>
  <c r="H4" i="19"/>
  <c r="N3" i="19"/>
  <c r="M8" i="19" s="1"/>
  <c r="J3" i="19"/>
  <c r="I3" i="19"/>
  <c r="G3" i="19" s="1"/>
  <c r="H3" i="19"/>
  <c r="J2" i="19"/>
  <c r="I2" i="19"/>
  <c r="G2" i="19" s="1"/>
  <c r="H2" i="19"/>
  <c r="M8" i="16"/>
  <c r="M10" i="2"/>
  <c r="M8" i="15"/>
  <c r="M8" i="18"/>
  <c r="J19" i="18"/>
  <c r="I19" i="18"/>
  <c r="H19" i="18"/>
  <c r="G19" i="18"/>
  <c r="J18" i="18"/>
  <c r="I18" i="18"/>
  <c r="H18" i="18"/>
  <c r="G18" i="18"/>
  <c r="J17" i="18"/>
  <c r="I17" i="18"/>
  <c r="H17" i="18"/>
  <c r="G17" i="18"/>
  <c r="J16" i="18"/>
  <c r="I16" i="18"/>
  <c r="H16" i="18"/>
  <c r="G16" i="18"/>
  <c r="J15" i="18"/>
  <c r="I15" i="18"/>
  <c r="H15" i="18"/>
  <c r="G15" i="18"/>
  <c r="J14" i="18"/>
  <c r="I14" i="18"/>
  <c r="H14" i="18"/>
  <c r="G14" i="18"/>
  <c r="J13" i="18"/>
  <c r="I13" i="18"/>
  <c r="H13" i="18"/>
  <c r="G13" i="18"/>
  <c r="J12" i="18"/>
  <c r="I12" i="18"/>
  <c r="H12" i="18"/>
  <c r="G12" i="18"/>
  <c r="J11" i="18"/>
  <c r="I11" i="18"/>
  <c r="H11" i="18"/>
  <c r="G11" i="18"/>
  <c r="J10" i="18"/>
  <c r="G10" i="18" s="1"/>
  <c r="I10" i="18"/>
  <c r="H10" i="18"/>
  <c r="J9" i="18"/>
  <c r="G9" i="18" s="1"/>
  <c r="I9" i="18"/>
  <c r="H9" i="18"/>
  <c r="J8" i="18"/>
  <c r="I8" i="18"/>
  <c r="H8" i="18"/>
  <c r="J7" i="18"/>
  <c r="I7" i="18"/>
  <c r="H7" i="18"/>
  <c r="J6" i="18"/>
  <c r="G6" i="18" s="1"/>
  <c r="I6" i="18"/>
  <c r="H6" i="18"/>
  <c r="J5" i="18"/>
  <c r="I5" i="18"/>
  <c r="H5" i="18"/>
  <c r="G5" i="18"/>
  <c r="J4" i="18"/>
  <c r="I4" i="18"/>
  <c r="H4" i="18"/>
  <c r="G4" i="18"/>
  <c r="J3" i="18"/>
  <c r="I3" i="18"/>
  <c r="H3" i="18"/>
  <c r="G3" i="18"/>
  <c r="N2" i="18"/>
  <c r="M7" i="18" s="1"/>
  <c r="J2" i="18"/>
  <c r="I2" i="18"/>
  <c r="G2" i="18" s="1"/>
  <c r="H2" i="18"/>
  <c r="G4" i="14"/>
  <c r="G9" i="14"/>
  <c r="I4" i="14"/>
  <c r="I5" i="14"/>
  <c r="F5" i="14" s="1"/>
  <c r="G5" i="14" s="1"/>
  <c r="I6" i="14"/>
  <c r="F6" i="14" s="1"/>
  <c r="G6" i="14" s="1"/>
  <c r="I7" i="14"/>
  <c r="F7" i="14" s="1"/>
  <c r="G7" i="14" s="1"/>
  <c r="I8" i="14"/>
  <c r="F8" i="14" s="1"/>
  <c r="G8" i="14" s="1"/>
  <c r="I9" i="14"/>
  <c r="I10" i="14"/>
  <c r="F10" i="14" s="1"/>
  <c r="G10" i="14" s="1"/>
  <c r="I11" i="14"/>
  <c r="F11" i="14" s="1"/>
  <c r="G11" i="14" s="1"/>
  <c r="I12" i="14"/>
  <c r="F12" i="14" s="1"/>
  <c r="G12" i="14" s="1"/>
  <c r="I13" i="14"/>
  <c r="F13" i="14" s="1"/>
  <c r="G13" i="14" s="1"/>
  <c r="I14" i="14"/>
  <c r="H4" i="14"/>
  <c r="H5" i="14"/>
  <c r="H6" i="14"/>
  <c r="H7" i="14"/>
  <c r="H8" i="14"/>
  <c r="H9" i="14"/>
  <c r="H10" i="14"/>
  <c r="H11" i="14"/>
  <c r="H12" i="14"/>
  <c r="H13" i="14"/>
  <c r="H14" i="14"/>
  <c r="F4" i="14"/>
  <c r="F9" i="14"/>
  <c r="N2" i="16"/>
  <c r="M7" i="16" s="1"/>
  <c r="N3" i="9"/>
  <c r="M8" i="9" s="1"/>
  <c r="M7" i="19" l="1"/>
  <c r="G26" i="19"/>
  <c r="G6" i="19"/>
  <c r="M6" i="19" s="1"/>
  <c r="G13" i="19"/>
  <c r="G17" i="19"/>
  <c r="G21" i="19"/>
  <c r="G25" i="19"/>
  <c r="M6" i="18"/>
  <c r="G8" i="18"/>
  <c r="G7" i="18"/>
  <c r="M5" i="18"/>
  <c r="N4" i="17"/>
  <c r="M10" i="17" s="1"/>
  <c r="N3" i="17"/>
  <c r="M9" i="17" s="1"/>
  <c r="G27" i="3" s="1"/>
  <c r="N2" i="15"/>
  <c r="M7" i="15" s="1"/>
  <c r="J11" i="17"/>
  <c r="J12" i="17"/>
  <c r="H11" i="17"/>
  <c r="H12" i="17"/>
  <c r="I11" i="17"/>
  <c r="G11" i="17" s="1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F14" i="14"/>
  <c r="G14" i="14" s="1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M8" i="17" l="1"/>
  <c r="G26" i="3" s="1"/>
  <c r="G6" i="16"/>
  <c r="M9" i="13"/>
  <c r="G12" i="17"/>
  <c r="G6" i="17"/>
  <c r="G10" i="17"/>
  <c r="G5" i="17"/>
  <c r="G9" i="17"/>
  <c r="M6" i="16"/>
  <c r="G21" i="3" s="1"/>
  <c r="G4" i="17"/>
  <c r="G8" i="17"/>
  <c r="G3" i="17"/>
  <c r="G2" i="17"/>
  <c r="M7" i="17" s="1"/>
  <c r="G25" i="3" s="1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G7" i="15" s="1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G5" i="15" l="1"/>
  <c r="G9" i="15"/>
  <c r="G13" i="15"/>
  <c r="G17" i="15"/>
  <c r="G21" i="15"/>
  <c r="G25" i="15"/>
  <c r="M6" i="15"/>
  <c r="G16" i="3" s="1"/>
  <c r="M5" i="16"/>
  <c r="G20" i="3" s="1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 l="1"/>
  <c r="G15" i="3" s="1"/>
  <c r="N3" i="10"/>
  <c r="M9" i="10" s="1"/>
  <c r="N2" i="10"/>
  <c r="M8" i="10" s="1"/>
  <c r="G32" i="3" s="1"/>
  <c r="N3" i="7"/>
  <c r="M9" i="7" s="1"/>
  <c r="N2" i="7"/>
  <c r="M8" i="7" s="1"/>
  <c r="G24" i="3" s="1"/>
  <c r="N2" i="2"/>
  <c r="M8" i="2" s="1"/>
  <c r="G19" i="3" s="1"/>
  <c r="N3" i="2"/>
  <c r="M9" i="2" s="1"/>
  <c r="N3" i="13" l="1"/>
  <c r="M8" i="13" s="1"/>
  <c r="N3" i="12"/>
  <c r="M8" i="12" s="1"/>
  <c r="N3" i="11"/>
  <c r="M8" i="11" s="1"/>
  <c r="H26" i="10" l="1"/>
  <c r="H3" i="13" l="1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 s="1"/>
  <c r="I75" i="2"/>
  <c r="I76" i="2"/>
  <c r="G76" i="2" s="1"/>
  <c r="I77" i="2"/>
  <c r="I78" i="2"/>
  <c r="G78" i="2" s="1"/>
  <c r="I79" i="2"/>
  <c r="I80" i="2"/>
  <c r="G80" i="2" s="1"/>
  <c r="I81" i="2"/>
  <c r="G81" i="2" s="1"/>
  <c r="I82" i="2"/>
  <c r="G82" i="2" s="1"/>
  <c r="I83" i="2"/>
  <c r="I84" i="2"/>
  <c r="G84" i="2" s="1"/>
  <c r="I85" i="2"/>
  <c r="I86" i="2"/>
  <c r="G86" i="2" s="1"/>
  <c r="I87" i="2"/>
  <c r="I88" i="2"/>
  <c r="G88" i="2" s="1"/>
  <c r="I89" i="2"/>
  <c r="G89" i="2" s="1"/>
  <c r="I90" i="2"/>
  <c r="G90" i="2" s="1"/>
  <c r="I91" i="2"/>
  <c r="I92" i="2"/>
  <c r="G92" i="2" s="1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 l="1"/>
  <c r="G38" i="3" s="1"/>
  <c r="M7" i="12"/>
  <c r="G36" i="3" s="1"/>
  <c r="M7" i="11"/>
  <c r="G34" i="3" s="1"/>
  <c r="M7" i="10"/>
  <c r="G31" i="3" s="1"/>
  <c r="M7" i="9"/>
  <c r="G29" i="3" s="1"/>
  <c r="M7" i="7"/>
  <c r="G23" i="3" s="1"/>
  <c r="M7" i="2"/>
  <c r="G18" i="3" s="1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 l="1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3" i="14"/>
  <c r="H3" i="14"/>
  <c r="G11" i="13" l="1"/>
  <c r="G9" i="13"/>
  <c r="G7" i="13"/>
  <c r="G5" i="13"/>
  <c r="G3" i="13"/>
  <c r="M10" i="7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F3" i="14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6" i="7" l="1"/>
  <c r="G22" i="3" s="1"/>
  <c r="M6" i="2"/>
  <c r="G17" i="3" s="1"/>
  <c r="M10" i="10"/>
  <c r="M9" i="9"/>
  <c r="M11" i="17"/>
  <c r="M6" i="11"/>
  <c r="G33" i="3" s="1"/>
  <c r="M6" i="13"/>
  <c r="G37" i="3" s="1"/>
  <c r="M6" i="12"/>
  <c r="G35" i="3" s="1"/>
  <c r="M6" i="10"/>
  <c r="G30" i="3" s="1"/>
  <c r="M6" i="9"/>
  <c r="G28" i="3" s="1"/>
  <c r="G3" i="14"/>
  <c r="L2" i="14" l="1"/>
  <c r="G14" i="3" s="1"/>
</calcChain>
</file>

<file path=xl/comments1.xml><?xml version="1.0" encoding="utf-8"?>
<comments xmlns="http://schemas.openxmlformats.org/spreadsheetml/2006/main">
  <authors>
    <author>svinduwa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pcp_full_name field length change from 50 to 65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</commentList>
</comments>
</file>

<file path=xl/comments3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
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</commentList>
</comments>
</file>

<file path=xl/comments4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</commentList>
</comments>
</file>

<file path=xl/comments5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6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rev_claim_id field length change from 20 to 42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
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prv_service_provider_id field length change from 30 to 37</t>
        </r>
      </text>
    </comment>
    <comment ref="H44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prv_gender field length change from 2 to 54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prv_phone field length change from 20 to 55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prv_state field length change from 2 to 12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svc_icd_proc_2_code field length change from 5 to 7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svc_hcpcs field length change from 100 to 200</t>
        </r>
      </text>
    </comment>
    <comment ref="H1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svc_discharge_desc field length change from 100 to 119</t>
        </r>
      </text>
    </comment>
    <comment ref="H11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svc_admit_type field length change from 6 to 13</t>
        </r>
      </text>
    </comment>
    <comment ref="H22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cpt_betos field length change from 10 to 11</t>
        </r>
      </text>
    </comment>
  </commentList>
</comments>
</file>

<file path=xl/comments7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8.xml><?xml version="1.0" encoding="utf-8"?>
<comments xmlns="http://schemas.openxmlformats.org/spreadsheetml/2006/main">
  <authors>
    <author>svinduwa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30 to 32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mbr_relationshipdesc field length change from 20 to 42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svc_ndc_code field length change from 11 to 14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svc_daw_desc field length change from 50 to 70</t>
        </r>
      </text>
    </comment>
  </commentList>
</comments>
</file>

<file path=xl/comments9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10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sharedStrings.xml><?xml version="1.0" encoding="utf-8"?>
<sst xmlns="http://schemas.openxmlformats.org/spreadsheetml/2006/main" count="2275" uniqueCount="551">
  <si>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</si>
  <si>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</si>
  <si>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</si>
  <si>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</si>
  <si>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</si>
  <si>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</si>
  <si>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</si>
  <si>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</si>
  <si>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</si>
  <si>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</si>
  <si>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</si>
  <si>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</si>
  <si>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</si>
  <si>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</si>
  <si>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</si>
  <si>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</si>
  <si>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</si>
  <si>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</si>
  <si>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</si>
  <si>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</si>
  <si>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</si>
  <si>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</si>
  <si>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</si>
  <si>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</si>
  <si>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</si>
  <si>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</si>
  <si>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</si>
  <si>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</si>
  <si>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</si>
  <si>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</si>
  <si>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</si>
  <si>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</si>
  <si>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</si>
  <si>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</si>
  <si>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</si>
  <si>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</si>
  <si>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</si>
  <si>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</si>
  <si>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</si>
  <si>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</si>
  <si>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</si>
  <si>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</si>
  <si>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</si>
  <si>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</si>
  <si>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</si>
  <si>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</si>
  <si>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</si>
  <si>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</si>
  <si>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</si>
  <si>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</si>
  <si>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</si>
  <si>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</si>
  <si>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</si>
  <si>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</si>
  <si>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</si>
  <si>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</si>
  <si>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</si>
  <si>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</si>
  <si>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</si>
  <si>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</si>
  <si>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</si>
  <si>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</si>
  <si>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</si>
  <si>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</si>
  <si>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</si>
  <si>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</si>
  <si>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</si>
  <si>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</si>
  <si>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</si>
  <si>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</si>
  <si>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</si>
  <si>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</si>
  <si>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</si>
  <si>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</si>
  <si>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</si>
  <si>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</si>
  <si>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</si>
  <si>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</si>
  <si>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</si>
  <si>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</si>
  <si>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</si>
  <si>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</si>
  <si>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</si>
  <si>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</si>
  <si>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</si>
  <si>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</si>
  <si>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</si>
  <si>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</si>
  <si>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</si>
  <si>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</si>
  <si>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</si>
  <si>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</si>
  <si>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</si>
  <si>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</si>
  <si>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</si>
  <si>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</si>
  <si>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</si>
  <si>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</si>
  <si>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</si>
  <si>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</si>
  <si>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</si>
  <si>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</si>
  <si>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</si>
  <si>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</si>
  <si>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</si>
  <si>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</si>
  <si>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</si>
  <si>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</si>
  <si>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</si>
  <si>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</si>
  <si>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</si>
  <si>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</si>
  <si>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</si>
  <si>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</si>
  <si>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</si>
  <si>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</si>
  <si>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</si>
  <si>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</si>
  <si>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</si>
  <si>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</si>
  <si>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</si>
  <si>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</si>
  <si>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</si>
  <si>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</si>
  <si>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</si>
  <si>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</si>
  <si>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</si>
  <si>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</si>
  <si>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</si>
  <si>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</si>
  <si>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</si>
  <si>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</si>
  <si>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</si>
  <si>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</si>
  <si>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</si>
  <si>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</si>
  <si>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</si>
  <si>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</si>
  <si>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</si>
  <si>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</si>
  <si>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</si>
  <si>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</si>
  <si>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</si>
  <si>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</si>
  <si>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</si>
  <si>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</si>
  <si>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</si>
  <si>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</si>
  <si>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</si>
  <si>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</si>
  <si>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</si>
  <si>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</si>
  <si>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</si>
  <si>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</si>
  <si>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</si>
  <si>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</si>
  <si>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</si>
  <si>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</si>
  <si>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</si>
  <si>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</si>
  <si>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</si>
  <si>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</si>
  <si>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</si>
  <si>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</si>
  <si>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</si>
  <si>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</si>
  <si>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</si>
  <si>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</si>
  <si>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</si>
  <si>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</si>
  <si>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</si>
  <si>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</si>
  <si>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</si>
  <si>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</si>
  <si>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</si>
  <si>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</si>
  <si>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</si>
  <si>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</si>
  <si>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</si>
  <si>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</si>
  <si>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</si>
  <si>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</si>
  <si>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</si>
  <si>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</si>
  <si>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</si>
  <si>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</si>
  <si>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</si>
  <si>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</si>
  <si>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</si>
  <si>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</si>
  <si>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</si>
  <si>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</si>
  <si>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</si>
  <si>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</si>
  <si>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</si>
  <si>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</si>
  <si>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</si>
  <si>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</si>
  <si>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</si>
  <si>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</si>
  <si>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</si>
  <si>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</si>
  <si>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</si>
  <si>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</si>
  <si>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</si>
  <si>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</si>
  <si>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</si>
  <si>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</si>
  <si>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</si>
  <si>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</si>
  <si>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</si>
  <si>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</si>
  <si>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</si>
  <si>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</si>
  <si>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</si>
  <si>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</si>
  <si>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</si>
  <si>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</si>
  <si>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</si>
  <si>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</si>
  <si>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</si>
  <si>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</si>
  <si>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</si>
  <si>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</si>
  <si>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</si>
  <si>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</si>
  <si>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</si>
  <si>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</si>
  <si>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</si>
  <si>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</si>
  <si>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</si>
  <si>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</si>
  <si>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</si>
  <si>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</si>
  <si>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</si>
  <si>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</si>
  <si>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</si>
  <si>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</si>
  <si>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</si>
  <si>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</si>
  <si>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</si>
  <si>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</si>
  <si>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</si>
  <si>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</si>
  <si>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</si>
  <si>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</si>
  <si>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</si>
  <si>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</si>
  <si>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</si>
  <si>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</si>
  <si>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</si>
  <si>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</si>
  <si>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</si>
  <si>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</si>
  <si>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</si>
  <si>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</si>
  <si>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</si>
  <si>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</si>
  <si>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</si>
  <si>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</si>
  <si>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</si>
  <si>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</si>
  <si>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</si>
  <si>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</si>
  <si>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</si>
  <si>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</si>
  <si>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</si>
  <si>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</si>
  <si>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</si>
  <si>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</si>
  <si>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</si>
  <si>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</si>
  <si>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</si>
  <si>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</si>
  <si>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</si>
  <si>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</si>
  <si>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</si>
  <si>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</si>
  <si>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</si>
  <si>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</si>
  <si>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</si>
  <si>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</si>
  <si>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</si>
  <si>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</si>
  <si>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</si>
  <si>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</si>
  <si>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</si>
  <si>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</si>
  <si>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</si>
  <si>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</si>
  <si>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</si>
  <si>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</si>
  <si>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</si>
  <si>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</si>
  <si>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</si>
  <si>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</si>
  <si>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</si>
  <si>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</si>
  <si>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</si>
  <si>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</si>
  <si>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</si>
  <si>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</si>
  <si>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</si>
  <si>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</si>
  <si>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</si>
  <si>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</si>
  <si>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</si>
  <si>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</si>
  <si>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</si>
  <si>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</si>
  <si>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</si>
  <si>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</si>
  <si>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</si>
  <si>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</si>
  <si>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</si>
  <si>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</si>
  <si>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</si>
  <si>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</si>
  <si>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</si>
  <si>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</si>
  <si>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</si>
  <si>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</si>
  <si>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</si>
  <si>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</si>
  <si>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</si>
  <si>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</si>
  <si>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</si>
  <si>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</si>
  <si>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</si>
  <si>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</si>
  <si>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</si>
  <si>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</si>
  <si>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</si>
  <si>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</si>
  <si>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</si>
  <si>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</si>
  <si>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</si>
  <si>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</si>
  <si>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</si>
  <si>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</si>
  <si>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</si>
  <si>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</si>
  <si>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</si>
  <si>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</si>
  <si>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</si>
  <si>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</si>
  <si>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</si>
  <si>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</si>
  <si>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</si>
  <si>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</si>
  <si>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</si>
  <si>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</si>
  <si>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</si>
  <si>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</si>
  <si>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</si>
  <si>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</si>
  <si>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</si>
  <si>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</si>
  <si>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</si>
  <si>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</si>
  <si>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</si>
  <si>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</si>
  <si>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</si>
  <si>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</si>
  <si>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</si>
  <si>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</si>
  <si>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</si>
  <si>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</si>
  <si>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</si>
  <si>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</si>
  <si>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</si>
  <si>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</si>
  <si>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</si>
  <si>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</si>
  <si>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</si>
  <si>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</si>
  <si>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</si>
  <si>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</si>
  <si>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</si>
  <si>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</si>
  <si>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</si>
  <si>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</si>
  <si>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</si>
  <si>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</si>
  <si>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</si>
  <si>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</si>
  <si>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</si>
  <si>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</si>
  <si>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</si>
  <si>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</si>
  <si>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</si>
  <si>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</si>
  <si>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</si>
  <si>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</si>
  <si>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</si>
  <si>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</si>
  <si>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</si>
  <si>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</si>
  <si>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</si>
  <si>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</si>
  <si>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</si>
  <si>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</si>
  <si>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</si>
  <si>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</si>
  <si>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</si>
  <si>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</si>
  <si>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</si>
  <si>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</si>
  <si>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</si>
  <si>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</si>
  <si>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</si>
  <si>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</si>
  <si>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</si>
  <si>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</si>
  <si>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</si>
  <si>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</si>
  <si>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</si>
  <si>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</si>
  <si>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</si>
  <si>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</si>
  <si>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</si>
  <si>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</si>
  <si>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</si>
  <si>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</si>
  <si>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</si>
  <si>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</si>
  <si>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</si>
  <si>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</si>
  <si>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</si>
  <si>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</si>
  <si>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</si>
  <si>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</si>
  <si>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</si>
  <si>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</si>
  <si>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</si>
  <si>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</si>
  <si>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</si>
  <si>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</si>
  <si>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</si>
  <si>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</si>
  <si>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</si>
  <si>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</si>
  <si>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</si>
  <si>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</si>
  <si>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</si>
  <si>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</si>
  <si>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</si>
  <si>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</si>
  <si>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</si>
  <si>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</si>
  <si>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</si>
  <si>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</si>
  <si>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</si>
  <si>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</si>
  <si>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</si>
  <si>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</si>
  <si>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</si>
  <si>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</si>
  <si>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</si>
  <si>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</si>
  <si>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</si>
  <si>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</si>
  <si>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</si>
  <si>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</si>
  <si>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</si>
  <si>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</si>
  <si>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</si>
  <si>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</si>
  <si>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</si>
  <si>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</si>
  <si>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</si>
  <si>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</si>
  <si>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</si>
  <si>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</si>
  <si>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</si>
  <si>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</si>
  <si>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</si>
  <si>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</si>
  <si>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</si>
  <si>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</si>
  <si>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</si>
  <si>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</si>
  <si>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</si>
  <si>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</si>
  <si>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</si>
  <si>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</si>
  <si>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</si>
  <si>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</si>
  <si>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</si>
  <si>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</si>
  <si>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</si>
  <si>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</si>
  <si>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</si>
  <si>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</si>
  <si>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</si>
  <si>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</si>
  <si>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</si>
  <si>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</si>
  <si>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</si>
  <si>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</si>
  <si>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</si>
  <si>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</si>
  <si>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</si>
  <si>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</si>
  <si>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</si>
  <si>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</si>
  <si>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SubinV</t>
  </si>
  <si>
    <t>CareAlerts.csv</t>
  </si>
  <si>
    <t>3.96 MB</t>
  </si>
  <si>
    <t>1.58 MB</t>
  </si>
  <si>
    <t>89.56 MB</t>
  </si>
  <si>
    <t>719.15 KB</t>
  </si>
  <si>
    <t>HistoricalScores.csv</t>
  </si>
  <si>
    <t>6.76 MB</t>
  </si>
  <si>
    <t>500.43 MB</t>
  </si>
  <si>
    <t>151 Byte</t>
  </si>
  <si>
    <t>635.58 KB</t>
  </si>
  <si>
    <t>52.38 MB</t>
  </si>
  <si>
    <t>19.32 MB</t>
  </si>
  <si>
    <t>574.77 KB</t>
  </si>
  <si>
    <t>6.25 MB</t>
  </si>
  <si>
    <t>7.70 MB</t>
  </si>
  <si>
    <t>3.24 MB</t>
  </si>
  <si>
    <t>115.13 MB</t>
  </si>
  <si>
    <t>1566.72 KB</t>
  </si>
  <si>
    <t>8.99 MB</t>
  </si>
  <si>
    <t>1177.6 GB</t>
  </si>
  <si>
    <t>945 KB</t>
  </si>
  <si>
    <t>122.73 MB</t>
  </si>
  <si>
    <t>38.85 MB</t>
  </si>
  <si>
    <t>1443.84 KB</t>
  </si>
  <si>
    <t>13.64 MB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</si>
  <si>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</si>
  <si>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</si>
  <si>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</si>
  <si>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</si>
  <si>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</si>
  <si>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</si>
  <si>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</si>
  <si>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</si>
  <si>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</si>
  <si>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</si>
  <si>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</si>
  <si>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</si>
  <si>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</si>
  <si>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diagnosis_code</t>
  </si>
  <si>
    <t>paid_amount</t>
  </si>
  <si>
    <t>superGrouperDescription</t>
  </si>
  <si>
    <t>grouperDescription</t>
  </si>
  <si>
    <t>admissionFromEr</t>
  </si>
  <si>
    <t>Partially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</si>
</sst>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184"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8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54" t="s">
        <v>386</v>
      </c>
      <c r="C1" s="54"/>
      <c r="D1" s="54"/>
      <c r="E1" s="54"/>
      <c r="F1" s="54"/>
      <c r="G1" s="54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54" t="s">
        <v>387</v>
      </c>
      <c r="C8" s="54"/>
      <c r="D8" s="54"/>
      <c r="E8" s="54"/>
      <c r="F8" s="54"/>
      <c r="G8" s="54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42825</v>
      </c>
      <c r="C10" s="9">
        <v>42825</v>
      </c>
      <c r="D10" s="29" t="s">
        <v>505</v>
      </c>
      <c r="E10" s="7" t="s">
        <v>506</v>
      </c>
      <c r="F10" s="29" t="s">
        <v>550</v>
      </c>
      <c r="G10" s="8"/>
    </row>
    <row r="12" spans="2:7" x14ac:dyDescent="0.25">
      <c r="B12" s="54" t="s">
        <v>388</v>
      </c>
      <c r="C12" s="54"/>
      <c r="D12" s="54"/>
      <c r="E12" s="54"/>
      <c r="F12" s="54"/>
      <c r="G12" s="54"/>
    </row>
    <row r="13" spans="2:7" x14ac:dyDescent="0.25">
      <c r="B13" s="15" t="s">
        <v>361</v>
      </c>
      <c r="C13" s="56" t="s">
        <v>362</v>
      </c>
      <c r="D13" s="56"/>
      <c r="E13" s="56"/>
      <c r="F13" s="56"/>
      <c r="G13" s="15" t="s">
        <v>360</v>
      </c>
    </row>
    <row r="14" spans="2:7" x14ac:dyDescent="0.25">
      <c r="B14" s="1" t="s">
        <v>363</v>
      </c>
      <c r="C14" s="55" t="s">
        <v>373</v>
      </c>
      <c r="D14" s="55"/>
      <c r="E14" s="55"/>
      <c r="F14" s="55"/>
      <c r="G14" s="11" t="str">
        <f>File_Size_Comparision!L2</f>
        <v>Fail</v>
      </c>
    </row>
    <row r="15" spans="2:7" x14ac:dyDescent="0.25">
      <c r="B15" s="47" t="s">
        <v>364</v>
      </c>
      <c r="C15" s="55" t="s">
        <v>478</v>
      </c>
      <c r="D15" s="55"/>
      <c r="E15" s="55"/>
      <c r="F15" s="55"/>
      <c r="G15" s="11" t="str">
        <f>Demographics!M5</f>
        <v>Pass</v>
      </c>
    </row>
    <row r="16" spans="2:7" x14ac:dyDescent="0.25">
      <c r="B16" s="47" t="s">
        <v>365</v>
      </c>
      <c r="C16" s="55" t="s">
        <v>479</v>
      </c>
      <c r="D16" s="55"/>
      <c r="E16" s="55"/>
      <c r="F16" s="55"/>
      <c r="G16" s="11" t="str">
        <f>Demographics!M6</f>
        <v>Pass</v>
      </c>
    </row>
    <row r="17" spans="2:7" x14ac:dyDescent="0.25">
      <c r="B17" s="47" t="s">
        <v>366</v>
      </c>
      <c r="C17" s="55" t="s">
        <v>414</v>
      </c>
      <c r="D17" s="55"/>
      <c r="E17" s="55"/>
      <c r="F17" s="55"/>
      <c r="G17" s="11" t="str">
        <f>Eligibility!M6</f>
        <v>Pass</v>
      </c>
    </row>
    <row r="18" spans="2:7" x14ac:dyDescent="0.25">
      <c r="B18" s="47" t="s">
        <v>367</v>
      </c>
      <c r="C18" s="55" t="s">
        <v>415</v>
      </c>
      <c r="D18" s="55"/>
      <c r="E18" s="55"/>
      <c r="F18" s="55"/>
      <c r="G18" s="11" t="str">
        <f>Eligibility!M7</f>
        <v>Pass</v>
      </c>
    </row>
    <row r="19" spans="2:7" x14ac:dyDescent="0.25">
      <c r="B19" s="47" t="s">
        <v>368</v>
      </c>
      <c r="C19" s="55" t="s">
        <v>469</v>
      </c>
      <c r="D19" s="55"/>
      <c r="E19" s="55"/>
      <c r="F19" s="55"/>
      <c r="G19" s="11" t="str">
        <f>Eligibility!M8</f>
        <v>Pass</v>
      </c>
    </row>
    <row r="20" spans="2:7" x14ac:dyDescent="0.25">
      <c r="B20" s="47" t="s">
        <v>369</v>
      </c>
      <c r="C20" s="55" t="s">
        <v>484</v>
      </c>
      <c r="D20" s="55"/>
      <c r="E20" s="55"/>
      <c r="F20" s="55"/>
      <c r="G20" s="11" t="str">
        <f>High_Cost!M5</f>
        <v>Pass</v>
      </c>
    </row>
    <row r="21" spans="2:7" x14ac:dyDescent="0.25">
      <c r="B21" s="47" t="s">
        <v>370</v>
      </c>
      <c r="C21" s="55" t="s">
        <v>485</v>
      </c>
      <c r="D21" s="55"/>
      <c r="E21" s="55"/>
      <c r="F21" s="55"/>
      <c r="G21" s="11" t="str">
        <f>High_Cost!M6</f>
        <v>Pass</v>
      </c>
    </row>
    <row r="22" spans="2:7" x14ac:dyDescent="0.25">
      <c r="B22" s="47" t="s">
        <v>371</v>
      </c>
      <c r="C22" s="55" t="s">
        <v>431</v>
      </c>
      <c r="D22" s="55"/>
      <c r="E22" s="55"/>
      <c r="F22" s="55"/>
      <c r="G22" s="11" t="str">
        <f>Medical_Claims!M6</f>
        <v>Pass</v>
      </c>
    </row>
    <row r="23" spans="2:7" x14ac:dyDescent="0.25">
      <c r="B23" s="47" t="s">
        <v>372</v>
      </c>
      <c r="C23" s="55" t="s">
        <v>432</v>
      </c>
      <c r="D23" s="55"/>
      <c r="E23" s="55"/>
      <c r="F23" s="55"/>
      <c r="G23" s="11" t="str">
        <f>Medical_Claims!M7</f>
        <v>Pass</v>
      </c>
    </row>
    <row r="24" spans="2:7" x14ac:dyDescent="0.25">
      <c r="B24" s="47" t="s">
        <v>374</v>
      </c>
      <c r="C24" s="55" t="s">
        <v>470</v>
      </c>
      <c r="D24" s="55"/>
      <c r="E24" s="55"/>
      <c r="F24" s="55"/>
      <c r="G24" s="11" t="str">
        <f>Medical_Claims!M8</f>
        <v>Pass</v>
      </c>
    </row>
    <row r="25" spans="2:7" x14ac:dyDescent="0.25">
      <c r="B25" s="47" t="s">
        <v>416</v>
      </c>
      <c r="C25" s="55" t="s">
        <v>504</v>
      </c>
      <c r="D25" s="55"/>
      <c r="E25" s="55"/>
      <c r="F25" s="55"/>
      <c r="G25" s="11" t="str">
        <f>Participation!M7</f>
        <v>Fail</v>
      </c>
    </row>
    <row r="26" spans="2:7" x14ac:dyDescent="0.25">
      <c r="B26" s="47" t="s">
        <v>417</v>
      </c>
      <c r="C26" s="55" t="s">
        <v>499</v>
      </c>
      <c r="D26" s="55"/>
      <c r="E26" s="55"/>
      <c r="F26" s="55"/>
      <c r="G26" s="11" t="str">
        <f>Participation!M8</f>
        <v>Pass</v>
      </c>
    </row>
    <row r="27" spans="2:7" x14ac:dyDescent="0.25">
      <c r="B27" s="47" t="s">
        <v>418</v>
      </c>
      <c r="C27" s="55" t="s">
        <v>500</v>
      </c>
      <c r="D27" s="55"/>
      <c r="E27" s="55"/>
      <c r="F27" s="55"/>
      <c r="G27" s="39" t="str">
        <f>Participation!M9</f>
        <v>Pass</v>
      </c>
    </row>
    <row r="28" spans="2:7" x14ac:dyDescent="0.25">
      <c r="B28" s="47" t="s">
        <v>419</v>
      </c>
      <c r="C28" s="55" t="s">
        <v>420</v>
      </c>
      <c r="D28" s="55"/>
      <c r="E28" s="55"/>
      <c r="F28" s="55"/>
      <c r="G28" s="11" t="str">
        <f>Member_PCP!M6</f>
        <v>Pass</v>
      </c>
    </row>
    <row r="29" spans="2:7" x14ac:dyDescent="0.25">
      <c r="B29" s="47" t="s">
        <v>472</v>
      </c>
      <c r="C29" s="55" t="s">
        <v>425</v>
      </c>
      <c r="D29" s="55"/>
      <c r="E29" s="55"/>
      <c r="F29" s="55"/>
      <c r="G29" s="11" t="str">
        <f>Member_PCP!M7</f>
        <v>Pass</v>
      </c>
    </row>
    <row r="30" spans="2:7" x14ac:dyDescent="0.25">
      <c r="B30" s="47" t="s">
        <v>473</v>
      </c>
      <c r="C30" s="55" t="s">
        <v>421</v>
      </c>
      <c r="D30" s="55"/>
      <c r="E30" s="55"/>
      <c r="F30" s="55"/>
      <c r="G30" s="11" t="str">
        <f>Pharmacy!M6</f>
        <v>Pass</v>
      </c>
    </row>
    <row r="31" spans="2:7" x14ac:dyDescent="0.25">
      <c r="B31" s="47" t="s">
        <v>474</v>
      </c>
      <c r="C31" s="55" t="s">
        <v>426</v>
      </c>
      <c r="D31" s="55"/>
      <c r="E31" s="55"/>
      <c r="F31" s="55"/>
      <c r="G31" s="11" t="str">
        <f>Pharmacy!M7</f>
        <v>Pass</v>
      </c>
    </row>
    <row r="32" spans="2:7" x14ac:dyDescent="0.25">
      <c r="B32" s="47" t="s">
        <v>486</v>
      </c>
      <c r="C32" s="55" t="s">
        <v>471</v>
      </c>
      <c r="D32" s="55"/>
      <c r="E32" s="55"/>
      <c r="F32" s="55"/>
      <c r="G32" s="11" t="str">
        <f>Pharmacy!M8</f>
        <v>Pass</v>
      </c>
    </row>
    <row r="33" spans="2:7" x14ac:dyDescent="0.25">
      <c r="B33" s="47" t="s">
        <v>487</v>
      </c>
      <c r="C33" s="55" t="s">
        <v>422</v>
      </c>
      <c r="D33" s="55"/>
      <c r="E33" s="55"/>
      <c r="F33" s="55"/>
      <c r="G33" s="11" t="str">
        <f>Quality_Metrics!M6</f>
        <v>Pass</v>
      </c>
    </row>
    <row r="34" spans="2:7" x14ac:dyDescent="0.25">
      <c r="B34" s="47" t="s">
        <v>488</v>
      </c>
      <c r="C34" s="55" t="s">
        <v>427</v>
      </c>
      <c r="D34" s="55"/>
      <c r="E34" s="55"/>
      <c r="F34" s="55"/>
      <c r="G34" s="11" t="str">
        <f>Quality_Metrics!M7</f>
        <v>Pass</v>
      </c>
    </row>
    <row r="35" spans="2:7" x14ac:dyDescent="0.25">
      <c r="B35" s="47" t="s">
        <v>489</v>
      </c>
      <c r="C35" s="55" t="s">
        <v>423</v>
      </c>
      <c r="D35" s="55"/>
      <c r="E35" s="55"/>
      <c r="F35" s="55"/>
      <c r="G35" s="11" t="str">
        <f>Scores!M6</f>
        <v>Pass</v>
      </c>
    </row>
    <row r="36" spans="2:7" x14ac:dyDescent="0.25">
      <c r="B36" s="47" t="s">
        <v>501</v>
      </c>
      <c r="C36" s="55" t="s">
        <v>428</v>
      </c>
      <c r="D36" s="55"/>
      <c r="E36" s="55"/>
      <c r="F36" s="55"/>
      <c r="G36" s="11" t="str">
        <f>Scores!M7</f>
        <v>Pass</v>
      </c>
    </row>
    <row r="37" spans="2:7" x14ac:dyDescent="0.25">
      <c r="B37" s="47" t="s">
        <v>502</v>
      </c>
      <c r="C37" s="55" t="s">
        <v>424</v>
      </c>
      <c r="D37" s="55"/>
      <c r="E37" s="55"/>
      <c r="F37" s="55"/>
      <c r="G37" s="11" t="str">
        <f>Visit!M6</f>
        <v>Pass</v>
      </c>
    </row>
    <row r="38" spans="2:7" x14ac:dyDescent="0.25">
      <c r="B38" s="47" t="s">
        <v>503</v>
      </c>
      <c r="C38" s="55" t="s">
        <v>429</v>
      </c>
      <c r="D38" s="55"/>
      <c r="E38" s="55"/>
      <c r="F38" s="55"/>
      <c r="G38" s="11" t="str">
        <f>Visit!M7</f>
        <v>Pass</v>
      </c>
    </row>
  </sheetData>
  <mergeCells count="29">
    <mergeCell ref="C38:F38"/>
    <mergeCell ref="B8:G8"/>
    <mergeCell ref="C35:F35"/>
    <mergeCell ref="C37:F37"/>
    <mergeCell ref="C34:F34"/>
    <mergeCell ref="C36:F36"/>
    <mergeCell ref="C19:F19"/>
    <mergeCell ref="C24:F24"/>
    <mergeCell ref="C32:F32"/>
    <mergeCell ref="C21:F21"/>
    <mergeCell ref="C25:F25"/>
    <mergeCell ref="C26:F26"/>
    <mergeCell ref="C27:F27"/>
    <mergeCell ref="B1:G1"/>
    <mergeCell ref="C14:F14"/>
    <mergeCell ref="C33:F33"/>
    <mergeCell ref="C18:F18"/>
    <mergeCell ref="C23:F23"/>
    <mergeCell ref="C29:F29"/>
    <mergeCell ref="C31:F31"/>
    <mergeCell ref="C13:F13"/>
    <mergeCell ref="C28:F28"/>
    <mergeCell ref="C30:F30"/>
    <mergeCell ref="B12:G12"/>
    <mergeCell ref="C17:F17"/>
    <mergeCell ref="C22:F22"/>
    <mergeCell ref="C15:F15"/>
    <mergeCell ref="C16:F16"/>
    <mergeCell ref="C20:F20"/>
  </mergeCells>
  <conditionalFormatting sqref="F10 G14:G38">
    <cfRule type="cellIs" dxfId="183" priority="41" operator="equal">
      <formula>"Fail"</formula>
    </cfRule>
    <cfRule type="cellIs" dxfId="182" priority="42" operator="equal">
      <formula>"Pass"</formula>
    </cfRule>
  </conditionalFormatting>
  <conditionalFormatting sqref="F10 G14:G38">
    <cfRule type="cellIs" dxfId="181" priority="39" operator="equal">
      <formula>"Not Tested"</formula>
    </cfRule>
    <cfRule type="cellIs" dxfId="180" priority="40" operator="equal">
      <formula>"Partially Pass"</formula>
    </cfRule>
  </conditionalFormatting>
  <conditionalFormatting sqref="F10">
    <cfRule type="containsText" dxfId="179" priority="1" operator="containsText" text="Partially Pass">
      <formula>NOT(ISERROR(SEARCH("Partially Pass",F10)))</formula>
    </cfRule>
    <cfRule type="containsText" dxfId="178" priority="2" operator="containsText" text="Pass">
      <formula>NOT(ISERROR(SEARCH("Pass",F10)))</formula>
    </cfRule>
    <cfRule type="cellIs" dxfId="177" priority="25" operator="equal">
      <formula>"Not Tested"</formula>
    </cfRule>
    <cfRule type="cellIs" dxfId="176" priority="26" operator="equal">
      <formula>"Pending"</formula>
    </cfRule>
    <cfRule type="cellIs" dxfId="175" priority="27" operator="equal">
      <formula>"Ongoing"</formula>
    </cfRule>
    <cfRule type="cellIs" dxfId="174" priority="28" operator="equal">
      <formula>"Blocked"</formula>
    </cfRule>
    <cfRule type="cellIs" dxfId="173" priority="29" operator="equal">
      <formula>"Fail"</formula>
    </cfRule>
    <cfRule type="cellIs" dxfId="172" priority="30" operator="equal">
      <formula>"Partially Fail"</formula>
    </cfRule>
    <cfRule type="cellIs" dxfId="171" priority="31" operator="equal">
      <formula>"Pass"</formula>
    </cfRule>
  </conditionalFormatting>
  <conditionalFormatting sqref="F10">
    <cfRule type="cellIs" dxfId="170" priority="32" operator="equal">
      <formula>"Not Tested"</formula>
    </cfRule>
    <cfRule type="cellIs" dxfId="169" priority="33" operator="equal">
      <formula>"Pending"</formula>
    </cfRule>
    <cfRule type="cellIs" dxfId="168" priority="34" operator="equal">
      <formula>"Ongoing"</formula>
    </cfRule>
    <cfRule type="cellIs" dxfId="167" priority="35" operator="equal">
      <formula>"Blocked"</formula>
    </cfRule>
    <cfRule type="cellIs" dxfId="166" priority="36" operator="equal">
      <formula>"Fail"</formula>
    </cfRule>
    <cfRule type="cellIs" dxfId="165" priority="37" operator="equal">
      <formula>"Partially Pass"</formula>
    </cfRule>
    <cfRule type="cellIs" dxfId="164" priority="38" operator="equal">
      <formula>"Pass"</formula>
    </cfRule>
  </conditionalFormatting>
  <conditionalFormatting sqref="G38">
    <cfRule type="cellIs" dxfId="163" priority="5" operator="equal">
      <formula>"Fail"</formula>
    </cfRule>
    <cfRule type="cellIs" dxfId="162" priority="6" operator="equal">
      <formula>"Pass"</formula>
    </cfRule>
  </conditionalFormatting>
  <conditionalFormatting sqref="G38">
    <cfRule type="cellIs" dxfId="161" priority="3" operator="equal">
      <formula>"Not Tested"</formula>
    </cfRule>
    <cfRule type="cellIs" dxfId="160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</cols>
  <sheetData>
    <row r="1" spans="2:13" x14ac:dyDescent="0.25">
      <c r="B1" s="56" t="s">
        <v>391</v>
      </c>
      <c r="C1" s="56"/>
      <c r="D1" s="56" t="s">
        <v>357</v>
      </c>
      <c r="E1" s="56"/>
      <c r="F1" s="57" t="s">
        <v>375</v>
      </c>
      <c r="G1" s="57" t="s">
        <v>360</v>
      </c>
      <c r="M1" s="26" t="s">
        <v>413</v>
      </c>
    </row>
    <row r="2" spans="2:13" x14ac:dyDescent="0.25">
      <c r="B2" s="15" t="s">
        <v>358</v>
      </c>
      <c r="C2" s="15" t="s">
        <v>359</v>
      </c>
      <c r="D2" s="15" t="s">
        <v>358</v>
      </c>
      <c r="E2" s="15" t="s">
        <v>359</v>
      </c>
      <c r="F2" s="57"/>
      <c r="G2" s="57"/>
      <c r="K2" s="24" t="s">
        <v>430</v>
      </c>
      <c r="L2" s="11" t="str">
        <f>IF(ISERROR(VLOOKUP($M$1,$G$2:$G$11,1,)),"Pass","Fail")</f>
        <v>Fail</v>
      </c>
    </row>
    <row r="3" spans="2:13" x14ac:dyDescent="0.25">
      <c r="B3" s="52" t="s">
        <v>507</v>
      </c>
      <c r="C3" s="52" t="s">
        <v>508</v>
      </c>
      <c r="D3" s="52" t="s">
        <v>507</v>
      </c>
      <c r="E3" s="50" t="s">
        <v>521</v>
      </c>
      <c r="F3" s="2">
        <f>IF(I3=0,0%,(I3-H3)/I3)</f>
        <v>0.48571428571428571</v>
      </c>
      <c r="G3" s="11" t="str">
        <f>IF(AND(F3&lt;=10%,F3&gt;=-10%),"Pass","Fail")</f>
        <v>Fail</v>
      </c>
      <c r="H3" s="1" t="str">
        <f>LEFT(C3, SEARCH(" ", C3, 1))</f>
        <v xml:space="preserve">3.96 </v>
      </c>
      <c r="I3" s="1" t="str">
        <f>LEFT(E3, SEARCH(" ", E3, 1))</f>
        <v xml:space="preserve">7.70 </v>
      </c>
    </row>
    <row r="4" spans="2:13" x14ac:dyDescent="0.25">
      <c r="B4" s="50" t="s">
        <v>490</v>
      </c>
      <c r="C4" s="52" t="s">
        <v>509</v>
      </c>
      <c r="D4" s="50" t="s">
        <v>490</v>
      </c>
      <c r="E4" s="50" t="s">
        <v>522</v>
      </c>
      <c r="F4" s="2">
        <f t="shared" ref="F4:F13" si="0">IF(I4=0,0%,(I4-H4)/I4)</f>
        <v>0.51234567901234573</v>
      </c>
      <c r="G4" s="11" t="str">
        <f t="shared" ref="G4:G14" si="1">IF(AND(F4&lt;=10%,F4&gt;=-10%),"Pass","Fail")</f>
        <v>Fail</v>
      </c>
      <c r="H4" s="50" t="str">
        <f t="shared" ref="H4:H14" si="2">LEFT(C4, SEARCH(" ", C4, 1))</f>
        <v xml:space="preserve">1.58 </v>
      </c>
      <c r="I4" s="50" t="str">
        <f t="shared" ref="I4:I14" si="3">LEFT(E4, SEARCH(" ", E4, 1))</f>
        <v xml:space="preserve">3.24 </v>
      </c>
    </row>
    <row r="5" spans="2:13" x14ac:dyDescent="0.25">
      <c r="B5" s="50" t="s">
        <v>73</v>
      </c>
      <c r="C5" s="52" t="s">
        <v>510</v>
      </c>
      <c r="D5" s="50" t="s">
        <v>73</v>
      </c>
      <c r="E5" s="50" t="s">
        <v>523</v>
      </c>
      <c r="F5" s="2">
        <f t="shared" si="0"/>
        <v>0.22209676018413962</v>
      </c>
      <c r="G5" s="11" t="str">
        <f t="shared" si="1"/>
        <v>Fail</v>
      </c>
      <c r="H5" s="50" t="str">
        <f t="shared" si="2"/>
        <v xml:space="preserve">89.56 </v>
      </c>
      <c r="I5" s="50" t="str">
        <f t="shared" si="3"/>
        <v xml:space="preserve">115.13 </v>
      </c>
    </row>
    <row r="6" spans="2:13" x14ac:dyDescent="0.25">
      <c r="B6" s="50" t="s">
        <v>491</v>
      </c>
      <c r="C6" s="52" t="s">
        <v>511</v>
      </c>
      <c r="D6" s="50" t="s">
        <v>491</v>
      </c>
      <c r="E6" s="50" t="s">
        <v>524</v>
      </c>
      <c r="F6" s="2">
        <f t="shared" si="0"/>
        <v>0.54098371119281052</v>
      </c>
      <c r="G6" s="11" t="str">
        <f t="shared" si="1"/>
        <v>Fail</v>
      </c>
      <c r="H6" s="50" t="str">
        <f t="shared" si="2"/>
        <v xml:space="preserve">719.15 </v>
      </c>
      <c r="I6" s="50" t="str">
        <f t="shared" si="3"/>
        <v xml:space="preserve">1566.72 </v>
      </c>
    </row>
    <row r="7" spans="2:13" x14ac:dyDescent="0.25">
      <c r="B7" s="50" t="s">
        <v>512</v>
      </c>
      <c r="C7" s="52" t="s">
        <v>513</v>
      </c>
      <c r="D7" s="50" t="s">
        <v>512</v>
      </c>
      <c r="E7" s="50" t="s">
        <v>525</v>
      </c>
      <c r="F7" s="2">
        <f t="shared" si="0"/>
        <v>0.24805339265850951</v>
      </c>
      <c r="G7" s="11" t="str">
        <f t="shared" si="1"/>
        <v>Fail</v>
      </c>
      <c r="H7" s="50" t="str">
        <f t="shared" si="2"/>
        <v xml:space="preserve">6.76 </v>
      </c>
      <c r="I7" s="50" t="str">
        <f t="shared" si="3"/>
        <v xml:space="preserve">8.99 </v>
      </c>
    </row>
    <row r="8" spans="2:13" x14ac:dyDescent="0.25">
      <c r="B8" s="50" t="s">
        <v>74</v>
      </c>
      <c r="C8" s="52" t="s">
        <v>514</v>
      </c>
      <c r="D8" s="50" t="s">
        <v>74</v>
      </c>
      <c r="E8" s="50" t="s">
        <v>526</v>
      </c>
      <c r="F8" s="2">
        <f t="shared" si="0"/>
        <v>0.57504245923913033</v>
      </c>
      <c r="G8" s="11" t="str">
        <f t="shared" si="1"/>
        <v>Fail</v>
      </c>
      <c r="H8" s="50" t="str">
        <f t="shared" si="2"/>
        <v xml:space="preserve">500.43 </v>
      </c>
      <c r="I8" s="50" t="str">
        <f t="shared" si="3"/>
        <v xml:space="preserve">1177.6 </v>
      </c>
    </row>
    <row r="9" spans="2:13" x14ac:dyDescent="0.25">
      <c r="B9" s="50" t="s">
        <v>492</v>
      </c>
      <c r="C9" s="52" t="s">
        <v>515</v>
      </c>
      <c r="D9" s="50" t="s">
        <v>492</v>
      </c>
      <c r="E9" s="47"/>
      <c r="F9" s="2" t="e">
        <f t="shared" si="0"/>
        <v>#VALUE!</v>
      </c>
      <c r="G9" s="11" t="e">
        <f t="shared" si="1"/>
        <v>#VALUE!</v>
      </c>
      <c r="H9" s="50" t="str">
        <f t="shared" si="2"/>
        <v xml:space="preserve">151 </v>
      </c>
      <c r="I9" s="50" t="e">
        <f t="shared" si="3"/>
        <v>#VALUE!</v>
      </c>
    </row>
    <row r="10" spans="2:13" x14ac:dyDescent="0.25">
      <c r="B10" s="50" t="s">
        <v>75</v>
      </c>
      <c r="C10" s="52" t="s">
        <v>516</v>
      </c>
      <c r="D10" s="50" t="s">
        <v>75</v>
      </c>
      <c r="E10" s="50" t="s">
        <v>527</v>
      </c>
      <c r="F10" s="2">
        <f t="shared" si="0"/>
        <v>0.3274285714285714</v>
      </c>
      <c r="G10" s="11" t="str">
        <f t="shared" si="1"/>
        <v>Fail</v>
      </c>
      <c r="H10" s="50" t="str">
        <f t="shared" si="2"/>
        <v xml:space="preserve">635.58 </v>
      </c>
      <c r="I10" s="50" t="str">
        <f t="shared" si="3"/>
        <v xml:space="preserve">945 </v>
      </c>
    </row>
    <row r="11" spans="2:13" x14ac:dyDescent="0.25">
      <c r="B11" s="50" t="s">
        <v>76</v>
      </c>
      <c r="C11" s="52" t="s">
        <v>517</v>
      </c>
      <c r="D11" s="50" t="s">
        <v>76</v>
      </c>
      <c r="E11" s="50" t="s">
        <v>528</v>
      </c>
      <c r="F11" s="2">
        <f t="shared" si="0"/>
        <v>0.57320948423368367</v>
      </c>
      <c r="G11" s="11" t="str">
        <f t="shared" si="1"/>
        <v>Fail</v>
      </c>
      <c r="H11" s="50" t="str">
        <f t="shared" si="2"/>
        <v xml:space="preserve">52.38 </v>
      </c>
      <c r="I11" s="50" t="str">
        <f t="shared" si="3"/>
        <v xml:space="preserve">122.73 </v>
      </c>
    </row>
    <row r="12" spans="2:13" x14ac:dyDescent="0.25">
      <c r="B12" s="50" t="s">
        <v>77</v>
      </c>
      <c r="C12" s="52" t="s">
        <v>518</v>
      </c>
      <c r="D12" s="50" t="s">
        <v>77</v>
      </c>
      <c r="E12" s="50" t="s">
        <v>529</v>
      </c>
      <c r="F12" s="2">
        <f t="shared" si="0"/>
        <v>0.50270270270270268</v>
      </c>
      <c r="G12" s="11" t="str">
        <f t="shared" si="1"/>
        <v>Fail</v>
      </c>
      <c r="H12" s="50" t="str">
        <f t="shared" si="2"/>
        <v xml:space="preserve">19.32 </v>
      </c>
      <c r="I12" s="50" t="str">
        <f t="shared" si="3"/>
        <v xml:space="preserve">38.85 </v>
      </c>
    </row>
    <row r="13" spans="2:13" x14ac:dyDescent="0.25">
      <c r="B13" s="50" t="s">
        <v>78</v>
      </c>
      <c r="C13" s="52" t="s">
        <v>519</v>
      </c>
      <c r="D13" s="50" t="s">
        <v>78</v>
      </c>
      <c r="E13" s="50" t="s">
        <v>530</v>
      </c>
      <c r="F13" s="2">
        <f t="shared" si="0"/>
        <v>0.60191572473404253</v>
      </c>
      <c r="G13" s="11" t="str">
        <f t="shared" si="1"/>
        <v>Fail</v>
      </c>
      <c r="H13" s="50" t="str">
        <f t="shared" si="2"/>
        <v xml:space="preserve">574.77 </v>
      </c>
      <c r="I13" s="50" t="str">
        <f t="shared" si="3"/>
        <v xml:space="preserve">1443.84 </v>
      </c>
      <c r="M13" s="28"/>
    </row>
    <row r="14" spans="2:13" x14ac:dyDescent="0.25">
      <c r="B14" s="50" t="s">
        <v>79</v>
      </c>
      <c r="C14" s="52" t="s">
        <v>520</v>
      </c>
      <c r="D14" s="50" t="s">
        <v>79</v>
      </c>
      <c r="E14" s="50" t="s">
        <v>531</v>
      </c>
      <c r="F14" s="2">
        <f t="shared" ref="F14" si="4">IF(I14=0,0%,(I14-H14)/I14)</f>
        <v>0.54178885630498541</v>
      </c>
      <c r="G14" s="11" t="str">
        <f t="shared" si="1"/>
        <v>Fail</v>
      </c>
      <c r="H14" s="50" t="str">
        <f t="shared" si="2"/>
        <v xml:space="preserve">6.25 </v>
      </c>
      <c r="I14" s="50" t="str">
        <f t="shared" si="3"/>
        <v xml:space="preserve">13.64 </v>
      </c>
      <c r="M14" s="28"/>
    </row>
    <row r="15" spans="2:13" x14ac:dyDescent="0.25">
      <c r="M15" s="28"/>
    </row>
    <row r="16" spans="2:13" x14ac:dyDescent="0.25">
      <c r="M16" s="28"/>
    </row>
    <row r="17" spans="2:11" x14ac:dyDescent="0.25">
      <c r="K17" s="28"/>
    </row>
    <row r="18" spans="2:11" x14ac:dyDescent="0.25">
      <c r="E18" s="28"/>
    </row>
    <row r="20" spans="2:11" x14ac:dyDescent="0.25">
      <c r="B20" s="28"/>
    </row>
    <row r="21" spans="2:11" x14ac:dyDescent="0.25">
      <c r="B21" s="28"/>
    </row>
    <row r="22" spans="2:11" x14ac:dyDescent="0.25">
      <c r="B22" s="28"/>
    </row>
    <row r="23" spans="2:11" x14ac:dyDescent="0.25">
      <c r="B23" s="28"/>
    </row>
    <row r="24" spans="2:11" x14ac:dyDescent="0.25">
      <c r="B24" s="28"/>
    </row>
    <row r="25" spans="2:11" x14ac:dyDescent="0.25">
      <c r="B25" s="28"/>
    </row>
    <row r="26" spans="2:11" x14ac:dyDescent="0.25">
      <c r="B26" s="28"/>
    </row>
  </sheetData>
  <mergeCells count="4">
    <mergeCell ref="B1:C1"/>
    <mergeCell ref="D1:E1"/>
    <mergeCell ref="G1:G2"/>
    <mergeCell ref="F1:F2"/>
  </mergeCells>
  <conditionalFormatting sqref="G3:G14">
    <cfRule type="cellIs" dxfId="159" priority="5" operator="equal">
      <formula>"Fail"</formula>
    </cfRule>
    <cfRule type="cellIs" dxfId="158" priority="6" operator="equal">
      <formula>"Pass"</formula>
    </cfRule>
  </conditionalFormatting>
  <conditionalFormatting sqref="L2">
    <cfRule type="cellIs" dxfId="157" priority="3" operator="equal">
      <formula>"Fail"</formula>
    </cfRule>
    <cfRule type="cellIs" dxfId="156" priority="4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9"/>
  <sheetViews>
    <sheetView showGridLines="0" workbookViewId="0"/>
  </sheetViews>
  <sheetFormatPr defaultRowHeight="15" x14ac:dyDescent="0.25"/>
  <cols>
    <col min="1" max="1" width="5.7109375" customWidth="1"/>
    <col min="2" max="2" width="19.28515625" bestFit="1" customWidth="1"/>
    <col min="3" max="3" width="11.42578125" customWidth="1"/>
    <col min="4" max="4" width="14.28515625" customWidth="1"/>
    <col min="5" max="6" width="15.42578125" customWidth="1"/>
    <col min="7" max="7" width="14" customWidth="1"/>
    <col min="8" max="8" width="14.28515625" customWidth="1"/>
    <col min="9" max="10" width="0" hidden="1" customWidth="1"/>
    <col min="12" max="12" width="20.7109375" customWidth="1"/>
    <col min="13" max="13" width="18.5703125" customWidth="1"/>
  </cols>
  <sheetData>
    <row r="1" spans="2:14" ht="19.5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36646</v>
      </c>
      <c r="M2" s="19">
        <v>18577</v>
      </c>
      <c r="N2" s="22">
        <f>L2-M2</f>
        <v>18069</v>
      </c>
    </row>
    <row r="3" spans="2:14" x14ac:dyDescent="0.2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4" x14ac:dyDescent="0.2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4" x14ac:dyDescent="0.25">
      <c r="B5" s="50" t="s">
        <v>532</v>
      </c>
      <c r="C5" s="50" t="s">
        <v>399</v>
      </c>
      <c r="D5" s="11">
        <v>50</v>
      </c>
      <c r="E5" s="50" t="s">
        <v>532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4" x14ac:dyDescent="0.25">
      <c r="B6" s="50" t="s">
        <v>533</v>
      </c>
      <c r="C6" s="50" t="s">
        <v>399</v>
      </c>
      <c r="D6" s="11">
        <v>20</v>
      </c>
      <c r="E6" s="50" t="s">
        <v>533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4" x14ac:dyDescent="0.25">
      <c r="B7" s="50" t="s">
        <v>534</v>
      </c>
      <c r="C7" s="50" t="s">
        <v>399</v>
      </c>
      <c r="D7" s="11">
        <v>10</v>
      </c>
      <c r="E7" s="50" t="s">
        <v>534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0.97265435753889218</v>
      </c>
    </row>
    <row r="8" spans="2:14" x14ac:dyDescent="0.2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0.48571428571428571</v>
      </c>
    </row>
    <row r="9" spans="2:14" x14ac:dyDescent="0.2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4" x14ac:dyDescent="0.25">
      <c r="B10" s="50" t="s">
        <v>535</v>
      </c>
      <c r="C10" s="50" t="s">
        <v>399</v>
      </c>
      <c r="D10" s="11">
        <v>10</v>
      </c>
      <c r="E10" s="50" t="s">
        <v>535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4" x14ac:dyDescent="0.25">
      <c r="B11" s="50" t="s">
        <v>536</v>
      </c>
      <c r="C11" s="50" t="s">
        <v>399</v>
      </c>
      <c r="D11" s="11">
        <v>50</v>
      </c>
      <c r="E11" s="50" t="s">
        <v>536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4" x14ac:dyDescent="0.25">
      <c r="B12" s="50" t="s">
        <v>537</v>
      </c>
      <c r="C12" s="50" t="s">
        <v>399</v>
      </c>
      <c r="D12" s="53">
        <v>65</v>
      </c>
      <c r="E12" s="50" t="s">
        <v>537</v>
      </c>
      <c r="F12" s="11">
        <v>65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4" x14ac:dyDescent="0.25">
      <c r="B13" s="50" t="s">
        <v>538</v>
      </c>
      <c r="C13" s="50" t="s">
        <v>399</v>
      </c>
      <c r="D13" s="11">
        <v>3</v>
      </c>
      <c r="E13" s="50" t="s">
        <v>538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4" x14ac:dyDescent="0.25">
      <c r="B14" s="50" t="s">
        <v>539</v>
      </c>
      <c r="C14" s="50" t="s">
        <v>399</v>
      </c>
      <c r="D14" s="11">
        <v>3</v>
      </c>
      <c r="E14" s="50" t="s">
        <v>539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4" x14ac:dyDescent="0.25">
      <c r="B15" s="50" t="s">
        <v>540</v>
      </c>
      <c r="C15" s="50" t="s">
        <v>400</v>
      </c>
      <c r="D15" s="11"/>
      <c r="E15" s="50" t="s">
        <v>540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4" x14ac:dyDescent="0.25">
      <c r="B16" s="50" t="s">
        <v>541</v>
      </c>
      <c r="C16" s="50" t="s">
        <v>399</v>
      </c>
      <c r="D16" s="11">
        <v>50</v>
      </c>
      <c r="E16" s="50" t="s">
        <v>541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50" t="s">
        <v>542</v>
      </c>
      <c r="C17" s="50" t="s">
        <v>399</v>
      </c>
      <c r="D17" s="11">
        <v>94</v>
      </c>
      <c r="E17" s="50" t="s">
        <v>542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50" t="s">
        <v>543</v>
      </c>
      <c r="C18" s="50" t="s">
        <v>399</v>
      </c>
      <c r="D18" s="11">
        <v>50</v>
      </c>
      <c r="E18" s="50" t="s">
        <v>543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50" t="s">
        <v>544</v>
      </c>
      <c r="C19" s="50" t="s">
        <v>399</v>
      </c>
      <c r="D19" s="11">
        <v>50</v>
      </c>
      <c r="E19" s="50" t="s">
        <v>544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55" priority="7" operator="equal">
      <formula>"Fail"</formula>
    </cfRule>
    <cfRule type="cellIs" dxfId="154" priority="8" operator="equal">
      <formula>"Pass"</formula>
    </cfRule>
  </conditionalFormatting>
  <conditionalFormatting sqref="G2:H19">
    <cfRule type="cellIs" dxfId="153" priority="5" operator="equal">
      <formula>"Fail"</formula>
    </cfRule>
    <cfRule type="cellIs" dxfId="152" priority="6" operator="equal">
      <formula>"Pass"</formula>
    </cfRule>
  </conditionalFormatting>
  <conditionalFormatting sqref="M5:M6">
    <cfRule type="cellIs" dxfId="151" priority="3" operator="equal">
      <formula>"Fail"</formula>
    </cfRule>
    <cfRule type="cellIs" dxfId="150" priority="4" operator="equal">
      <formula>"Pass"</formula>
    </cfRule>
  </conditionalFormatting>
  <conditionalFormatting sqref="M5:M6">
    <cfRule type="cellIs" dxfId="149" priority="1" operator="equal">
      <formula>"Fail"</formula>
    </cfRule>
    <cfRule type="cellIs" dxfId="148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399</v>
      </c>
      <c r="D2" s="11"/>
      <c r="E2" s="44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12801</v>
      </c>
      <c r="M2" s="19">
        <v>6169</v>
      </c>
      <c r="N2" s="22">
        <f>L2-M2</f>
        <v>6632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2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53">
        <v>32</v>
      </c>
      <c r="E6" s="44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44" t="s">
        <v>2</v>
      </c>
      <c r="C7" s="44" t="s">
        <v>399</v>
      </c>
      <c r="D7" s="53">
        <v>22</v>
      </c>
      <c r="E7" s="44" t="s">
        <v>2</v>
      </c>
      <c r="F7" s="11">
        <v>22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1.0750526827686822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0.51234567901234573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400</v>
      </c>
      <c r="D10" s="11">
        <v>100</v>
      </c>
      <c r="E10" s="44" t="s">
        <v>5</v>
      </c>
      <c r="F10" s="11">
        <v>26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399</v>
      </c>
      <c r="D13" s="11" t="s">
        <v>476</v>
      </c>
      <c r="E13" s="44" t="s">
        <v>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20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12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8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47" priority="7" operator="equal">
      <formula>"Fail"</formula>
    </cfRule>
    <cfRule type="cellIs" dxfId="146" priority="8" operator="equal">
      <formula>"Pass"</formula>
    </cfRule>
  </conditionalFormatting>
  <conditionalFormatting sqref="M5:M6">
    <cfRule type="cellIs" dxfId="145" priority="1" operator="equal">
      <formula>"Fail"</formula>
    </cfRule>
    <cfRule type="cellIs" dxfId="144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35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3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207601</v>
      </c>
      <c r="M2" s="19">
        <v>207601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163833</v>
      </c>
      <c r="N3" s="22">
        <f>L2-M3</f>
        <v>43768</v>
      </c>
    </row>
    <row r="4" spans="2:15" x14ac:dyDescent="0.25">
      <c r="B4" s="1" t="s">
        <v>2</v>
      </c>
      <c r="C4" s="17" t="s">
        <v>399</v>
      </c>
      <c r="D4" s="53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</row>
    <row r="5" spans="2:15" x14ac:dyDescent="0.2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11">
        <v>30</v>
      </c>
      <c r="E6" s="1" t="s">
        <v>4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11">
        <v>30</v>
      </c>
      <c r="E7" s="1" t="s">
        <v>5</v>
      </c>
      <c r="F7" s="11">
        <v>26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0.26715008575805849</v>
      </c>
    </row>
    <row r="10" spans="2:15" x14ac:dyDescent="0.25">
      <c r="B10" s="1" t="s">
        <v>8</v>
      </c>
      <c r="C10" s="17" t="s">
        <v>400</v>
      </c>
      <c r="D10" s="11" t="s">
        <v>476</v>
      </c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0.22209676018413962</v>
      </c>
    </row>
    <row r="11" spans="2:15" x14ac:dyDescent="0.2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11">
        <v>100</v>
      </c>
      <c r="E13" s="1" t="s">
        <v>11</v>
      </c>
      <c r="F13" s="11">
        <v>20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11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11">
        <v>15</v>
      </c>
      <c r="E17" s="1" t="s">
        <v>15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11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1" t="s">
        <v>19</v>
      </c>
      <c r="C21" s="17" t="s">
        <v>399</v>
      </c>
      <c r="D21" s="53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11">
        <v>20</v>
      </c>
      <c r="E22" s="1" t="s">
        <v>20</v>
      </c>
      <c r="F22" s="11">
        <v>20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11">
        <v>255</v>
      </c>
      <c r="E23" s="1" t="s">
        <v>21</v>
      </c>
      <c r="F23" s="11">
        <v>20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11">
        <v>20</v>
      </c>
      <c r="E24" s="1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11">
        <v>50</v>
      </c>
      <c r="E25" s="1" t="s">
        <v>23</v>
      </c>
      <c r="F25" s="11">
        <v>43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11">
        <v>20</v>
      </c>
      <c r="E26" s="1" t="s">
        <v>24</v>
      </c>
      <c r="F26" s="11">
        <v>8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11">
        <v>50</v>
      </c>
      <c r="E27" s="1" t="s">
        <v>25</v>
      </c>
      <c r="F27" s="11">
        <v>24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1" t="s">
        <v>26</v>
      </c>
      <c r="C28" s="17" t="s">
        <v>399</v>
      </c>
      <c r="D28" s="53">
        <v>66</v>
      </c>
      <c r="E28" s="1" t="s">
        <v>26</v>
      </c>
      <c r="F28" s="11">
        <v>66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11">
        <v>100</v>
      </c>
      <c r="E29" s="1" t="s">
        <v>27</v>
      </c>
      <c r="F29" s="11">
        <v>86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11">
        <v>50</v>
      </c>
      <c r="E31" s="1" t="s">
        <v>29</v>
      </c>
      <c r="F31" s="11">
        <v>15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1" t="s">
        <v>30</v>
      </c>
      <c r="C32" s="17" t="s">
        <v>399</v>
      </c>
      <c r="D32" s="53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11" t="s">
        <v>476</v>
      </c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11" t="s">
        <v>476</v>
      </c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11" t="s">
        <v>476</v>
      </c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11" t="s">
        <v>476</v>
      </c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11" t="s">
        <v>476</v>
      </c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11" t="s">
        <v>476</v>
      </c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11" t="s">
        <v>476</v>
      </c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11" t="s">
        <v>476</v>
      </c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11" t="s">
        <v>476</v>
      </c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11" t="s">
        <v>476</v>
      </c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11" t="s">
        <v>476</v>
      </c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11" t="s">
        <v>476</v>
      </c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11">
        <v>100</v>
      </c>
      <c r="E49" s="1" t="s">
        <v>47</v>
      </c>
      <c r="F49" s="11">
        <v>65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11">
        <v>30</v>
      </c>
      <c r="E50" s="1" t="s">
        <v>48</v>
      </c>
      <c r="F50" s="11">
        <v>16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11">
        <v>30</v>
      </c>
      <c r="E51" s="1" t="s">
        <v>49</v>
      </c>
      <c r="F51" s="11">
        <v>20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43" priority="23" operator="equal">
      <formula>"Fail"</formula>
    </cfRule>
    <cfRule type="cellIs" dxfId="142" priority="24" operator="equal">
      <formula>"Pass"</formula>
    </cfRule>
  </conditionalFormatting>
  <conditionalFormatting sqref="M6:N7">
    <cfRule type="cellIs" dxfId="141" priority="5" operator="equal">
      <formula>"Fail"</formula>
    </cfRule>
    <cfRule type="cellIs" dxfId="140" priority="6" operator="equal">
      <formula>"Pass"</formula>
    </cfRule>
  </conditionalFormatting>
  <conditionalFormatting sqref="M8">
    <cfRule type="containsText" dxfId="139" priority="1" operator="containsText" text="Pass">
      <formula>NOT(ISERROR(SEARCH("Pass",M8)))</formula>
    </cfRule>
    <cfRule type="containsText" dxfId="138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7" t="s">
        <v>83</v>
      </c>
      <c r="C2" s="47" t="s">
        <v>399</v>
      </c>
      <c r="D2" s="11"/>
      <c r="E2" s="47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12801</v>
      </c>
      <c r="M2" s="19">
        <v>6169</v>
      </c>
      <c r="N2" s="22">
        <f>L2-M2</f>
        <v>6632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7" t="s">
        <v>0</v>
      </c>
      <c r="C6" s="47" t="s">
        <v>399</v>
      </c>
      <c r="D6" s="53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7" t="s">
        <v>480</v>
      </c>
      <c r="C7" s="47" t="s">
        <v>399</v>
      </c>
      <c r="D7" s="11">
        <v>10</v>
      </c>
      <c r="E7" s="47" t="s">
        <v>545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1.0750526827686822</v>
      </c>
    </row>
    <row r="8" spans="2:15" x14ac:dyDescent="0.25">
      <c r="B8" s="47" t="s">
        <v>481</v>
      </c>
      <c r="C8" s="47" t="s">
        <v>399</v>
      </c>
      <c r="D8" s="11">
        <v>50</v>
      </c>
      <c r="E8" s="47" t="s">
        <v>546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0.54098371119281052</v>
      </c>
    </row>
    <row r="9" spans="2:15" x14ac:dyDescent="0.25">
      <c r="B9" s="47" t="s">
        <v>482</v>
      </c>
      <c r="C9" s="47" t="s">
        <v>399</v>
      </c>
      <c r="D9" s="11">
        <v>50</v>
      </c>
      <c r="E9" s="47" t="s">
        <v>547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7" t="s">
        <v>483</v>
      </c>
      <c r="C10" s="47" t="s">
        <v>400</v>
      </c>
      <c r="D10" s="11">
        <v>50</v>
      </c>
      <c r="E10" s="47" t="s">
        <v>548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37" priority="7" operator="equal">
      <formula>"Fail"</formula>
    </cfRule>
    <cfRule type="cellIs" dxfId="136" priority="8" operator="equal">
      <formula>"Pass"</formula>
    </cfRule>
  </conditionalFormatting>
  <conditionalFormatting sqref="M5:M6">
    <cfRule type="cellIs" dxfId="135" priority="1" operator="equal">
      <formula>"Fail"</formula>
    </cfRule>
    <cfRule type="cellIs" dxfId="134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6"/>
  <sheetViews>
    <sheetView showGridLines="0" workbookViewId="0"/>
  </sheetViews>
  <sheetFormatPr defaultRowHeight="15" x14ac:dyDescent="0.25"/>
  <cols>
    <col min="1" max="1" width="4" customWidth="1"/>
    <col min="2" max="2" width="16.7109375" customWidth="1"/>
    <col min="3" max="3" width="14.42578125" customWidth="1"/>
    <col min="4" max="4" width="14.85546875" customWidth="1"/>
    <col min="5" max="5" width="19" customWidth="1"/>
    <col min="6" max="6" width="16.28515625" customWidth="1"/>
    <col min="7" max="7" width="16.140625" customWidth="1"/>
    <col min="8" max="8" width="15.42578125" customWidth="1"/>
    <col min="9" max="10" width="0" hidden="1" customWidth="1"/>
    <col min="12" max="12" width="16.85546875" customWidth="1"/>
    <col min="13" max="13" width="16.42578125" customWidth="1"/>
    <col min="14" max="14" width="10.42578125" bestFit="1" customWidth="1"/>
  </cols>
  <sheetData>
    <row r="1" spans="2:14" ht="18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54330</v>
      </c>
      <c r="M3" s="19">
        <v>40992</v>
      </c>
      <c r="N3" s="22">
        <f>L3-M3</f>
        <v>13338</v>
      </c>
    </row>
    <row r="4" spans="2:14" x14ac:dyDescent="0.2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4" x14ac:dyDescent="0.25">
      <c r="B6" s="50" t="s">
        <v>0</v>
      </c>
      <c r="C6" s="50" t="s">
        <v>399</v>
      </c>
      <c r="D6" s="53">
        <v>25</v>
      </c>
      <c r="E6" s="50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4" x14ac:dyDescent="0.2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4" x14ac:dyDescent="0.2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0.32538056206088994</v>
      </c>
    </row>
    <row r="9" spans="2:14" x14ac:dyDescent="0.2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0.24805339265850951</v>
      </c>
    </row>
    <row r="10" spans="2:14" x14ac:dyDescent="0.2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4" x14ac:dyDescent="0.2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4" x14ac:dyDescent="0.2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4" x14ac:dyDescent="0.25">
      <c r="B13" s="50" t="s">
        <v>95</v>
      </c>
      <c r="C13" s="50" t="s">
        <v>399</v>
      </c>
      <c r="D13" s="11">
        <v>50</v>
      </c>
      <c r="E13" s="50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4" x14ac:dyDescent="0.2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4" x14ac:dyDescent="0.2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4" x14ac:dyDescent="0.2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50" t="s">
        <v>104</v>
      </c>
      <c r="C22" s="50" t="s">
        <v>399</v>
      </c>
      <c r="D22" s="11">
        <v>50</v>
      </c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50" t="s">
        <v>105</v>
      </c>
      <c r="C23" s="50" t="s">
        <v>399</v>
      </c>
      <c r="D23" s="11">
        <v>50</v>
      </c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50" t="s">
        <v>108</v>
      </c>
      <c r="C26" s="50" t="s">
        <v>399</v>
      </c>
      <c r="D26" s="11">
        <v>50</v>
      </c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33" priority="21" operator="equal">
      <formula>"Fail"</formula>
    </cfRule>
    <cfRule type="cellIs" dxfId="132" priority="22" operator="equal">
      <formula>"Pass"</formula>
    </cfRule>
  </conditionalFormatting>
  <conditionalFormatting sqref="H2:H26">
    <cfRule type="cellIs" dxfId="131" priority="19" operator="equal">
      <formula>"Fail"</formula>
    </cfRule>
    <cfRule type="cellIs" dxfId="130" priority="20" operator="equal">
      <formula>"Pass"</formula>
    </cfRule>
  </conditionalFormatting>
  <conditionalFormatting sqref="H2:H26">
    <cfRule type="cellIs" dxfId="129" priority="17" operator="equal">
      <formula>"Fail"</formula>
    </cfRule>
    <cfRule type="cellIs" dxfId="128" priority="18" operator="equal">
      <formula>"Pass"</formula>
    </cfRule>
  </conditionalFormatting>
  <conditionalFormatting sqref="H2:H26">
    <cfRule type="cellIs" dxfId="127" priority="15" operator="equal">
      <formula>"Fail"</formula>
    </cfRule>
    <cfRule type="cellIs" dxfId="126" priority="16" operator="equal">
      <formula>"Pass"</formula>
    </cfRule>
  </conditionalFormatting>
  <conditionalFormatting sqref="H2:H26">
    <cfRule type="cellIs" dxfId="125" priority="13" operator="equal">
      <formula>"Fail"</formula>
    </cfRule>
    <cfRule type="cellIs" dxfId="124" priority="14" operator="equal">
      <formula>"Pass"</formula>
    </cfRule>
  </conditionalFormatting>
  <conditionalFormatting sqref="H2:H26">
    <cfRule type="cellIs" dxfId="123" priority="11" operator="equal">
      <formula>"Fail"</formula>
    </cfRule>
    <cfRule type="cellIs" dxfId="122" priority="12" operator="equal">
      <formula>"Pass"</formula>
    </cfRule>
  </conditionalFormatting>
  <conditionalFormatting sqref="H2:H26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H2:H26">
    <cfRule type="cellIs" dxfId="119" priority="7" operator="equal">
      <formula>"Fail"</formula>
    </cfRule>
    <cfRule type="cellIs" dxfId="118" priority="8" operator="equal">
      <formula>"Pass"</formula>
    </cfRule>
  </conditionalFormatting>
  <conditionalFormatting sqref="H2:H26">
    <cfRule type="cellIs" dxfId="117" priority="5" operator="equal">
      <formula>"Fail"</formula>
    </cfRule>
    <cfRule type="cellIs" dxfId="116" priority="6" operator="equal">
      <formula>"Pass"</formula>
    </cfRule>
  </conditionalFormatting>
  <conditionalFormatting sqref="H2:H26">
    <cfRule type="cellIs" dxfId="115" priority="3" operator="equal">
      <formula>"Fail"</formula>
    </cfRule>
    <cfRule type="cellIs" dxfId="114" priority="4" operator="equal">
      <formula>"Pass"</formula>
    </cfRule>
  </conditionalFormatting>
  <conditionalFormatting sqref="M6:M7">
    <cfRule type="cellIs" dxfId="113" priority="1" operator="equal">
      <formula>"Fail"</formula>
    </cfRule>
    <cfRule type="cellIs" dxfId="112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109</v>
      </c>
      <c r="C2" s="17" t="s">
        <v>399</v>
      </c>
      <c r="D2" s="53">
        <v>42</v>
      </c>
      <c r="E2" s="1" t="s">
        <v>109</v>
      </c>
      <c r="F2" s="11">
        <v>42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610060</v>
      </c>
      <c r="M2" s="19">
        <v>610060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11">
        <v>25</v>
      </c>
      <c r="E3" s="1" t="s">
        <v>110</v>
      </c>
      <c r="F3" s="11">
        <v>8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299908</v>
      </c>
      <c r="N3" s="22">
        <f>L2-M3</f>
        <v>310152</v>
      </c>
    </row>
    <row r="4" spans="2:15" x14ac:dyDescent="0.2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11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11">
        <v>50</v>
      </c>
      <c r="E9" s="1" t="s">
        <v>23</v>
      </c>
      <c r="F9" s="11">
        <v>43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1.0341571415234005</v>
      </c>
    </row>
    <row r="10" spans="2:15" x14ac:dyDescent="0.2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0.57504245923913033</v>
      </c>
    </row>
    <row r="11" spans="2:15" x14ac:dyDescent="0.2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1" t="s">
        <v>26</v>
      </c>
      <c r="C12" s="17" t="s">
        <v>399</v>
      </c>
      <c r="D12" s="53">
        <v>66</v>
      </c>
      <c r="E12" s="1" t="s">
        <v>26</v>
      </c>
      <c r="F12" s="11">
        <v>66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11">
        <v>50</v>
      </c>
      <c r="E14" s="1" t="s">
        <v>29</v>
      </c>
      <c r="F14" s="11">
        <v>15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1" t="s">
        <v>30</v>
      </c>
      <c r="C15" s="17" t="s">
        <v>399</v>
      </c>
      <c r="D15" s="53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3">
        <v>25</v>
      </c>
      <c r="E19" s="1" t="s">
        <v>0</v>
      </c>
      <c r="F19" s="11">
        <v>25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1" t="s">
        <v>2</v>
      </c>
      <c r="C20" s="17" t="s">
        <v>399</v>
      </c>
      <c r="D20" s="53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11">
        <v>30</v>
      </c>
      <c r="E21" s="1" t="s">
        <v>3</v>
      </c>
      <c r="F21" s="1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11">
        <v>30</v>
      </c>
      <c r="E22" s="1" t="s">
        <v>4</v>
      </c>
      <c r="F22" s="11">
        <v>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11">
        <v>30</v>
      </c>
      <c r="E23" s="1" t="s">
        <v>5</v>
      </c>
      <c r="F23" s="11">
        <v>26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11">
        <v>50</v>
      </c>
      <c r="E28" s="1" t="s">
        <v>11</v>
      </c>
      <c r="F28" s="11">
        <v>20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11">
        <v>15</v>
      </c>
      <c r="E32" s="1" t="s">
        <v>15</v>
      </c>
      <c r="F32" s="11">
        <v>12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11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1" t="s">
        <v>19</v>
      </c>
      <c r="C36" s="17" t="s">
        <v>399</v>
      </c>
      <c r="D36" s="53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3">
        <v>37</v>
      </c>
      <c r="E37" s="1" t="s">
        <v>113</v>
      </c>
      <c r="F37" s="11">
        <v>37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11">
        <v>70</v>
      </c>
      <c r="E40" s="1" t="s">
        <v>116</v>
      </c>
      <c r="F40" s="11">
        <v>33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11">
        <v>40</v>
      </c>
      <c r="E43" s="1" t="s">
        <v>119</v>
      </c>
      <c r="F43" s="11">
        <v>22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53">
        <v>54</v>
      </c>
      <c r="E44" s="1" t="s">
        <v>120</v>
      </c>
      <c r="F44" s="11">
        <v>54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53">
        <v>55</v>
      </c>
      <c r="E48" s="1" t="s">
        <v>124</v>
      </c>
      <c r="F48" s="11">
        <v>55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11">
        <v>10</v>
      </c>
      <c r="E49" s="1" t="s">
        <v>125</v>
      </c>
      <c r="F49" s="11">
        <v>8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11">
        <v>100</v>
      </c>
      <c r="E50" s="1" t="s">
        <v>126</v>
      </c>
      <c r="F50" s="11">
        <v>76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11">
        <v>10</v>
      </c>
      <c r="E51" s="1" t="s">
        <v>127</v>
      </c>
      <c r="F51" s="11">
        <v>9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11">
        <v>100</v>
      </c>
      <c r="E52" s="1" t="s">
        <v>128</v>
      </c>
      <c r="F52" s="11">
        <v>91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11">
        <v>128</v>
      </c>
      <c r="E55" s="1" t="s">
        <v>131</v>
      </c>
      <c r="F55" s="11">
        <v>35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11">
        <v>128</v>
      </c>
      <c r="E56" s="1" t="s">
        <v>132</v>
      </c>
      <c r="F56" s="11">
        <v>29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1" t="s">
        <v>135</v>
      </c>
      <c r="C59" s="17" t="s">
        <v>399</v>
      </c>
      <c r="D59" s="53">
        <v>12</v>
      </c>
      <c r="E59" s="1" t="s">
        <v>135</v>
      </c>
      <c r="F59" s="11">
        <v>12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11">
        <v>100</v>
      </c>
      <c r="E90" s="1" t="s">
        <v>162</v>
      </c>
      <c r="F90" s="11">
        <v>67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1" t="s">
        <v>167</v>
      </c>
      <c r="C95" s="17" t="s">
        <v>399</v>
      </c>
      <c r="D95" s="53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1" t="s">
        <v>174</v>
      </c>
      <c r="C102" s="17" t="s">
        <v>399</v>
      </c>
      <c r="D102" s="53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5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62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31" t="s">
        <v>184</v>
      </c>
      <c r="C112" s="17" t="s">
        <v>399</v>
      </c>
      <c r="D112" s="53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11"/>
      <c r="E114" s="1" t="s">
        <v>186</v>
      </c>
      <c r="F114" s="11">
        <v>3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3">
        <v>13</v>
      </c>
      <c r="E116" s="1" t="s">
        <v>188</v>
      </c>
      <c r="F116" s="11">
        <v>13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11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57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20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7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20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11">
        <v>8</v>
      </c>
      <c r="E137" s="1" t="s">
        <v>209</v>
      </c>
      <c r="F137" s="11">
        <v>1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11">
        <v>50</v>
      </c>
      <c r="E138" s="1" t="s">
        <v>210</v>
      </c>
      <c r="F138" s="11">
        <v>8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11">
        <v>100</v>
      </c>
      <c r="E157" s="1" t="s">
        <v>65</v>
      </c>
      <c r="F157" s="11">
        <v>7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1" t="s">
        <v>88</v>
      </c>
      <c r="C163" s="17" t="s">
        <v>399</v>
      </c>
      <c r="D163" s="11">
        <v>20</v>
      </c>
      <c r="E163" s="1" t="s">
        <v>88</v>
      </c>
      <c r="F163" s="11">
        <v>6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44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11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11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11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11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11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11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11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11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1" t="s">
        <v>279</v>
      </c>
      <c r="C229" s="17" t="s">
        <v>399</v>
      </c>
      <c r="D229" s="53">
        <v>11</v>
      </c>
      <c r="E229" s="1" t="s">
        <v>279</v>
      </c>
      <c r="F229" s="11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11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11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11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11" priority="121" operator="equal">
      <formula>"Fail"</formula>
    </cfRule>
    <cfRule type="cellIs" dxfId="110" priority="122" operator="equal">
      <formula>"Pass"</formula>
    </cfRule>
  </conditionalFormatting>
  <conditionalFormatting sqref="M6:N7">
    <cfRule type="cellIs" dxfId="109" priority="7" operator="equal">
      <formula>"Fail"</formula>
    </cfRule>
    <cfRule type="cellIs" dxfId="108" priority="8" operator="equal">
      <formula>"Pass"</formula>
    </cfRule>
  </conditionalFormatting>
  <conditionalFormatting sqref="M8">
    <cfRule type="containsText" dxfId="107" priority="1" operator="containsText" text="Pass">
      <formula>NOT(ISERROR(SEARCH("Pass",M8)))</formula>
    </cfRule>
    <cfRule type="containsText" dxfId="10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7" t="s">
        <v>83</v>
      </c>
      <c r="C2" s="47" t="s">
        <v>398</v>
      </c>
      <c r="D2" s="11" t="s">
        <v>476</v>
      </c>
      <c r="E2" s="47"/>
      <c r="F2" s="11"/>
      <c r="G2" s="11" t="str">
        <f>IF(I2=J2,"Pass","Fail")</f>
        <v>Fail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/>
      </c>
      <c r="L2" s="20" t="s">
        <v>394</v>
      </c>
      <c r="M2" s="20" t="s">
        <v>395</v>
      </c>
      <c r="N2" s="20" t="s">
        <v>396</v>
      </c>
    </row>
    <row r="3" spans="2:15" x14ac:dyDescent="0.25">
      <c r="B3" s="47" t="s">
        <v>84</v>
      </c>
      <c r="C3" s="47" t="s">
        <v>399</v>
      </c>
      <c r="D3" s="11">
        <v>50</v>
      </c>
      <c r="E3" s="47"/>
      <c r="F3" s="11"/>
      <c r="G3" s="11" t="str">
        <f t="shared" ref="G3:G10" si="0">IF(I3=J3,"Pass","Fail")</f>
        <v>Fail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/>
      </c>
      <c r="L3" s="19"/>
      <c r="M3" s="19"/>
      <c r="N3" s="22">
        <f>L3-M3</f>
        <v>0</v>
      </c>
    </row>
    <row r="4" spans="2:15" x14ac:dyDescent="0.25">
      <c r="B4" s="47" t="s">
        <v>85</v>
      </c>
      <c r="C4" s="47" t="s">
        <v>399</v>
      </c>
      <c r="D4" s="11">
        <v>50</v>
      </c>
      <c r="E4" s="47"/>
      <c r="F4" s="11"/>
      <c r="G4" s="11" t="str">
        <f t="shared" si="0"/>
        <v>Fail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/>
      </c>
      <c r="L4" s="20" t="s">
        <v>468</v>
      </c>
      <c r="M4" s="19"/>
      <c r="N4" s="22">
        <f>L3-M4</f>
        <v>0</v>
      </c>
    </row>
    <row r="5" spans="2:15" x14ac:dyDescent="0.25">
      <c r="B5" s="47" t="s">
        <v>71</v>
      </c>
      <c r="C5" s="47" t="s">
        <v>399</v>
      </c>
      <c r="D5" s="11">
        <v>50</v>
      </c>
      <c r="E5" s="47"/>
      <c r="F5" s="11"/>
      <c r="G5" s="11" t="str">
        <f t="shared" si="0"/>
        <v>Fail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/>
      </c>
    </row>
    <row r="6" spans="2:15" x14ac:dyDescent="0.25">
      <c r="B6" s="47" t="s">
        <v>0</v>
      </c>
      <c r="C6" s="47" t="s">
        <v>399</v>
      </c>
      <c r="D6" s="11">
        <v>20</v>
      </c>
      <c r="E6" s="47"/>
      <c r="F6" s="11"/>
      <c r="G6" s="11" t="str">
        <f t="shared" si="0"/>
        <v>Fail</v>
      </c>
      <c r="H6" s="12" t="str">
        <f t="shared" si="1"/>
        <v>Pass</v>
      </c>
      <c r="I6" s="3" t="str">
        <f t="shared" si="2"/>
        <v>mbrid</v>
      </c>
      <c r="J6" s="3" t="str">
        <f t="shared" si="3"/>
        <v/>
      </c>
      <c r="L6" s="24" t="s">
        <v>403</v>
      </c>
      <c r="M6" s="48" t="s">
        <v>401</v>
      </c>
      <c r="N6" s="41"/>
    </row>
    <row r="7" spans="2:15" x14ac:dyDescent="0.25">
      <c r="B7" s="47" t="s">
        <v>493</v>
      </c>
      <c r="C7" s="47" t="s">
        <v>399</v>
      </c>
      <c r="D7" s="11">
        <v>50</v>
      </c>
      <c r="E7" s="47"/>
      <c r="F7" s="11"/>
      <c r="G7" s="11" t="str">
        <f t="shared" si="0"/>
        <v>Fail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/>
      </c>
      <c r="L7" s="23" t="s">
        <v>81</v>
      </c>
      <c r="M7" s="11" t="str">
        <f>IF(ISERROR(VLOOKUP($O$1,$G$2:$G$12,1,)),"Pass","Fail")</f>
        <v>Fail</v>
      </c>
      <c r="N7" s="37"/>
    </row>
    <row r="8" spans="2:15" x14ac:dyDescent="0.25">
      <c r="B8" s="47" t="s">
        <v>494</v>
      </c>
      <c r="C8" s="47" t="s">
        <v>399</v>
      </c>
      <c r="D8" s="11">
        <v>20</v>
      </c>
      <c r="E8" s="47"/>
      <c r="F8" s="11"/>
      <c r="G8" s="11" t="str">
        <f t="shared" si="0"/>
        <v>Fail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/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7" t="s">
        <v>495</v>
      </c>
      <c r="C9" s="47" t="s">
        <v>400</v>
      </c>
      <c r="D9" s="11">
        <v>50</v>
      </c>
      <c r="E9" s="47"/>
      <c r="F9" s="11"/>
      <c r="G9" s="11" t="str">
        <f t="shared" si="0"/>
        <v>Fail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/>
      </c>
      <c r="L9" s="23" t="s">
        <v>465</v>
      </c>
      <c r="M9" s="39" t="str">
        <f>IF(N3=0,"Pass","Fail")</f>
        <v>Pass</v>
      </c>
    </row>
    <row r="10" spans="2:15" x14ac:dyDescent="0.25">
      <c r="B10" s="47" t="s">
        <v>496</v>
      </c>
      <c r="C10" s="47" t="s">
        <v>400</v>
      </c>
      <c r="D10" s="11">
        <v>20</v>
      </c>
      <c r="E10" s="47"/>
      <c r="F10" s="11"/>
      <c r="G10" s="11" t="str">
        <f t="shared" si="0"/>
        <v>Fail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/>
      </c>
      <c r="L10" s="23" t="s">
        <v>467</v>
      </c>
      <c r="M10" s="40">
        <f>IF(M4=0,0%,N4/M4)</f>
        <v>0</v>
      </c>
    </row>
    <row r="11" spans="2:15" x14ac:dyDescent="0.25">
      <c r="B11" s="47" t="s">
        <v>497</v>
      </c>
      <c r="C11" s="47"/>
      <c r="D11" s="47" t="s">
        <v>476</v>
      </c>
      <c r="E11" s="47"/>
      <c r="F11" s="11"/>
      <c r="G11" s="11" t="str">
        <f t="shared" ref="G11:G12" si="4">IF(I11=J11,"Pass","Fail")</f>
        <v>Fail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/>
      </c>
      <c r="L11" s="23" t="s">
        <v>466</v>
      </c>
      <c r="M11" s="40" t="e">
        <f>File_Size_Comparision!F9</f>
        <v>#VALUE!</v>
      </c>
    </row>
    <row r="12" spans="2:15" x14ac:dyDescent="0.25">
      <c r="B12" s="47" t="s">
        <v>498</v>
      </c>
      <c r="C12" s="47"/>
      <c r="D12" s="47" t="s">
        <v>476</v>
      </c>
      <c r="E12" s="47"/>
      <c r="F12" s="11"/>
      <c r="G12" s="11" t="str">
        <f t="shared" si="4"/>
        <v>Fail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/>
      </c>
    </row>
    <row r="13" spans="2:15" x14ac:dyDescent="0.25">
      <c r="N13" s="43"/>
    </row>
  </sheetData>
  <conditionalFormatting sqref="G2:H12">
    <cfRule type="cellIs" dxfId="105" priority="19" operator="equal">
      <formula>"Fail"</formula>
    </cfRule>
    <cfRule type="cellIs" dxfId="104" priority="20" operator="equal">
      <formula>"Pass"</formula>
    </cfRule>
  </conditionalFormatting>
  <conditionalFormatting sqref="H2:H12">
    <cfRule type="cellIs" dxfId="103" priority="17" operator="equal">
      <formula>"Fail"</formula>
    </cfRule>
    <cfRule type="cellIs" dxfId="102" priority="18" operator="equal">
      <formula>"Pass"</formula>
    </cfRule>
  </conditionalFormatting>
  <conditionalFormatting sqref="H2:H12">
    <cfRule type="cellIs" dxfId="101" priority="15" operator="equal">
      <formula>"Fail"</formula>
    </cfRule>
    <cfRule type="cellIs" dxfId="100" priority="16" operator="equal">
      <formula>"Pass"</formula>
    </cfRule>
  </conditionalFormatting>
  <conditionalFormatting sqref="H2:H12">
    <cfRule type="cellIs" dxfId="99" priority="13" operator="equal">
      <formula>"Fail"</formula>
    </cfRule>
    <cfRule type="cellIs" dxfId="98" priority="14" operator="equal">
      <formula>"Pass"</formula>
    </cfRule>
  </conditionalFormatting>
  <conditionalFormatting sqref="H2:H12">
    <cfRule type="cellIs" dxfId="97" priority="11" operator="equal">
      <formula>"Fail"</formula>
    </cfRule>
    <cfRule type="cellIs" dxfId="96" priority="12" operator="equal">
      <formula>"Pass"</formula>
    </cfRule>
  </conditionalFormatting>
  <conditionalFormatting sqref="H2:H12">
    <cfRule type="cellIs" dxfId="95" priority="9" operator="equal">
      <formula>"Fail"</formula>
    </cfRule>
    <cfRule type="cellIs" dxfId="94" priority="10" operator="equal">
      <formula>"Pass"</formula>
    </cfRule>
  </conditionalFormatting>
  <conditionalFormatting sqref="H2:H12">
    <cfRule type="cellIs" dxfId="93" priority="7" operator="equal">
      <formula>"Fail"</formula>
    </cfRule>
    <cfRule type="cellIs" dxfId="92" priority="8" operator="equal">
      <formula>"Pass"</formula>
    </cfRule>
  </conditionalFormatting>
  <conditionalFormatting sqref="M7:N8">
    <cfRule type="cellIs" dxfId="91" priority="3" operator="equal">
      <formula>"Fail"</formula>
    </cfRule>
    <cfRule type="cellIs" dxfId="90" priority="4" operator="equal">
      <formula>"Pass"</formula>
    </cfRule>
  </conditionalFormatting>
  <conditionalFormatting sqref="M9">
    <cfRule type="containsText" dxfId="89" priority="1" operator="containsText" text="Pass">
      <formula>NOT(ISERROR(SEARCH("Pass",M9)))</formula>
    </cfRule>
    <cfRule type="containsText" dxfId="88" priority="2" operator="containsText" text="Fail">
      <formula>NOT(ISERROR(SEARCH("Fail",M9)))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8505</v>
      </c>
      <c r="M3" s="19">
        <v>5666</v>
      </c>
      <c r="N3" s="22">
        <f>L3-M3</f>
        <v>2839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70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1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0.5010589481115425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File_Size_Comparision!F10</f>
        <v>0.3274285714285714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87" priority="311" operator="equal">
      <formula>"Fail"</formula>
    </cfRule>
    <cfRule type="cellIs" dxfId="86" priority="312" operator="equal">
      <formula>"Pass"</formula>
    </cfRule>
  </conditionalFormatting>
  <conditionalFormatting sqref="H2:H10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H2:H10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H2:H10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H2:H10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H2:H10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H2:H10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196605</v>
      </c>
      <c r="M2" s="19">
        <v>196605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79817</v>
      </c>
      <c r="N3" s="22">
        <f>L2-M3</f>
        <v>116788</v>
      </c>
    </row>
    <row r="4" spans="2:15" x14ac:dyDescent="0.2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1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1">
        <v>30</v>
      </c>
      <c r="E8" s="1" t="s">
        <v>5</v>
      </c>
      <c r="F8" s="1">
        <v>20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1.4631970632822582</v>
      </c>
    </row>
    <row r="10" spans="2:15" x14ac:dyDescent="0.25">
      <c r="B10" s="1" t="s">
        <v>8</v>
      </c>
      <c r="C10" s="17" t="s">
        <v>400</v>
      </c>
      <c r="D10" s="1" t="s">
        <v>476</v>
      </c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File_Size_Comparision!F11</f>
        <v>0.57320948423368367</v>
      </c>
    </row>
    <row r="11" spans="2:15" x14ac:dyDescent="0.25">
      <c r="B11" s="31" t="s">
        <v>11</v>
      </c>
      <c r="C11" s="17" t="s">
        <v>399</v>
      </c>
      <c r="D11" s="1">
        <v>20</v>
      </c>
      <c r="E11" s="31" t="s">
        <v>11</v>
      </c>
      <c r="F11" s="1">
        <v>20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1">
        <v>10</v>
      </c>
      <c r="E13" s="1" t="s">
        <v>14</v>
      </c>
      <c r="F13" s="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1">
        <v>5</v>
      </c>
      <c r="E14" s="1" t="s">
        <v>18</v>
      </c>
      <c r="F14" s="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1" t="s">
        <v>19</v>
      </c>
      <c r="C15" s="17" t="s">
        <v>399</v>
      </c>
      <c r="D15" s="32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1">
        <v>20</v>
      </c>
      <c r="E16" s="1" t="s">
        <v>22</v>
      </c>
      <c r="F16" s="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1">
        <v>50</v>
      </c>
      <c r="E17" s="1" t="s">
        <v>23</v>
      </c>
      <c r="F17" s="1">
        <v>43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1">
        <v>100</v>
      </c>
      <c r="E21" s="1" t="s">
        <v>29</v>
      </c>
      <c r="F21" s="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1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1">
        <v>70</v>
      </c>
      <c r="E27" s="1" t="s">
        <v>305</v>
      </c>
      <c r="F27" s="1">
        <v>62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1">
        <v>30</v>
      </c>
      <c r="E34" s="1" t="s">
        <v>311</v>
      </c>
      <c r="F34" s="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1" t="s">
        <v>476</v>
      </c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1" t="s">
        <v>476</v>
      </c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1" t="s">
        <v>476</v>
      </c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1" t="s">
        <v>476</v>
      </c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32">
        <v>14</v>
      </c>
      <c r="E40" s="1" t="s">
        <v>316</v>
      </c>
      <c r="F40" s="1">
        <v>14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1">
        <v>12</v>
      </c>
      <c r="E42" s="1" t="s">
        <v>318</v>
      </c>
      <c r="F42" s="1">
        <v>2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1">
        <v>10</v>
      </c>
      <c r="E45" s="1" t="s">
        <v>321</v>
      </c>
      <c r="F45" s="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1" t="s">
        <v>476</v>
      </c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1" t="s">
        <v>476</v>
      </c>
      <c r="E48" s="1" t="s">
        <v>324</v>
      </c>
      <c r="F48" s="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1" t="s">
        <v>476</v>
      </c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1" t="s">
        <v>476</v>
      </c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398</v>
      </c>
      <c r="D56" s="1" t="s">
        <v>476</v>
      </c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1" t="s">
        <v>334</v>
      </c>
      <c r="C58" s="17" t="s">
        <v>399</v>
      </c>
      <c r="D58" s="32">
        <v>70</v>
      </c>
      <c r="E58" s="1" t="s">
        <v>334</v>
      </c>
      <c r="F58" s="1">
        <v>70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31" t="s">
        <v>477</v>
      </c>
      <c r="E59" s="1" t="s">
        <v>195</v>
      </c>
      <c r="F59" s="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19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7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7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31" t="s">
        <v>477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31" t="s">
        <v>477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31" t="s">
        <v>477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1">
        <v>100</v>
      </c>
      <c r="E71" s="1" t="s">
        <v>51</v>
      </c>
      <c r="F71" s="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 t="s">
        <v>399</v>
      </c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 t="s">
        <v>399</v>
      </c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 t="s">
        <v>399</v>
      </c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 t="s">
        <v>399</v>
      </c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 t="s">
        <v>399</v>
      </c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 t="s">
        <v>399</v>
      </c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 t="s">
        <v>399</v>
      </c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 t="s">
        <v>399</v>
      </c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 t="s">
        <v>399</v>
      </c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 t="s">
        <v>399</v>
      </c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 t="s">
        <v>399</v>
      </c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 t="s">
        <v>399</v>
      </c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 t="s">
        <v>399</v>
      </c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 t="s">
        <v>399</v>
      </c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 t="s">
        <v>399</v>
      </c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 t="s">
        <v>399</v>
      </c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 t="s">
        <v>399</v>
      </c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 t="s">
        <v>399</v>
      </c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 t="s">
        <v>399</v>
      </c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 t="s">
        <v>399</v>
      </c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 t="s">
        <v>399</v>
      </c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59" operator="equal">
      <formula>"Fail"</formula>
    </cfRule>
    <cfRule type="cellIs" dxfId="70" priority="460" operator="equal">
      <formula>"Pass"</formula>
    </cfRule>
  </conditionalFormatting>
  <conditionalFormatting sqref="M6:N7">
    <cfRule type="cellIs" dxfId="69" priority="7" operator="equal">
      <formula>"Fail"</formula>
    </cfRule>
    <cfRule type="cellIs" dxfId="68" priority="8" operator="equal">
      <formula>"Pass"</formula>
    </cfRule>
  </conditionalFormatting>
  <conditionalFormatting sqref="M8">
    <cfRule type="containsText" dxfId="67" priority="1" operator="containsText" text="Pass">
      <formula>NOT(ISERROR(SEARCH("Pass",M8)))</formula>
    </cfRule>
    <cfRule type="containsText" dxfId="66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 t="s">
        <v>476</v>
      </c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228136</v>
      </c>
      <c r="M3" s="19">
        <v>113865</v>
      </c>
      <c r="N3" s="22">
        <f>L3-M3</f>
        <v>114271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26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 t="s">
        <v>476</v>
      </c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1.0035656259605674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File_Size_Comparision!F12</f>
        <v>0.50270270270270268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 t="s">
        <v>476</v>
      </c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 t="s">
        <v>476</v>
      </c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7" operator="equal">
      <formula>"Fail"</formula>
    </cfRule>
    <cfRule type="cellIs" dxfId="64" priority="628" operator="equal">
      <formula>"Pass"</formula>
    </cfRule>
  </conditionalFormatting>
  <conditionalFormatting sqref="H2:H15">
    <cfRule type="cellIs" dxfId="63" priority="17" operator="equal">
      <formula>"Fail"</formula>
    </cfRule>
    <cfRule type="cellIs" dxfId="62" priority="18" operator="equal">
      <formula>"Pass"</formula>
    </cfRule>
  </conditionalFormatting>
  <conditionalFormatting sqref="H2:H15">
    <cfRule type="cellIs" dxfId="61" priority="15" operator="equal">
      <formula>"Fail"</formula>
    </cfRule>
    <cfRule type="cellIs" dxfId="60" priority="16" operator="equal">
      <formula>"Pass"</formula>
    </cfRule>
  </conditionalFormatting>
  <conditionalFormatting sqref="H2:H15">
    <cfRule type="cellIs" dxfId="59" priority="13" operator="equal">
      <formula>"Fail"</formula>
    </cfRule>
    <cfRule type="cellIs" dxfId="58" priority="14" operator="equal">
      <formula>"Pass"</formula>
    </cfRule>
  </conditionalFormatting>
  <conditionalFormatting sqref="H2:H15">
    <cfRule type="cellIs" dxfId="57" priority="11" operator="equal">
      <formula>"Fail"</formula>
    </cfRule>
    <cfRule type="cellIs" dxfId="56" priority="12" operator="equal">
      <formula>"Pass"</formula>
    </cfRule>
  </conditionalFormatting>
  <conditionalFormatting sqref="H2:H15">
    <cfRule type="cellIs" dxfId="55" priority="9" operator="equal">
      <formula>"Fail"</formula>
    </cfRule>
    <cfRule type="cellIs" dxfId="54" priority="10" operator="equal">
      <formula>"Pass"</formula>
    </cfRule>
  </conditionalFormatting>
  <conditionalFormatting sqref="H2:H15">
    <cfRule type="cellIs" dxfId="53" priority="7" operator="equal">
      <formula>"Fail"</formula>
    </cfRule>
    <cfRule type="cellIs" dxfId="52" priority="8" operator="equal">
      <formula>"Pass"</formula>
    </cfRule>
  </conditionalFormatting>
  <conditionalFormatting sqref="H2:H15">
    <cfRule type="cellIs" dxfId="51" priority="5" operator="equal">
      <formula>"Fail"</formula>
    </cfRule>
    <cfRule type="cellIs" dxfId="50" priority="6" operator="equal">
      <formula>"Pass"</formula>
    </cfRule>
  </conditionalFormatting>
  <conditionalFormatting sqref="H2:H15">
    <cfRule type="cellIs" dxfId="49" priority="3" operator="equal">
      <formula>"Fail"</formula>
    </cfRule>
    <cfRule type="cellIs" dxfId="48" priority="4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8465</v>
      </c>
      <c r="M3" s="19">
        <v>3416</v>
      </c>
      <c r="N3" s="22">
        <f>L3-M3</f>
        <v>5049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1.4780444964871193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File_Size_Comparision!F13</f>
        <v>0.60191572473404253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5" operator="equal">
      <formula>"Fail"</formula>
    </cfRule>
    <cfRule type="cellIs" dxfId="44" priority="836" operator="equal">
      <formula>"Pass"</formula>
    </cfRule>
  </conditionalFormatting>
  <conditionalFormatting sqref="H2:H26">
    <cfRule type="cellIs" dxfId="43" priority="19" operator="equal">
      <formula>"Fail"</formula>
    </cfRule>
    <cfRule type="cellIs" dxfId="42" priority="20" operator="equal">
      <formula>"Pass"</formula>
    </cfRule>
  </conditionalFormatting>
  <conditionalFormatting sqref="H2:H26">
    <cfRule type="cellIs" dxfId="41" priority="17" operator="equal">
      <formula>"Fail"</formula>
    </cfRule>
    <cfRule type="cellIs" dxfId="40" priority="18" operator="equal">
      <formula>"Pass"</formula>
    </cfRule>
  </conditionalFormatting>
  <conditionalFormatting sqref="H2:H26">
    <cfRule type="cellIs" dxfId="39" priority="15" operator="equal">
      <formula>"Fail"</formula>
    </cfRule>
    <cfRule type="cellIs" dxfId="38" priority="16" operator="equal">
      <formula>"Pass"</formula>
    </cfRule>
  </conditionalFormatting>
  <conditionalFormatting sqref="H2:H26">
    <cfRule type="cellIs" dxfId="37" priority="13" operator="equal">
      <formula>"Fail"</formula>
    </cfRule>
    <cfRule type="cellIs" dxfId="36" priority="14" operator="equal">
      <formula>"Pass"</formula>
    </cfRule>
  </conditionalFormatting>
  <conditionalFormatting sqref="H2:H26">
    <cfRule type="cellIs" dxfId="35" priority="11" operator="equal">
      <formula>"Fail"</formula>
    </cfRule>
    <cfRule type="cellIs" dxfId="34" priority="12" operator="equal">
      <formula>"Pass"</formula>
    </cfRule>
  </conditionalFormatting>
  <conditionalFormatting sqref="H2:H26">
    <cfRule type="cellIs" dxfId="33" priority="9" operator="equal">
      <formula>"Fail"</formula>
    </cfRule>
    <cfRule type="cellIs" dxfId="32" priority="10" operator="equal">
      <formula>"Pass"</formula>
    </cfRule>
  </conditionalFormatting>
  <conditionalFormatting sqref="H2:H26">
    <cfRule type="cellIs" dxfId="31" priority="7" operator="equal">
      <formula>"Fail"</formula>
    </cfRule>
    <cfRule type="cellIs" dxfId="30" priority="8" operator="equal">
      <formula>"Pass"</formula>
    </cfRule>
  </conditionalFormatting>
  <conditionalFormatting sqref="H2:H26">
    <cfRule type="cellIs" dxfId="29" priority="5" operator="equal">
      <formula>"Fail"</formula>
    </cfRule>
    <cfRule type="cellIs" dxfId="28" priority="6" operator="equal">
      <formula>"Pass"</formula>
    </cfRule>
  </conditionalFormatting>
  <conditionalFormatting sqref="H2:H26">
    <cfRule type="cellIs" dxfId="27" priority="3" operator="equal">
      <formula>"Fail"</formula>
    </cfRule>
    <cfRule type="cellIs" dxfId="26" priority="4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117625</v>
      </c>
      <c r="M3" s="19">
        <v>55133</v>
      </c>
      <c r="N3" s="22">
        <f>L3-M3</f>
        <v>62492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1.1334772277946057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File_Size_Comparision!F14</f>
        <v>0.54178885630498541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549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79" operator="equal">
      <formula>"Fail"</formula>
    </cfRule>
    <cfRule type="cellIs" dxfId="22" priority="1080" operator="equal">
      <formula>"Pass"</formula>
    </cfRule>
  </conditionalFormatting>
  <conditionalFormatting sqref="H2:H13">
    <cfRule type="cellIs" dxfId="21" priority="21" operator="equal">
      <formula>"Fail"</formula>
    </cfRule>
    <cfRule type="cellIs" dxfId="20" priority="22" operator="equal">
      <formula>"Pass"</formula>
    </cfRule>
  </conditionalFormatting>
  <conditionalFormatting sqref="H2:H13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H2:H13">
    <cfRule type="cellIs" dxfId="17" priority="17" operator="equal">
      <formula>"Fail"</formula>
    </cfRule>
    <cfRule type="cellIs" dxfId="16" priority="18" operator="equal">
      <formula>"Pass"</formula>
    </cfRule>
  </conditionalFormatting>
  <conditionalFormatting sqref="H2:H13">
    <cfRule type="cellIs" dxfId="15" priority="15" operator="equal">
      <formula>"Fail"</formula>
    </cfRule>
    <cfRule type="cellIs" dxfId="14" priority="16" operator="equal">
      <formula>"Pass"</formula>
    </cfRule>
  </conditionalFormatting>
  <conditionalFormatting sqref="H2:H13">
    <cfRule type="cellIs" dxfId="13" priority="13" operator="equal">
      <formula>"Fail"</formula>
    </cfRule>
    <cfRule type="cellIs" dxfId="12" priority="14" operator="equal">
      <formula>"Pass"</formula>
    </cfRule>
  </conditionalFormatting>
  <conditionalFormatting sqref="H2:H13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H2:H13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H2:H13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H2:H13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H2:H13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svinduwa</cp:lastModifiedBy>
  <dcterms:created xsi:type="dcterms:W3CDTF">2013-12-03T07:41:54Z</dcterms:created>
  <dcterms:modified xsi:type="dcterms:W3CDTF">2017-03-31T10:21:23Z</dcterms:modified>
</cp:coreProperties>
</file>