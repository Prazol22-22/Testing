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alytics_svn\traffk\docs\qualtiy_control\test_results\app_qc\extract\201704\20170424\"/>
    </mc:Choice>
  </mc:AlternateContent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Generic_Quality_Metrics" sheetId="20" r:id="rId6"/>
    <sheet name="High_Cost" sheetId="16" r:id="rId7"/>
    <sheet name="Historical_Scores" sheetId="19" r:id="rId8"/>
    <sheet name="Lab" sheetId="23" r:id="rId9"/>
    <sheet name="Medical_Claims" sheetId="7" r:id="rId10"/>
    <sheet name="Participation" sheetId="17" state="hidden" r:id="rId11"/>
    <sheet name="Member" sheetId="25" r:id="rId12"/>
    <sheet name="Member_Months" sheetId="26" r:id="rId13"/>
    <sheet name="Member_PCP" sheetId="9" r:id="rId14"/>
    <sheet name="Pharmacy" sheetId="10" r:id="rId15"/>
    <sheet name="Quality_Metrics" sheetId="11" r:id="rId16"/>
    <sheet name="Scores" sheetId="12" r:id="rId17"/>
    <sheet name="Scores_With_Historicals" sheetId="21" r:id="rId18"/>
    <sheet name="Utilization" sheetId="22" r:id="rId19"/>
    <sheet name="Visit" sheetId="13" r:id="rId20"/>
  </sheets>
  <calcPr calcId="152511" concurrentCalc="0"/>
</workbook>
</file>

<file path=xl/calcChain.xml><?xml version="1.0" encoding="utf-8"?>
<calcChain xmlns="http://schemas.openxmlformats.org/spreadsheetml/2006/main">
  <c r="M9" i="13" l="1"/>
  <c r="M10" i="22"/>
  <c r="M9" i="21"/>
  <c r="M9" i="12"/>
  <c r="M9" i="11"/>
  <c r="M10" i="10"/>
  <c r="M9" i="9"/>
  <c r="M10" i="26"/>
  <c r="M10" i="25"/>
  <c r="M10" i="7"/>
  <c r="M10" i="23"/>
  <c r="M9" i="19"/>
  <c r="M8" i="16"/>
  <c r="M9" i="20"/>
  <c r="M10" i="2"/>
  <c r="M8" i="15"/>
  <c r="M8" i="18"/>
  <c r="G18" i="14"/>
  <c r="G19" i="14"/>
  <c r="G17" i="14"/>
  <c r="I18" i="14"/>
  <c r="I19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H18" i="14"/>
  <c r="H19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F18" i="14"/>
  <c r="F19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N2" i="26"/>
  <c r="M8" i="26"/>
  <c r="G39" i="3"/>
  <c r="G38" i="3"/>
  <c r="G37" i="3"/>
  <c r="N2" i="25"/>
  <c r="M8" i="25"/>
  <c r="G36" i="3"/>
  <c r="G35" i="3"/>
  <c r="G34" i="3"/>
  <c r="N2" i="23"/>
  <c r="M8" i="23"/>
  <c r="G30" i="3"/>
  <c r="G29" i="3"/>
  <c r="G28" i="3"/>
  <c r="J276" i="26"/>
  <c r="I276" i="26"/>
  <c r="G276" i="26"/>
  <c r="H276" i="26"/>
  <c r="J275" i="26"/>
  <c r="I275" i="26"/>
  <c r="G275" i="26"/>
  <c r="H275" i="26"/>
  <c r="J274" i="26"/>
  <c r="I274" i="26"/>
  <c r="G274" i="26"/>
  <c r="H274" i="26"/>
  <c r="J273" i="26"/>
  <c r="I273" i="26"/>
  <c r="G273" i="26"/>
  <c r="H273" i="26"/>
  <c r="J272" i="26"/>
  <c r="I272" i="26"/>
  <c r="G272" i="26"/>
  <c r="H272" i="26"/>
  <c r="J271" i="26"/>
  <c r="I271" i="26"/>
  <c r="G271" i="26"/>
  <c r="H271" i="26"/>
  <c r="J270" i="26"/>
  <c r="I270" i="26"/>
  <c r="G270" i="26"/>
  <c r="H270" i="26"/>
  <c r="J269" i="26"/>
  <c r="I269" i="26"/>
  <c r="G269" i="26"/>
  <c r="H269" i="26"/>
  <c r="J268" i="26"/>
  <c r="I268" i="26"/>
  <c r="G268" i="26"/>
  <c r="H268" i="26"/>
  <c r="J267" i="26"/>
  <c r="I267" i="26"/>
  <c r="G267" i="26"/>
  <c r="H267" i="26"/>
  <c r="J266" i="26"/>
  <c r="I266" i="26"/>
  <c r="G266" i="26"/>
  <c r="H266" i="26"/>
  <c r="J265" i="26"/>
  <c r="I265" i="26"/>
  <c r="G265" i="26"/>
  <c r="H265" i="26"/>
  <c r="J264" i="26"/>
  <c r="I264" i="26"/>
  <c r="G264" i="26"/>
  <c r="H264" i="26"/>
  <c r="J263" i="26"/>
  <c r="I263" i="26"/>
  <c r="G263" i="26"/>
  <c r="H263" i="26"/>
  <c r="J262" i="26"/>
  <c r="I262" i="26"/>
  <c r="G262" i="26"/>
  <c r="H262" i="26"/>
  <c r="J261" i="26"/>
  <c r="I261" i="26"/>
  <c r="G261" i="26"/>
  <c r="H261" i="26"/>
  <c r="J260" i="26"/>
  <c r="I260" i="26"/>
  <c r="G260" i="26"/>
  <c r="H260" i="26"/>
  <c r="J259" i="26"/>
  <c r="I259" i="26"/>
  <c r="G259" i="26"/>
  <c r="H259" i="26"/>
  <c r="J258" i="26"/>
  <c r="I258" i="26"/>
  <c r="G258" i="26"/>
  <c r="H258" i="26"/>
  <c r="J257" i="26"/>
  <c r="I257" i="26"/>
  <c r="G257" i="26"/>
  <c r="H257" i="26"/>
  <c r="J256" i="26"/>
  <c r="I256" i="26"/>
  <c r="G256" i="26"/>
  <c r="H256" i="26"/>
  <c r="J255" i="26"/>
  <c r="I255" i="26"/>
  <c r="G255" i="26"/>
  <c r="H255" i="26"/>
  <c r="J254" i="26"/>
  <c r="I254" i="26"/>
  <c r="G254" i="26"/>
  <c r="H254" i="26"/>
  <c r="J253" i="26"/>
  <c r="I253" i="26"/>
  <c r="G253" i="26"/>
  <c r="H253" i="26"/>
  <c r="J252" i="26"/>
  <c r="I252" i="26"/>
  <c r="G252" i="26"/>
  <c r="H252" i="26"/>
  <c r="J251" i="26"/>
  <c r="I251" i="26"/>
  <c r="G251" i="26"/>
  <c r="H251" i="26"/>
  <c r="J250" i="26"/>
  <c r="I250" i="26"/>
  <c r="G250" i="26"/>
  <c r="H250" i="26"/>
  <c r="J249" i="26"/>
  <c r="I249" i="26"/>
  <c r="G249" i="26"/>
  <c r="H249" i="26"/>
  <c r="J248" i="26"/>
  <c r="I248" i="26"/>
  <c r="G248" i="26"/>
  <c r="H248" i="26"/>
  <c r="J247" i="26"/>
  <c r="I247" i="26"/>
  <c r="G247" i="26"/>
  <c r="H247" i="26"/>
  <c r="J246" i="26"/>
  <c r="I246" i="26"/>
  <c r="G246" i="26"/>
  <c r="H246" i="26"/>
  <c r="J245" i="26"/>
  <c r="I245" i="26"/>
  <c r="G245" i="26"/>
  <c r="H245" i="26"/>
  <c r="J244" i="26"/>
  <c r="I244" i="26"/>
  <c r="G244" i="26"/>
  <c r="H244" i="26"/>
  <c r="J243" i="26"/>
  <c r="I243" i="26"/>
  <c r="G243" i="26"/>
  <c r="H243" i="26"/>
  <c r="J242" i="26"/>
  <c r="I242" i="26"/>
  <c r="G242" i="26"/>
  <c r="H242" i="26"/>
  <c r="J241" i="26"/>
  <c r="I241" i="26"/>
  <c r="G241" i="26"/>
  <c r="H241" i="26"/>
  <c r="J240" i="26"/>
  <c r="I240" i="26"/>
  <c r="G240" i="26"/>
  <c r="H240" i="26"/>
  <c r="J239" i="26"/>
  <c r="I239" i="26"/>
  <c r="G239" i="26"/>
  <c r="H239" i="26"/>
  <c r="J238" i="26"/>
  <c r="I238" i="26"/>
  <c r="G238" i="26"/>
  <c r="H238" i="26"/>
  <c r="J237" i="26"/>
  <c r="I237" i="26"/>
  <c r="G237" i="26"/>
  <c r="H237" i="26"/>
  <c r="J236" i="26"/>
  <c r="I236" i="26"/>
  <c r="G236" i="26"/>
  <c r="H236" i="26"/>
  <c r="J235" i="26"/>
  <c r="I235" i="26"/>
  <c r="G235" i="26"/>
  <c r="H235" i="26"/>
  <c r="J234" i="26"/>
  <c r="I234" i="26"/>
  <c r="G234" i="26"/>
  <c r="H234" i="26"/>
  <c r="J233" i="26"/>
  <c r="I233" i="26"/>
  <c r="G233" i="26"/>
  <c r="H233" i="26"/>
  <c r="J232" i="26"/>
  <c r="I232" i="26"/>
  <c r="G232" i="26"/>
  <c r="H232" i="26"/>
  <c r="J231" i="26"/>
  <c r="I231" i="26"/>
  <c r="G231" i="26"/>
  <c r="H231" i="26"/>
  <c r="J230" i="26"/>
  <c r="I230" i="26"/>
  <c r="G230" i="26"/>
  <c r="H230" i="26"/>
  <c r="J229" i="26"/>
  <c r="I229" i="26"/>
  <c r="G229" i="26"/>
  <c r="H229" i="26"/>
  <c r="J228" i="26"/>
  <c r="I228" i="26"/>
  <c r="G228" i="26"/>
  <c r="H228" i="26"/>
  <c r="J227" i="26"/>
  <c r="I227" i="26"/>
  <c r="G227" i="26"/>
  <c r="H227" i="26"/>
  <c r="J226" i="26"/>
  <c r="I226" i="26"/>
  <c r="G226" i="26"/>
  <c r="H226" i="26"/>
  <c r="J225" i="26"/>
  <c r="I225" i="26"/>
  <c r="G225" i="26"/>
  <c r="H225" i="26"/>
  <c r="J224" i="26"/>
  <c r="I224" i="26"/>
  <c r="G224" i="26"/>
  <c r="H224" i="26"/>
  <c r="J223" i="26"/>
  <c r="I223" i="26"/>
  <c r="G223" i="26"/>
  <c r="H223" i="26"/>
  <c r="J222" i="26"/>
  <c r="I222" i="26"/>
  <c r="G222" i="26"/>
  <c r="H222" i="26"/>
  <c r="J221" i="26"/>
  <c r="I221" i="26"/>
  <c r="G221" i="26"/>
  <c r="H221" i="26"/>
  <c r="J220" i="26"/>
  <c r="I220" i="26"/>
  <c r="G220" i="26"/>
  <c r="H220" i="26"/>
  <c r="J219" i="26"/>
  <c r="I219" i="26"/>
  <c r="G219" i="26"/>
  <c r="H219" i="26"/>
  <c r="J218" i="26"/>
  <c r="I218" i="26"/>
  <c r="G218" i="26"/>
  <c r="H218" i="26"/>
  <c r="J217" i="26"/>
  <c r="I217" i="26"/>
  <c r="G217" i="26"/>
  <c r="H217" i="26"/>
  <c r="J216" i="26"/>
  <c r="I216" i="26"/>
  <c r="G216" i="26"/>
  <c r="H216" i="26"/>
  <c r="J215" i="26"/>
  <c r="I215" i="26"/>
  <c r="G215" i="26"/>
  <c r="H215" i="26"/>
  <c r="J214" i="26"/>
  <c r="I214" i="26"/>
  <c r="G214" i="26"/>
  <c r="H214" i="26"/>
  <c r="J213" i="26"/>
  <c r="I213" i="26"/>
  <c r="G213" i="26"/>
  <c r="H213" i="26"/>
  <c r="J212" i="26"/>
  <c r="I212" i="26"/>
  <c r="G212" i="26"/>
  <c r="H212" i="26"/>
  <c r="J211" i="26"/>
  <c r="I211" i="26"/>
  <c r="G211" i="26"/>
  <c r="H211" i="26"/>
  <c r="J210" i="26"/>
  <c r="I210" i="26"/>
  <c r="G210" i="26"/>
  <c r="H210" i="26"/>
  <c r="J209" i="26"/>
  <c r="I209" i="26"/>
  <c r="G209" i="26"/>
  <c r="H209" i="26"/>
  <c r="J208" i="26"/>
  <c r="I208" i="26"/>
  <c r="G208" i="26"/>
  <c r="H208" i="26"/>
  <c r="J207" i="26"/>
  <c r="I207" i="26"/>
  <c r="G207" i="26"/>
  <c r="H207" i="26"/>
  <c r="J206" i="26"/>
  <c r="I206" i="26"/>
  <c r="G206" i="26"/>
  <c r="H206" i="26"/>
  <c r="J205" i="26"/>
  <c r="I205" i="26"/>
  <c r="G205" i="26"/>
  <c r="H205" i="26"/>
  <c r="J204" i="26"/>
  <c r="I204" i="26"/>
  <c r="G204" i="26"/>
  <c r="H204" i="26"/>
  <c r="J203" i="26"/>
  <c r="I203" i="26"/>
  <c r="G203" i="26"/>
  <c r="H203" i="26"/>
  <c r="J202" i="26"/>
  <c r="I202" i="26"/>
  <c r="G202" i="26"/>
  <c r="H202" i="26"/>
  <c r="J201" i="26"/>
  <c r="I201" i="26"/>
  <c r="G201" i="26"/>
  <c r="H201" i="26"/>
  <c r="J200" i="26"/>
  <c r="I200" i="26"/>
  <c r="G200" i="26"/>
  <c r="H200" i="26"/>
  <c r="J199" i="26"/>
  <c r="I199" i="26"/>
  <c r="G199" i="26"/>
  <c r="H199" i="26"/>
  <c r="J198" i="26"/>
  <c r="I198" i="26"/>
  <c r="G198" i="26"/>
  <c r="H198" i="26"/>
  <c r="J197" i="26"/>
  <c r="I197" i="26"/>
  <c r="G197" i="26"/>
  <c r="H197" i="26"/>
  <c r="J196" i="26"/>
  <c r="I196" i="26"/>
  <c r="G196" i="26"/>
  <c r="H196" i="26"/>
  <c r="J195" i="26"/>
  <c r="I195" i="26"/>
  <c r="G195" i="26"/>
  <c r="H195" i="26"/>
  <c r="J194" i="26"/>
  <c r="I194" i="26"/>
  <c r="G194" i="26"/>
  <c r="H194" i="26"/>
  <c r="J193" i="26"/>
  <c r="I193" i="26"/>
  <c r="G193" i="26"/>
  <c r="H193" i="26"/>
  <c r="J192" i="26"/>
  <c r="I192" i="26"/>
  <c r="G192" i="26"/>
  <c r="H192" i="26"/>
  <c r="J191" i="26"/>
  <c r="I191" i="26"/>
  <c r="G191" i="26"/>
  <c r="H191" i="26"/>
  <c r="J190" i="26"/>
  <c r="I190" i="26"/>
  <c r="G190" i="26"/>
  <c r="H190" i="26"/>
  <c r="J189" i="26"/>
  <c r="I189" i="26"/>
  <c r="G189" i="26"/>
  <c r="H189" i="26"/>
  <c r="J188" i="26"/>
  <c r="I188" i="26"/>
  <c r="G188" i="26"/>
  <c r="H188" i="26"/>
  <c r="J187" i="26"/>
  <c r="I187" i="26"/>
  <c r="G187" i="26"/>
  <c r="H187" i="26"/>
  <c r="J186" i="26"/>
  <c r="I186" i="26"/>
  <c r="G186" i="26"/>
  <c r="H186" i="26"/>
  <c r="J185" i="26"/>
  <c r="I185" i="26"/>
  <c r="G185" i="26"/>
  <c r="H185" i="26"/>
  <c r="J184" i="26"/>
  <c r="I184" i="26"/>
  <c r="G184" i="26"/>
  <c r="H184" i="26"/>
  <c r="J183" i="26"/>
  <c r="I183" i="26"/>
  <c r="G183" i="26"/>
  <c r="H183" i="26"/>
  <c r="J182" i="26"/>
  <c r="I182" i="26"/>
  <c r="G182" i="26"/>
  <c r="H182" i="26"/>
  <c r="J181" i="26"/>
  <c r="I181" i="26"/>
  <c r="G181" i="26"/>
  <c r="H181" i="26"/>
  <c r="J180" i="26"/>
  <c r="I180" i="26"/>
  <c r="G180" i="26"/>
  <c r="H180" i="26"/>
  <c r="J179" i="26"/>
  <c r="I179" i="26"/>
  <c r="G179" i="26"/>
  <c r="H179" i="26"/>
  <c r="J178" i="26"/>
  <c r="I178" i="26"/>
  <c r="G178" i="26"/>
  <c r="H178" i="26"/>
  <c r="J177" i="26"/>
  <c r="I177" i="26"/>
  <c r="G177" i="26"/>
  <c r="H177" i="26"/>
  <c r="J176" i="26"/>
  <c r="I176" i="26"/>
  <c r="G176" i="26"/>
  <c r="H176" i="26"/>
  <c r="J175" i="26"/>
  <c r="I175" i="26"/>
  <c r="G175" i="26"/>
  <c r="H175" i="26"/>
  <c r="J174" i="26"/>
  <c r="I174" i="26"/>
  <c r="G174" i="26"/>
  <c r="H174" i="26"/>
  <c r="J173" i="26"/>
  <c r="I173" i="26"/>
  <c r="G173" i="26"/>
  <c r="H173" i="26"/>
  <c r="J172" i="26"/>
  <c r="I172" i="26"/>
  <c r="G172" i="26"/>
  <c r="H172" i="26"/>
  <c r="J171" i="26"/>
  <c r="I171" i="26"/>
  <c r="G171" i="26"/>
  <c r="H171" i="26"/>
  <c r="J170" i="26"/>
  <c r="I170" i="26"/>
  <c r="G170" i="26"/>
  <c r="H170" i="26"/>
  <c r="J169" i="26"/>
  <c r="I169" i="26"/>
  <c r="G169" i="26"/>
  <c r="H169" i="26"/>
  <c r="J168" i="26"/>
  <c r="I168" i="26"/>
  <c r="G168" i="26"/>
  <c r="H168" i="26"/>
  <c r="J167" i="26"/>
  <c r="I167" i="26"/>
  <c r="G167" i="26"/>
  <c r="H167" i="26"/>
  <c r="J166" i="26"/>
  <c r="I166" i="26"/>
  <c r="G166" i="26"/>
  <c r="H166" i="26"/>
  <c r="J165" i="26"/>
  <c r="I165" i="26"/>
  <c r="G165" i="26"/>
  <c r="H165" i="26"/>
  <c r="J164" i="26"/>
  <c r="I164" i="26"/>
  <c r="G164" i="26"/>
  <c r="H164" i="26"/>
  <c r="J163" i="26"/>
  <c r="I163" i="26"/>
  <c r="G163" i="26"/>
  <c r="H163" i="26"/>
  <c r="J162" i="26"/>
  <c r="I162" i="26"/>
  <c r="G162" i="26"/>
  <c r="H162" i="26"/>
  <c r="J161" i="26"/>
  <c r="I161" i="26"/>
  <c r="G161" i="26"/>
  <c r="H161" i="26"/>
  <c r="J160" i="26"/>
  <c r="I160" i="26"/>
  <c r="G160" i="26"/>
  <c r="H160" i="26"/>
  <c r="J159" i="26"/>
  <c r="I159" i="26"/>
  <c r="G159" i="26"/>
  <c r="H159" i="26"/>
  <c r="J158" i="26"/>
  <c r="I158" i="26"/>
  <c r="G158" i="26"/>
  <c r="H158" i="26"/>
  <c r="J157" i="26"/>
  <c r="I157" i="26"/>
  <c r="G157" i="26"/>
  <c r="H157" i="26"/>
  <c r="J156" i="26"/>
  <c r="I156" i="26"/>
  <c r="G156" i="26"/>
  <c r="H156" i="26"/>
  <c r="J155" i="26"/>
  <c r="I155" i="26"/>
  <c r="G155" i="26"/>
  <c r="H155" i="26"/>
  <c r="J154" i="26"/>
  <c r="I154" i="26"/>
  <c r="G154" i="26"/>
  <c r="H154" i="26"/>
  <c r="J153" i="26"/>
  <c r="I153" i="26"/>
  <c r="G153" i="26"/>
  <c r="H153" i="26"/>
  <c r="J152" i="26"/>
  <c r="I152" i="26"/>
  <c r="G152" i="26"/>
  <c r="H152" i="26"/>
  <c r="J151" i="26"/>
  <c r="I151" i="26"/>
  <c r="G151" i="26"/>
  <c r="H151" i="26"/>
  <c r="J150" i="26"/>
  <c r="I150" i="26"/>
  <c r="G150" i="26"/>
  <c r="H150" i="26"/>
  <c r="J149" i="26"/>
  <c r="I149" i="26"/>
  <c r="G149" i="26"/>
  <c r="H149" i="26"/>
  <c r="J148" i="26"/>
  <c r="I148" i="26"/>
  <c r="G148" i="26"/>
  <c r="H148" i="26"/>
  <c r="J147" i="26"/>
  <c r="I147" i="26"/>
  <c r="G147" i="26"/>
  <c r="H147" i="26"/>
  <c r="J146" i="26"/>
  <c r="I146" i="26"/>
  <c r="G146" i="26"/>
  <c r="H146" i="26"/>
  <c r="J145" i="26"/>
  <c r="I145" i="26"/>
  <c r="G145" i="26"/>
  <c r="H145" i="26"/>
  <c r="J144" i="26"/>
  <c r="I144" i="26"/>
  <c r="G144" i="26"/>
  <c r="H144" i="26"/>
  <c r="J143" i="26"/>
  <c r="I143" i="26"/>
  <c r="G143" i="26"/>
  <c r="H143" i="26"/>
  <c r="J142" i="26"/>
  <c r="I142" i="26"/>
  <c r="G142" i="26"/>
  <c r="H142" i="26"/>
  <c r="J141" i="26"/>
  <c r="I141" i="26"/>
  <c r="G141" i="26"/>
  <c r="H141" i="26"/>
  <c r="J140" i="26"/>
  <c r="I140" i="26"/>
  <c r="G140" i="26"/>
  <c r="H140" i="26"/>
  <c r="J139" i="26"/>
  <c r="I139" i="26"/>
  <c r="G139" i="26"/>
  <c r="H139" i="26"/>
  <c r="J138" i="26"/>
  <c r="I138" i="26"/>
  <c r="G138" i="26"/>
  <c r="H138" i="26"/>
  <c r="J137" i="26"/>
  <c r="I137" i="26"/>
  <c r="G137" i="26"/>
  <c r="H137" i="26"/>
  <c r="J136" i="26"/>
  <c r="I136" i="26"/>
  <c r="G136" i="26"/>
  <c r="H136" i="26"/>
  <c r="J135" i="26"/>
  <c r="I135" i="26"/>
  <c r="H135" i="26"/>
  <c r="J134" i="26"/>
  <c r="I134" i="26"/>
  <c r="G134" i="26"/>
  <c r="H134" i="26"/>
  <c r="J133" i="26"/>
  <c r="I133" i="26"/>
  <c r="G133" i="26"/>
  <c r="H133" i="26"/>
  <c r="J132" i="26"/>
  <c r="I132" i="26"/>
  <c r="G132" i="26"/>
  <c r="H132" i="26"/>
  <c r="J131" i="26"/>
  <c r="I131" i="26"/>
  <c r="H131" i="26"/>
  <c r="J130" i="26"/>
  <c r="I130" i="26"/>
  <c r="G130" i="26"/>
  <c r="H130" i="26"/>
  <c r="J129" i="26"/>
  <c r="I129" i="26"/>
  <c r="G129" i="26"/>
  <c r="H129" i="26"/>
  <c r="J128" i="26"/>
  <c r="I128" i="26"/>
  <c r="G128" i="26"/>
  <c r="H128" i="26"/>
  <c r="J127" i="26"/>
  <c r="I127" i="26"/>
  <c r="H127" i="26"/>
  <c r="J126" i="26"/>
  <c r="I126" i="26"/>
  <c r="G126" i="26"/>
  <c r="H126" i="26"/>
  <c r="J125" i="26"/>
  <c r="I125" i="26"/>
  <c r="G125" i="26"/>
  <c r="H125" i="26"/>
  <c r="J124" i="26"/>
  <c r="I124" i="26"/>
  <c r="G124" i="26"/>
  <c r="H124" i="26"/>
  <c r="J123" i="26"/>
  <c r="I123" i="26"/>
  <c r="H123" i="26"/>
  <c r="J122" i="26"/>
  <c r="I122" i="26"/>
  <c r="G122" i="26"/>
  <c r="H122" i="26"/>
  <c r="J121" i="26"/>
  <c r="I121" i="26"/>
  <c r="H121" i="26"/>
  <c r="J120" i="26"/>
  <c r="I120" i="26"/>
  <c r="G120" i="26"/>
  <c r="H120" i="26"/>
  <c r="J119" i="26"/>
  <c r="I119" i="26"/>
  <c r="H119" i="26"/>
  <c r="J118" i="26"/>
  <c r="I118" i="26"/>
  <c r="G118" i="26"/>
  <c r="H118" i="26"/>
  <c r="J117" i="26"/>
  <c r="I117" i="26"/>
  <c r="H117" i="26"/>
  <c r="J116" i="26"/>
  <c r="I116" i="26"/>
  <c r="G116" i="26"/>
  <c r="H116" i="26"/>
  <c r="J115" i="26"/>
  <c r="I115" i="26"/>
  <c r="H115" i="26"/>
  <c r="J114" i="26"/>
  <c r="I114" i="26"/>
  <c r="G114" i="26"/>
  <c r="H114" i="26"/>
  <c r="J113" i="26"/>
  <c r="I113" i="26"/>
  <c r="H113" i="26"/>
  <c r="J112" i="26"/>
  <c r="I112" i="26"/>
  <c r="G112" i="26"/>
  <c r="H112" i="26"/>
  <c r="J111" i="26"/>
  <c r="I111" i="26"/>
  <c r="H111" i="26"/>
  <c r="J110" i="26"/>
  <c r="I110" i="26"/>
  <c r="G110" i="26"/>
  <c r="H110" i="26"/>
  <c r="J109" i="26"/>
  <c r="I109" i="26"/>
  <c r="H109" i="26"/>
  <c r="J108" i="26"/>
  <c r="I108" i="26"/>
  <c r="G108" i="26"/>
  <c r="H108" i="26"/>
  <c r="J107" i="26"/>
  <c r="I107" i="26"/>
  <c r="H107" i="26"/>
  <c r="J106" i="26"/>
  <c r="I106" i="26"/>
  <c r="G106" i="26"/>
  <c r="H106" i="26"/>
  <c r="J105" i="26"/>
  <c r="I105" i="26"/>
  <c r="H105" i="26"/>
  <c r="J104" i="26"/>
  <c r="I104" i="26"/>
  <c r="G104" i="26"/>
  <c r="H104" i="26"/>
  <c r="J103" i="26"/>
  <c r="I103" i="26"/>
  <c r="H103" i="26"/>
  <c r="J102" i="26"/>
  <c r="I102" i="26"/>
  <c r="G102" i="26"/>
  <c r="H102" i="26"/>
  <c r="J101" i="26"/>
  <c r="I101" i="26"/>
  <c r="H101" i="26"/>
  <c r="J100" i="26"/>
  <c r="I100" i="26"/>
  <c r="G100" i="26"/>
  <c r="H100" i="26"/>
  <c r="J99" i="26"/>
  <c r="I99" i="26"/>
  <c r="H99" i="26"/>
  <c r="J98" i="26"/>
  <c r="I98" i="26"/>
  <c r="G98" i="26"/>
  <c r="H98" i="26"/>
  <c r="J97" i="26"/>
  <c r="I97" i="26"/>
  <c r="H97" i="26"/>
  <c r="J96" i="26"/>
  <c r="I96" i="26"/>
  <c r="G96" i="26"/>
  <c r="H96" i="26"/>
  <c r="J95" i="26"/>
  <c r="I95" i="26"/>
  <c r="H95" i="26"/>
  <c r="J94" i="26"/>
  <c r="I94" i="26"/>
  <c r="G94" i="26"/>
  <c r="H94" i="26"/>
  <c r="J93" i="26"/>
  <c r="I93" i="26"/>
  <c r="H93" i="26"/>
  <c r="J92" i="26"/>
  <c r="I92" i="26"/>
  <c r="G92" i="26"/>
  <c r="H92" i="26"/>
  <c r="J91" i="26"/>
  <c r="I91" i="26"/>
  <c r="H91" i="26"/>
  <c r="J90" i="26"/>
  <c r="I90" i="26"/>
  <c r="G90" i="26"/>
  <c r="H90" i="26"/>
  <c r="J89" i="26"/>
  <c r="I89" i="26"/>
  <c r="H89" i="26"/>
  <c r="J88" i="26"/>
  <c r="I88" i="26"/>
  <c r="G88" i="26"/>
  <c r="H88" i="26"/>
  <c r="J87" i="26"/>
  <c r="I87" i="26"/>
  <c r="H87" i="26"/>
  <c r="J86" i="26"/>
  <c r="I86" i="26"/>
  <c r="G86" i="26"/>
  <c r="H86" i="26"/>
  <c r="J85" i="26"/>
  <c r="I85" i="26"/>
  <c r="H85" i="26"/>
  <c r="J84" i="26"/>
  <c r="I84" i="26"/>
  <c r="G84" i="26"/>
  <c r="H84" i="26"/>
  <c r="J83" i="26"/>
  <c r="I83" i="26"/>
  <c r="H83" i="26"/>
  <c r="J82" i="26"/>
  <c r="I82" i="26"/>
  <c r="G82" i="26"/>
  <c r="H82" i="26"/>
  <c r="J81" i="26"/>
  <c r="I81" i="26"/>
  <c r="H81" i="26"/>
  <c r="J80" i="26"/>
  <c r="I80" i="26"/>
  <c r="G80" i="26"/>
  <c r="H80" i="26"/>
  <c r="J79" i="26"/>
  <c r="I79" i="26"/>
  <c r="H79" i="26"/>
  <c r="J78" i="26"/>
  <c r="I78" i="26"/>
  <c r="G78" i="26"/>
  <c r="H78" i="26"/>
  <c r="J77" i="26"/>
  <c r="I77" i="26"/>
  <c r="H77" i="26"/>
  <c r="J76" i="26"/>
  <c r="I76" i="26"/>
  <c r="G76" i="26"/>
  <c r="H76" i="26"/>
  <c r="J75" i="26"/>
  <c r="I75" i="26"/>
  <c r="H75" i="26"/>
  <c r="J74" i="26"/>
  <c r="I74" i="26"/>
  <c r="G74" i="26"/>
  <c r="H74" i="26"/>
  <c r="J73" i="26"/>
  <c r="I73" i="26"/>
  <c r="H73" i="26"/>
  <c r="J72" i="26"/>
  <c r="I72" i="26"/>
  <c r="G72" i="26"/>
  <c r="H72" i="26"/>
  <c r="J71" i="26"/>
  <c r="I71" i="26"/>
  <c r="H71" i="26"/>
  <c r="J70" i="26"/>
  <c r="I70" i="26"/>
  <c r="G70" i="26"/>
  <c r="H70" i="26"/>
  <c r="J69" i="26"/>
  <c r="I69" i="26"/>
  <c r="H69" i="26"/>
  <c r="J68" i="26"/>
  <c r="I68" i="26"/>
  <c r="G68" i="26"/>
  <c r="H68" i="26"/>
  <c r="J67" i="26"/>
  <c r="I67" i="26"/>
  <c r="H67" i="26"/>
  <c r="J66" i="26"/>
  <c r="I66" i="26"/>
  <c r="G66" i="26"/>
  <c r="H66" i="26"/>
  <c r="J65" i="26"/>
  <c r="I65" i="26"/>
  <c r="H65" i="26"/>
  <c r="J64" i="26"/>
  <c r="I64" i="26"/>
  <c r="G64" i="26"/>
  <c r="H64" i="26"/>
  <c r="J63" i="26"/>
  <c r="I63" i="26"/>
  <c r="H63" i="26"/>
  <c r="J62" i="26"/>
  <c r="I62" i="26"/>
  <c r="G62" i="26"/>
  <c r="H62" i="26"/>
  <c r="J61" i="26"/>
  <c r="I61" i="26"/>
  <c r="H61" i="26"/>
  <c r="J60" i="26"/>
  <c r="I60" i="26"/>
  <c r="G60" i="26"/>
  <c r="H60" i="26"/>
  <c r="J59" i="26"/>
  <c r="I59" i="26"/>
  <c r="H59" i="26"/>
  <c r="J58" i="26"/>
  <c r="I58" i="26"/>
  <c r="G58" i="26"/>
  <c r="H58" i="26"/>
  <c r="J57" i="26"/>
  <c r="I57" i="26"/>
  <c r="H57" i="26"/>
  <c r="J56" i="26"/>
  <c r="I56" i="26"/>
  <c r="G56" i="26"/>
  <c r="H56" i="26"/>
  <c r="J55" i="26"/>
  <c r="I55" i="26"/>
  <c r="H55" i="26"/>
  <c r="J54" i="26"/>
  <c r="I54" i="26"/>
  <c r="G54" i="26"/>
  <c r="H54" i="26"/>
  <c r="J53" i="26"/>
  <c r="I53" i="26"/>
  <c r="H53" i="26"/>
  <c r="J52" i="26"/>
  <c r="I52" i="26"/>
  <c r="G52" i="26"/>
  <c r="H52" i="26"/>
  <c r="J51" i="26"/>
  <c r="I51" i="26"/>
  <c r="H51" i="26"/>
  <c r="J50" i="26"/>
  <c r="I50" i="26"/>
  <c r="G50" i="26"/>
  <c r="H50" i="26"/>
  <c r="J49" i="26"/>
  <c r="I49" i="26"/>
  <c r="H49" i="26"/>
  <c r="J48" i="26"/>
  <c r="I48" i="26"/>
  <c r="G48" i="26"/>
  <c r="H48" i="26"/>
  <c r="J47" i="26"/>
  <c r="I47" i="26"/>
  <c r="H47" i="26"/>
  <c r="J46" i="26"/>
  <c r="I46" i="26"/>
  <c r="G46" i="26"/>
  <c r="H46" i="26"/>
  <c r="J45" i="26"/>
  <c r="I45" i="26"/>
  <c r="H45" i="26"/>
  <c r="J44" i="26"/>
  <c r="I44" i="26"/>
  <c r="G44" i="26"/>
  <c r="H44" i="26"/>
  <c r="J43" i="26"/>
  <c r="I43" i="26"/>
  <c r="H43" i="26"/>
  <c r="J42" i="26"/>
  <c r="I42" i="26"/>
  <c r="G42" i="26"/>
  <c r="H42" i="26"/>
  <c r="J41" i="26"/>
  <c r="I41" i="26"/>
  <c r="H41" i="26"/>
  <c r="J40" i="26"/>
  <c r="I40" i="26"/>
  <c r="G40" i="26"/>
  <c r="H40" i="26"/>
  <c r="J39" i="26"/>
  <c r="I39" i="26"/>
  <c r="H39" i="26"/>
  <c r="J38" i="26"/>
  <c r="I38" i="26"/>
  <c r="G38" i="26"/>
  <c r="H38" i="26"/>
  <c r="J37" i="26"/>
  <c r="I37" i="26"/>
  <c r="H37" i="26"/>
  <c r="J36" i="26"/>
  <c r="I36" i="26"/>
  <c r="G36" i="26"/>
  <c r="H36" i="26"/>
  <c r="J35" i="26"/>
  <c r="I35" i="26"/>
  <c r="H35" i="26"/>
  <c r="J34" i="26"/>
  <c r="I34" i="26"/>
  <c r="G34" i="26"/>
  <c r="H34" i="26"/>
  <c r="J33" i="26"/>
  <c r="I33" i="26"/>
  <c r="H33" i="26"/>
  <c r="J32" i="26"/>
  <c r="I32" i="26"/>
  <c r="G32" i="26"/>
  <c r="H32" i="26"/>
  <c r="J31" i="26"/>
  <c r="G31" i="26"/>
  <c r="I31" i="26"/>
  <c r="H31" i="26"/>
  <c r="J30" i="26"/>
  <c r="I30" i="26"/>
  <c r="H30" i="26"/>
  <c r="J29" i="26"/>
  <c r="G29" i="26"/>
  <c r="I29" i="26"/>
  <c r="H29" i="26"/>
  <c r="J28" i="26"/>
  <c r="I28" i="26"/>
  <c r="H28" i="26"/>
  <c r="J27" i="26"/>
  <c r="G27" i="26"/>
  <c r="I27" i="26"/>
  <c r="H27" i="26"/>
  <c r="J26" i="26"/>
  <c r="I26" i="26"/>
  <c r="H26" i="26"/>
  <c r="J25" i="26"/>
  <c r="G25" i="26"/>
  <c r="I25" i="26"/>
  <c r="H25" i="26"/>
  <c r="J24" i="26"/>
  <c r="I24" i="26"/>
  <c r="H24" i="26"/>
  <c r="J23" i="26"/>
  <c r="G23" i="26"/>
  <c r="I23" i="26"/>
  <c r="H23" i="26"/>
  <c r="J22" i="26"/>
  <c r="I22" i="26"/>
  <c r="H22" i="26"/>
  <c r="J21" i="26"/>
  <c r="G21" i="26"/>
  <c r="I21" i="26"/>
  <c r="H21" i="26"/>
  <c r="J20" i="26"/>
  <c r="I20" i="26"/>
  <c r="H20" i="26"/>
  <c r="J19" i="26"/>
  <c r="G19" i="26"/>
  <c r="I19" i="26"/>
  <c r="H19" i="26"/>
  <c r="J18" i="26"/>
  <c r="I18" i="26"/>
  <c r="H18" i="26"/>
  <c r="J17" i="26"/>
  <c r="G17" i="26"/>
  <c r="I17" i="26"/>
  <c r="H17" i="26"/>
  <c r="J16" i="26"/>
  <c r="I16" i="26"/>
  <c r="H16" i="26"/>
  <c r="J15" i="26"/>
  <c r="G15" i="26"/>
  <c r="I15" i="26"/>
  <c r="H15" i="26"/>
  <c r="J14" i="26"/>
  <c r="I14" i="26"/>
  <c r="G14" i="26"/>
  <c r="H14" i="26"/>
  <c r="J13" i="26"/>
  <c r="I13" i="26"/>
  <c r="G13" i="26"/>
  <c r="H13" i="26"/>
  <c r="J12" i="26"/>
  <c r="I12" i="26"/>
  <c r="G12" i="26"/>
  <c r="H12" i="26"/>
  <c r="J11" i="26"/>
  <c r="I11" i="26"/>
  <c r="H11" i="26"/>
  <c r="J10" i="26"/>
  <c r="G10" i="26"/>
  <c r="I10" i="26"/>
  <c r="H10" i="26"/>
  <c r="M9" i="26"/>
  <c r="J9" i="26"/>
  <c r="I9" i="26"/>
  <c r="G9" i="26"/>
  <c r="H9" i="26"/>
  <c r="J8" i="26"/>
  <c r="I8" i="26"/>
  <c r="H8" i="26"/>
  <c r="J7" i="26"/>
  <c r="I7" i="26"/>
  <c r="H7" i="26"/>
  <c r="J6" i="26"/>
  <c r="G6" i="26"/>
  <c r="I6" i="26"/>
  <c r="H6" i="26"/>
  <c r="J5" i="26"/>
  <c r="I5" i="26"/>
  <c r="H5" i="26"/>
  <c r="J4" i="26"/>
  <c r="G4" i="26"/>
  <c r="I4" i="26"/>
  <c r="H4" i="26"/>
  <c r="N3" i="26"/>
  <c r="J3" i="26"/>
  <c r="I3" i="26"/>
  <c r="H3" i="26"/>
  <c r="J2" i="26"/>
  <c r="I2" i="26"/>
  <c r="H2" i="26"/>
  <c r="J276" i="25"/>
  <c r="I276" i="25"/>
  <c r="G276" i="25"/>
  <c r="H276" i="25"/>
  <c r="J275" i="25"/>
  <c r="I275" i="25"/>
  <c r="G275" i="25"/>
  <c r="H275" i="25"/>
  <c r="J274" i="25"/>
  <c r="I274" i="25"/>
  <c r="G274" i="25"/>
  <c r="H274" i="25"/>
  <c r="J273" i="25"/>
  <c r="I273" i="25"/>
  <c r="G273" i="25"/>
  <c r="H273" i="25"/>
  <c r="J272" i="25"/>
  <c r="I272" i="25"/>
  <c r="G272" i="25"/>
  <c r="H272" i="25"/>
  <c r="J271" i="25"/>
  <c r="I271" i="25"/>
  <c r="G271" i="25"/>
  <c r="H271" i="25"/>
  <c r="J270" i="25"/>
  <c r="I270" i="25"/>
  <c r="H270" i="25"/>
  <c r="J269" i="25"/>
  <c r="I269" i="25"/>
  <c r="H269" i="25"/>
  <c r="J268" i="25"/>
  <c r="I268" i="25"/>
  <c r="G268" i="25"/>
  <c r="H268" i="25"/>
  <c r="J267" i="25"/>
  <c r="I267" i="25"/>
  <c r="G267" i="25"/>
  <c r="H267" i="25"/>
  <c r="J266" i="25"/>
  <c r="I266" i="25"/>
  <c r="H266" i="25"/>
  <c r="J265" i="25"/>
  <c r="I265" i="25"/>
  <c r="H265" i="25"/>
  <c r="J264" i="25"/>
  <c r="I264" i="25"/>
  <c r="G264" i="25"/>
  <c r="H264" i="25"/>
  <c r="J263" i="25"/>
  <c r="I263" i="25"/>
  <c r="G263" i="25"/>
  <c r="H263" i="25"/>
  <c r="J262" i="25"/>
  <c r="I262" i="25"/>
  <c r="H262" i="25"/>
  <c r="J261" i="25"/>
  <c r="I261" i="25"/>
  <c r="H261" i="25"/>
  <c r="J260" i="25"/>
  <c r="I260" i="25"/>
  <c r="G260" i="25"/>
  <c r="H260" i="25"/>
  <c r="J259" i="25"/>
  <c r="I259" i="25"/>
  <c r="G259" i="25"/>
  <c r="H259" i="25"/>
  <c r="J258" i="25"/>
  <c r="I258" i="25"/>
  <c r="H258" i="25"/>
  <c r="J257" i="25"/>
  <c r="I257" i="25"/>
  <c r="H257" i="25"/>
  <c r="J256" i="25"/>
  <c r="I256" i="25"/>
  <c r="G256" i="25"/>
  <c r="H256" i="25"/>
  <c r="J255" i="25"/>
  <c r="I255" i="25"/>
  <c r="H255" i="25"/>
  <c r="J254" i="25"/>
  <c r="I254" i="25"/>
  <c r="H254" i="25"/>
  <c r="J253" i="25"/>
  <c r="I253" i="25"/>
  <c r="H253" i="25"/>
  <c r="J252" i="25"/>
  <c r="I252" i="25"/>
  <c r="G252" i="25"/>
  <c r="H252" i="25"/>
  <c r="J251" i="25"/>
  <c r="I251" i="25"/>
  <c r="H251" i="25"/>
  <c r="J250" i="25"/>
  <c r="I250" i="25"/>
  <c r="H250" i="25"/>
  <c r="J249" i="25"/>
  <c r="I249" i="25"/>
  <c r="H249" i="25"/>
  <c r="J248" i="25"/>
  <c r="I248" i="25"/>
  <c r="G248" i="25"/>
  <c r="H248" i="25"/>
  <c r="J247" i="25"/>
  <c r="I247" i="25"/>
  <c r="H247" i="25"/>
  <c r="J246" i="25"/>
  <c r="I246" i="25"/>
  <c r="H246" i="25"/>
  <c r="J245" i="25"/>
  <c r="I245" i="25"/>
  <c r="H245" i="25"/>
  <c r="J244" i="25"/>
  <c r="I244" i="25"/>
  <c r="G244" i="25"/>
  <c r="H244" i="25"/>
  <c r="J243" i="25"/>
  <c r="I243" i="25"/>
  <c r="H243" i="25"/>
  <c r="J242" i="25"/>
  <c r="I242" i="25"/>
  <c r="H242" i="25"/>
  <c r="J241" i="25"/>
  <c r="I241" i="25"/>
  <c r="H241" i="25"/>
  <c r="J240" i="25"/>
  <c r="I240" i="25"/>
  <c r="G240" i="25"/>
  <c r="H240" i="25"/>
  <c r="J239" i="25"/>
  <c r="I239" i="25"/>
  <c r="H239" i="25"/>
  <c r="J238" i="25"/>
  <c r="I238" i="25"/>
  <c r="H238" i="25"/>
  <c r="J237" i="25"/>
  <c r="I237" i="25"/>
  <c r="H237" i="25"/>
  <c r="J236" i="25"/>
  <c r="I236" i="25"/>
  <c r="G236" i="25"/>
  <c r="H236" i="25"/>
  <c r="J235" i="25"/>
  <c r="I235" i="25"/>
  <c r="H235" i="25"/>
  <c r="J234" i="25"/>
  <c r="I234" i="25"/>
  <c r="H234" i="25"/>
  <c r="J233" i="25"/>
  <c r="I233" i="25"/>
  <c r="H233" i="25"/>
  <c r="J232" i="25"/>
  <c r="I232" i="25"/>
  <c r="G232" i="25"/>
  <c r="H232" i="25"/>
  <c r="J231" i="25"/>
  <c r="I231" i="25"/>
  <c r="H231" i="25"/>
  <c r="J230" i="25"/>
  <c r="I230" i="25"/>
  <c r="H230" i="25"/>
  <c r="J229" i="25"/>
  <c r="I229" i="25"/>
  <c r="H229" i="25"/>
  <c r="J228" i="25"/>
  <c r="I228" i="25"/>
  <c r="G228" i="25"/>
  <c r="H228" i="25"/>
  <c r="J227" i="25"/>
  <c r="I227" i="25"/>
  <c r="H227" i="25"/>
  <c r="J226" i="25"/>
  <c r="I226" i="25"/>
  <c r="H226" i="25"/>
  <c r="J225" i="25"/>
  <c r="I225" i="25"/>
  <c r="H225" i="25"/>
  <c r="J224" i="25"/>
  <c r="I224" i="25"/>
  <c r="G224" i="25"/>
  <c r="H224" i="25"/>
  <c r="J223" i="25"/>
  <c r="I223" i="25"/>
  <c r="H223" i="25"/>
  <c r="J222" i="25"/>
  <c r="I222" i="25"/>
  <c r="H222" i="25"/>
  <c r="J221" i="25"/>
  <c r="I221" i="25"/>
  <c r="H221" i="25"/>
  <c r="J220" i="25"/>
  <c r="I220" i="25"/>
  <c r="G220" i="25"/>
  <c r="H220" i="25"/>
  <c r="J219" i="25"/>
  <c r="I219" i="25"/>
  <c r="H219" i="25"/>
  <c r="J218" i="25"/>
  <c r="I218" i="25"/>
  <c r="H218" i="25"/>
  <c r="J217" i="25"/>
  <c r="I217" i="25"/>
  <c r="H217" i="25"/>
  <c r="J216" i="25"/>
  <c r="I216" i="25"/>
  <c r="G216" i="25"/>
  <c r="H216" i="25"/>
  <c r="J215" i="25"/>
  <c r="I215" i="25"/>
  <c r="H215" i="25"/>
  <c r="J214" i="25"/>
  <c r="I214" i="25"/>
  <c r="H214" i="25"/>
  <c r="J213" i="25"/>
  <c r="I213" i="25"/>
  <c r="H213" i="25"/>
  <c r="J212" i="25"/>
  <c r="I212" i="25"/>
  <c r="G212" i="25"/>
  <c r="H212" i="25"/>
  <c r="J211" i="25"/>
  <c r="I211" i="25"/>
  <c r="H211" i="25"/>
  <c r="J210" i="25"/>
  <c r="I210" i="25"/>
  <c r="H210" i="25"/>
  <c r="J209" i="25"/>
  <c r="I209" i="25"/>
  <c r="H209" i="25"/>
  <c r="J208" i="25"/>
  <c r="I208" i="25"/>
  <c r="G208" i="25"/>
  <c r="H208" i="25"/>
  <c r="J207" i="25"/>
  <c r="I207" i="25"/>
  <c r="H207" i="25"/>
  <c r="J206" i="25"/>
  <c r="I206" i="25"/>
  <c r="H206" i="25"/>
  <c r="J205" i="25"/>
  <c r="I205" i="25"/>
  <c r="H205" i="25"/>
  <c r="J204" i="25"/>
  <c r="I204" i="25"/>
  <c r="G204" i="25"/>
  <c r="H204" i="25"/>
  <c r="J203" i="25"/>
  <c r="I203" i="25"/>
  <c r="H203" i="25"/>
  <c r="J202" i="25"/>
  <c r="I202" i="25"/>
  <c r="H202" i="25"/>
  <c r="J201" i="25"/>
  <c r="I201" i="25"/>
  <c r="H201" i="25"/>
  <c r="J200" i="25"/>
  <c r="I200" i="25"/>
  <c r="G200" i="25"/>
  <c r="H200" i="25"/>
  <c r="J199" i="25"/>
  <c r="I199" i="25"/>
  <c r="H199" i="25"/>
  <c r="J198" i="25"/>
  <c r="I198" i="25"/>
  <c r="H198" i="25"/>
  <c r="J197" i="25"/>
  <c r="I197" i="25"/>
  <c r="H197" i="25"/>
  <c r="J196" i="25"/>
  <c r="I196" i="25"/>
  <c r="G196" i="25"/>
  <c r="H196" i="25"/>
  <c r="J195" i="25"/>
  <c r="I195" i="25"/>
  <c r="H195" i="25"/>
  <c r="J194" i="25"/>
  <c r="I194" i="25"/>
  <c r="H194" i="25"/>
  <c r="J193" i="25"/>
  <c r="I193" i="25"/>
  <c r="H193" i="25"/>
  <c r="J192" i="25"/>
  <c r="I192" i="25"/>
  <c r="G192" i="25"/>
  <c r="H192" i="25"/>
  <c r="J191" i="25"/>
  <c r="I191" i="25"/>
  <c r="H191" i="25"/>
  <c r="J190" i="25"/>
  <c r="I190" i="25"/>
  <c r="H190" i="25"/>
  <c r="J189" i="25"/>
  <c r="I189" i="25"/>
  <c r="H189" i="25"/>
  <c r="J188" i="25"/>
  <c r="I188" i="25"/>
  <c r="H188" i="25"/>
  <c r="J187" i="25"/>
  <c r="I187" i="25"/>
  <c r="H187" i="25"/>
  <c r="J186" i="25"/>
  <c r="I186" i="25"/>
  <c r="H186" i="25"/>
  <c r="J185" i="25"/>
  <c r="I185" i="25"/>
  <c r="H185" i="25"/>
  <c r="J184" i="25"/>
  <c r="I184" i="25"/>
  <c r="H184" i="25"/>
  <c r="J183" i="25"/>
  <c r="I183" i="25"/>
  <c r="H183" i="25"/>
  <c r="J182" i="25"/>
  <c r="I182" i="25"/>
  <c r="H182" i="25"/>
  <c r="J181" i="25"/>
  <c r="I181" i="25"/>
  <c r="H181" i="25"/>
  <c r="J180" i="25"/>
  <c r="I180" i="25"/>
  <c r="H180" i="25"/>
  <c r="J179" i="25"/>
  <c r="I179" i="25"/>
  <c r="H179" i="25"/>
  <c r="J178" i="25"/>
  <c r="I178" i="25"/>
  <c r="H178" i="25"/>
  <c r="J177" i="25"/>
  <c r="I177" i="25"/>
  <c r="H177" i="25"/>
  <c r="J176" i="25"/>
  <c r="I176" i="25"/>
  <c r="H176" i="25"/>
  <c r="J175" i="25"/>
  <c r="I175" i="25"/>
  <c r="H175" i="25"/>
  <c r="J174" i="25"/>
  <c r="I174" i="25"/>
  <c r="H174" i="25"/>
  <c r="J173" i="25"/>
  <c r="I173" i="25"/>
  <c r="H173" i="25"/>
  <c r="J172" i="25"/>
  <c r="I172" i="25"/>
  <c r="H172" i="25"/>
  <c r="J171" i="25"/>
  <c r="I171" i="25"/>
  <c r="G171" i="25"/>
  <c r="H171" i="25"/>
  <c r="J170" i="25"/>
  <c r="I170" i="25"/>
  <c r="G170" i="25"/>
  <c r="H170" i="25"/>
  <c r="J169" i="25"/>
  <c r="I169" i="25"/>
  <c r="G169" i="25"/>
  <c r="H169" i="25"/>
  <c r="J168" i="25"/>
  <c r="I168" i="25"/>
  <c r="H168" i="25"/>
  <c r="J167" i="25"/>
  <c r="I167" i="25"/>
  <c r="G167" i="25"/>
  <c r="H167" i="25"/>
  <c r="J166" i="25"/>
  <c r="I166" i="25"/>
  <c r="G166" i="25"/>
  <c r="H166" i="25"/>
  <c r="J165" i="25"/>
  <c r="I165" i="25"/>
  <c r="G165" i="25"/>
  <c r="H165" i="25"/>
  <c r="J164" i="25"/>
  <c r="I164" i="25"/>
  <c r="H164" i="25"/>
  <c r="J163" i="25"/>
  <c r="I163" i="25"/>
  <c r="G163" i="25"/>
  <c r="H163" i="25"/>
  <c r="J162" i="25"/>
  <c r="I162" i="25"/>
  <c r="G162" i="25"/>
  <c r="H162" i="25"/>
  <c r="J161" i="25"/>
  <c r="I161" i="25"/>
  <c r="G161" i="25"/>
  <c r="H161" i="25"/>
  <c r="J160" i="25"/>
  <c r="I160" i="25"/>
  <c r="H160" i="25"/>
  <c r="J159" i="25"/>
  <c r="I159" i="25"/>
  <c r="G159" i="25"/>
  <c r="H159" i="25"/>
  <c r="J158" i="25"/>
  <c r="I158" i="25"/>
  <c r="G158" i="25"/>
  <c r="H158" i="25"/>
  <c r="J157" i="25"/>
  <c r="I157" i="25"/>
  <c r="G157" i="25"/>
  <c r="H157" i="25"/>
  <c r="J156" i="25"/>
  <c r="I156" i="25"/>
  <c r="H156" i="25"/>
  <c r="J155" i="25"/>
  <c r="I155" i="25"/>
  <c r="G155" i="25"/>
  <c r="H155" i="25"/>
  <c r="J154" i="25"/>
  <c r="I154" i="25"/>
  <c r="G154" i="25"/>
  <c r="H154" i="25"/>
  <c r="J153" i="25"/>
  <c r="I153" i="25"/>
  <c r="G153" i="25"/>
  <c r="H153" i="25"/>
  <c r="J152" i="25"/>
  <c r="I152" i="25"/>
  <c r="H152" i="25"/>
  <c r="J151" i="25"/>
  <c r="I151" i="25"/>
  <c r="G151" i="25"/>
  <c r="H151" i="25"/>
  <c r="J150" i="25"/>
  <c r="I150" i="25"/>
  <c r="G150" i="25"/>
  <c r="H150" i="25"/>
  <c r="J149" i="25"/>
  <c r="I149" i="25"/>
  <c r="G149" i="25"/>
  <c r="H149" i="25"/>
  <c r="J148" i="25"/>
  <c r="I148" i="25"/>
  <c r="H148" i="25"/>
  <c r="J147" i="25"/>
  <c r="I147" i="25"/>
  <c r="G147" i="25"/>
  <c r="H147" i="25"/>
  <c r="J146" i="25"/>
  <c r="I146" i="25"/>
  <c r="G146" i="25"/>
  <c r="H146" i="25"/>
  <c r="J145" i="25"/>
  <c r="I145" i="25"/>
  <c r="G145" i="25"/>
  <c r="H145" i="25"/>
  <c r="J144" i="25"/>
  <c r="I144" i="25"/>
  <c r="H144" i="25"/>
  <c r="J143" i="25"/>
  <c r="I143" i="25"/>
  <c r="G143" i="25"/>
  <c r="H143" i="25"/>
  <c r="J142" i="25"/>
  <c r="I142" i="25"/>
  <c r="G142" i="25"/>
  <c r="H142" i="25"/>
  <c r="J141" i="25"/>
  <c r="I141" i="25"/>
  <c r="G141" i="25"/>
  <c r="H141" i="25"/>
  <c r="J140" i="25"/>
  <c r="I140" i="25"/>
  <c r="H140" i="25"/>
  <c r="J139" i="25"/>
  <c r="I139" i="25"/>
  <c r="G139" i="25"/>
  <c r="H139" i="25"/>
  <c r="J138" i="25"/>
  <c r="I138" i="25"/>
  <c r="G138" i="25"/>
  <c r="H138" i="25"/>
  <c r="J137" i="25"/>
  <c r="I137" i="25"/>
  <c r="G137" i="25"/>
  <c r="H137" i="25"/>
  <c r="J136" i="25"/>
  <c r="I136" i="25"/>
  <c r="H136" i="25"/>
  <c r="J135" i="25"/>
  <c r="I135" i="25"/>
  <c r="G135" i="25"/>
  <c r="H135" i="25"/>
  <c r="J134" i="25"/>
  <c r="I134" i="25"/>
  <c r="G134" i="25"/>
  <c r="H134" i="25"/>
  <c r="J133" i="25"/>
  <c r="I133" i="25"/>
  <c r="G133" i="25"/>
  <c r="H133" i="25"/>
  <c r="J132" i="25"/>
  <c r="I132" i="25"/>
  <c r="H132" i="25"/>
  <c r="J131" i="25"/>
  <c r="I131" i="25"/>
  <c r="G131" i="25"/>
  <c r="H131" i="25"/>
  <c r="J130" i="25"/>
  <c r="I130" i="25"/>
  <c r="G130" i="25"/>
  <c r="H130" i="25"/>
  <c r="J129" i="25"/>
  <c r="I129" i="25"/>
  <c r="G129" i="25"/>
  <c r="H129" i="25"/>
  <c r="J128" i="25"/>
  <c r="I128" i="25"/>
  <c r="H128" i="25"/>
  <c r="J127" i="25"/>
  <c r="I127" i="25"/>
  <c r="G127" i="25"/>
  <c r="H127" i="25"/>
  <c r="J126" i="25"/>
  <c r="I126" i="25"/>
  <c r="G126" i="25"/>
  <c r="H126" i="25"/>
  <c r="J125" i="25"/>
  <c r="I125" i="25"/>
  <c r="G125" i="25"/>
  <c r="H125" i="25"/>
  <c r="J124" i="25"/>
  <c r="I124" i="25"/>
  <c r="H124" i="25"/>
  <c r="J123" i="25"/>
  <c r="I123" i="25"/>
  <c r="G123" i="25"/>
  <c r="H123" i="25"/>
  <c r="J122" i="25"/>
  <c r="I122" i="25"/>
  <c r="G122" i="25"/>
  <c r="H122" i="25"/>
  <c r="J121" i="25"/>
  <c r="I121" i="25"/>
  <c r="G121" i="25"/>
  <c r="H121" i="25"/>
  <c r="J120" i="25"/>
  <c r="I120" i="25"/>
  <c r="H120" i="25"/>
  <c r="J119" i="25"/>
  <c r="I119" i="25"/>
  <c r="G119" i="25"/>
  <c r="H119" i="25"/>
  <c r="J118" i="25"/>
  <c r="I118" i="25"/>
  <c r="G118" i="25"/>
  <c r="H118" i="25"/>
  <c r="J117" i="25"/>
  <c r="I117" i="25"/>
  <c r="G117" i="25"/>
  <c r="H117" i="25"/>
  <c r="J116" i="25"/>
  <c r="I116" i="25"/>
  <c r="H116" i="25"/>
  <c r="J115" i="25"/>
  <c r="I115" i="25"/>
  <c r="G115" i="25"/>
  <c r="H115" i="25"/>
  <c r="J114" i="25"/>
  <c r="I114" i="25"/>
  <c r="G114" i="25"/>
  <c r="H114" i="25"/>
  <c r="J113" i="25"/>
  <c r="I113" i="25"/>
  <c r="G113" i="25"/>
  <c r="H113" i="25"/>
  <c r="J112" i="25"/>
  <c r="I112" i="25"/>
  <c r="H112" i="25"/>
  <c r="J111" i="25"/>
  <c r="I111" i="25"/>
  <c r="G111" i="25"/>
  <c r="H111" i="25"/>
  <c r="J110" i="25"/>
  <c r="I110" i="25"/>
  <c r="G110" i="25"/>
  <c r="H110" i="25"/>
  <c r="J109" i="25"/>
  <c r="I109" i="25"/>
  <c r="G109" i="25"/>
  <c r="H109" i="25"/>
  <c r="J108" i="25"/>
  <c r="I108" i="25"/>
  <c r="H108" i="25"/>
  <c r="J107" i="25"/>
  <c r="I107" i="25"/>
  <c r="H107" i="25"/>
  <c r="J106" i="25"/>
  <c r="I106" i="25"/>
  <c r="H106" i="25"/>
  <c r="J105" i="25"/>
  <c r="I105" i="25"/>
  <c r="H105" i="25"/>
  <c r="J104" i="25"/>
  <c r="I104" i="25"/>
  <c r="H104" i="25"/>
  <c r="J103" i="25"/>
  <c r="I103" i="25"/>
  <c r="H103" i="25"/>
  <c r="J102" i="25"/>
  <c r="I102" i="25"/>
  <c r="H102" i="25"/>
  <c r="J101" i="25"/>
  <c r="I101" i="25"/>
  <c r="H101" i="25"/>
  <c r="J100" i="25"/>
  <c r="I100" i="25"/>
  <c r="H100" i="25"/>
  <c r="J99" i="25"/>
  <c r="I99" i="25"/>
  <c r="H99" i="25"/>
  <c r="J98" i="25"/>
  <c r="I98" i="25"/>
  <c r="H98" i="25"/>
  <c r="J97" i="25"/>
  <c r="I97" i="25"/>
  <c r="H97" i="25"/>
  <c r="J96" i="25"/>
  <c r="I96" i="25"/>
  <c r="H96" i="25"/>
  <c r="J95" i="25"/>
  <c r="I95" i="25"/>
  <c r="H95" i="25"/>
  <c r="J94" i="25"/>
  <c r="I94" i="25"/>
  <c r="H94" i="25"/>
  <c r="J93" i="25"/>
  <c r="I93" i="25"/>
  <c r="H93" i="25"/>
  <c r="J92" i="25"/>
  <c r="I92" i="25"/>
  <c r="H92" i="25"/>
  <c r="J91" i="25"/>
  <c r="I91" i="25"/>
  <c r="H91" i="25"/>
  <c r="J90" i="25"/>
  <c r="I90" i="25"/>
  <c r="H90" i="25"/>
  <c r="J89" i="25"/>
  <c r="I89" i="25"/>
  <c r="H89" i="25"/>
  <c r="J88" i="25"/>
  <c r="I88" i="25"/>
  <c r="H88" i="25"/>
  <c r="J87" i="25"/>
  <c r="I87" i="25"/>
  <c r="H87" i="25"/>
  <c r="J86" i="25"/>
  <c r="I86" i="25"/>
  <c r="H86" i="25"/>
  <c r="J85" i="25"/>
  <c r="I85" i="25"/>
  <c r="H85" i="25"/>
  <c r="J84" i="25"/>
  <c r="I84" i="25"/>
  <c r="H84" i="25"/>
  <c r="J83" i="25"/>
  <c r="I83" i="25"/>
  <c r="H83" i="25"/>
  <c r="J82" i="25"/>
  <c r="I82" i="25"/>
  <c r="H82" i="25"/>
  <c r="J81" i="25"/>
  <c r="I81" i="25"/>
  <c r="H81" i="25"/>
  <c r="J80" i="25"/>
  <c r="I80" i="25"/>
  <c r="H80" i="25"/>
  <c r="J79" i="25"/>
  <c r="I79" i="25"/>
  <c r="H79" i="25"/>
  <c r="J78" i="25"/>
  <c r="I78" i="25"/>
  <c r="H78" i="25"/>
  <c r="J77" i="25"/>
  <c r="I77" i="25"/>
  <c r="H77" i="25"/>
  <c r="J76" i="25"/>
  <c r="I76" i="25"/>
  <c r="H76" i="25"/>
  <c r="J75" i="25"/>
  <c r="I75" i="25"/>
  <c r="H75" i="25"/>
  <c r="J74" i="25"/>
  <c r="I74" i="25"/>
  <c r="H74" i="25"/>
  <c r="J73" i="25"/>
  <c r="I73" i="25"/>
  <c r="H73" i="25"/>
  <c r="J72" i="25"/>
  <c r="I72" i="25"/>
  <c r="H72" i="25"/>
  <c r="J71" i="25"/>
  <c r="I71" i="25"/>
  <c r="H71" i="25"/>
  <c r="J70" i="25"/>
  <c r="I70" i="25"/>
  <c r="H70" i="25"/>
  <c r="J69" i="25"/>
  <c r="I69" i="25"/>
  <c r="H69" i="25"/>
  <c r="J68" i="25"/>
  <c r="I68" i="25"/>
  <c r="H68" i="25"/>
  <c r="J67" i="25"/>
  <c r="I67" i="25"/>
  <c r="H67" i="25"/>
  <c r="J66" i="25"/>
  <c r="I66" i="25"/>
  <c r="H66" i="25"/>
  <c r="J65" i="25"/>
  <c r="I65" i="25"/>
  <c r="H65" i="25"/>
  <c r="J64" i="25"/>
  <c r="I64" i="25"/>
  <c r="H64" i="25"/>
  <c r="J63" i="25"/>
  <c r="I63" i="25"/>
  <c r="H63" i="25"/>
  <c r="J62" i="25"/>
  <c r="I62" i="25"/>
  <c r="H62" i="25"/>
  <c r="J61" i="25"/>
  <c r="I61" i="25"/>
  <c r="H61" i="25"/>
  <c r="J60" i="25"/>
  <c r="I60" i="25"/>
  <c r="H60" i="25"/>
  <c r="J59" i="25"/>
  <c r="I59" i="25"/>
  <c r="H59" i="25"/>
  <c r="J58" i="25"/>
  <c r="I58" i="25"/>
  <c r="H58" i="25"/>
  <c r="J57" i="25"/>
  <c r="I57" i="25"/>
  <c r="H57" i="25"/>
  <c r="J56" i="25"/>
  <c r="I56" i="25"/>
  <c r="H56" i="25"/>
  <c r="J55" i="25"/>
  <c r="I55" i="25"/>
  <c r="H55" i="25"/>
  <c r="J54" i="25"/>
  <c r="I54" i="25"/>
  <c r="H54" i="25"/>
  <c r="J53" i="25"/>
  <c r="I53" i="25"/>
  <c r="H53" i="25"/>
  <c r="J52" i="25"/>
  <c r="I52" i="25"/>
  <c r="H52" i="25"/>
  <c r="J51" i="25"/>
  <c r="I51" i="25"/>
  <c r="H51" i="25"/>
  <c r="J50" i="25"/>
  <c r="I50" i="25"/>
  <c r="H50" i="25"/>
  <c r="J49" i="25"/>
  <c r="I49" i="25"/>
  <c r="H49" i="25"/>
  <c r="J48" i="25"/>
  <c r="I48" i="25"/>
  <c r="H48" i="25"/>
  <c r="J47" i="25"/>
  <c r="I47" i="25"/>
  <c r="H47" i="25"/>
  <c r="J46" i="25"/>
  <c r="I46" i="25"/>
  <c r="H46" i="25"/>
  <c r="J45" i="25"/>
  <c r="I45" i="25"/>
  <c r="H45" i="25"/>
  <c r="J44" i="25"/>
  <c r="I44" i="25"/>
  <c r="H44" i="25"/>
  <c r="J43" i="25"/>
  <c r="I43" i="25"/>
  <c r="H43" i="25"/>
  <c r="J42" i="25"/>
  <c r="I42" i="25"/>
  <c r="H42" i="25"/>
  <c r="J41" i="25"/>
  <c r="I41" i="25"/>
  <c r="H41" i="25"/>
  <c r="J40" i="25"/>
  <c r="I40" i="25"/>
  <c r="H40" i="25"/>
  <c r="J39" i="25"/>
  <c r="I39" i="25"/>
  <c r="H39" i="25"/>
  <c r="J38" i="25"/>
  <c r="I38" i="25"/>
  <c r="H38" i="25"/>
  <c r="J37" i="25"/>
  <c r="I37" i="25"/>
  <c r="H37" i="25"/>
  <c r="J36" i="25"/>
  <c r="I36" i="25"/>
  <c r="H36" i="25"/>
  <c r="J35" i="25"/>
  <c r="I35" i="25"/>
  <c r="H35" i="25"/>
  <c r="J34" i="25"/>
  <c r="I34" i="25"/>
  <c r="H34" i="25"/>
  <c r="J33" i="25"/>
  <c r="I33" i="25"/>
  <c r="H33" i="25"/>
  <c r="J32" i="25"/>
  <c r="I32" i="25"/>
  <c r="H32" i="25"/>
  <c r="J31" i="25"/>
  <c r="I31" i="25"/>
  <c r="H31" i="25"/>
  <c r="J30" i="25"/>
  <c r="I30" i="25"/>
  <c r="H30" i="25"/>
  <c r="J29" i="25"/>
  <c r="I29" i="25"/>
  <c r="H29" i="25"/>
  <c r="J28" i="25"/>
  <c r="I28" i="25"/>
  <c r="H28" i="25"/>
  <c r="J27" i="25"/>
  <c r="I27" i="25"/>
  <c r="H27" i="25"/>
  <c r="J26" i="25"/>
  <c r="I26" i="25"/>
  <c r="H26" i="25"/>
  <c r="J25" i="25"/>
  <c r="I25" i="25"/>
  <c r="H25" i="25"/>
  <c r="J24" i="25"/>
  <c r="I24" i="25"/>
  <c r="H24" i="25"/>
  <c r="J23" i="25"/>
  <c r="I23" i="25"/>
  <c r="H23" i="25"/>
  <c r="J22" i="25"/>
  <c r="I22" i="25"/>
  <c r="H22" i="25"/>
  <c r="J21" i="25"/>
  <c r="I21" i="25"/>
  <c r="H21" i="25"/>
  <c r="J20" i="25"/>
  <c r="I20" i="25"/>
  <c r="H20" i="25"/>
  <c r="J19" i="25"/>
  <c r="I19" i="25"/>
  <c r="H19" i="25"/>
  <c r="J18" i="25"/>
  <c r="I18" i="25"/>
  <c r="H18" i="25"/>
  <c r="J17" i="25"/>
  <c r="I17" i="25"/>
  <c r="H17" i="25"/>
  <c r="J16" i="25"/>
  <c r="I16" i="25"/>
  <c r="H16" i="25"/>
  <c r="J15" i="25"/>
  <c r="I15" i="25"/>
  <c r="H15" i="25"/>
  <c r="J14" i="25"/>
  <c r="I14" i="25"/>
  <c r="H14" i="25"/>
  <c r="J13" i="25"/>
  <c r="I13" i="25"/>
  <c r="H13" i="25"/>
  <c r="J12" i="25"/>
  <c r="I12" i="25"/>
  <c r="H12" i="25"/>
  <c r="J11" i="25"/>
  <c r="I11" i="25"/>
  <c r="H11" i="25"/>
  <c r="J10" i="25"/>
  <c r="I10" i="25"/>
  <c r="H10" i="25"/>
  <c r="J9" i="25"/>
  <c r="I9" i="25"/>
  <c r="H9" i="25"/>
  <c r="J8" i="25"/>
  <c r="I8" i="25"/>
  <c r="H8" i="25"/>
  <c r="J7" i="25"/>
  <c r="I7" i="25"/>
  <c r="G7" i="25"/>
  <c r="H7" i="25"/>
  <c r="J6" i="25"/>
  <c r="I6" i="25"/>
  <c r="G6" i="25"/>
  <c r="H6" i="25"/>
  <c r="J5" i="25"/>
  <c r="I5" i="25"/>
  <c r="G5" i="25"/>
  <c r="H5" i="25"/>
  <c r="J4" i="25"/>
  <c r="I4" i="25"/>
  <c r="H4" i="25"/>
  <c r="N3" i="25"/>
  <c r="M9" i="25"/>
  <c r="J3" i="25"/>
  <c r="I3" i="25"/>
  <c r="H3" i="25"/>
  <c r="J2" i="25"/>
  <c r="I2" i="25"/>
  <c r="G2" i="25"/>
  <c r="H2" i="25"/>
  <c r="J120" i="23"/>
  <c r="I120" i="23"/>
  <c r="H120" i="23"/>
  <c r="J119" i="23"/>
  <c r="I119" i="23"/>
  <c r="H119" i="23"/>
  <c r="J118" i="23"/>
  <c r="I118" i="23"/>
  <c r="G118" i="23"/>
  <c r="H118" i="23"/>
  <c r="J117" i="23"/>
  <c r="I117" i="23"/>
  <c r="G117" i="23"/>
  <c r="H117" i="23"/>
  <c r="J116" i="23"/>
  <c r="I116" i="23"/>
  <c r="H116" i="23"/>
  <c r="J115" i="23"/>
  <c r="I115" i="23"/>
  <c r="H115" i="23"/>
  <c r="J114" i="23"/>
  <c r="I114" i="23"/>
  <c r="G114" i="23"/>
  <c r="H114" i="23"/>
  <c r="J113" i="23"/>
  <c r="I113" i="23"/>
  <c r="G113" i="23"/>
  <c r="H113" i="23"/>
  <c r="J112" i="23"/>
  <c r="I112" i="23"/>
  <c r="H112" i="23"/>
  <c r="J111" i="23"/>
  <c r="I111" i="23"/>
  <c r="H111" i="23"/>
  <c r="J110" i="23"/>
  <c r="I110" i="23"/>
  <c r="G110" i="23"/>
  <c r="H110" i="23"/>
  <c r="J109" i="23"/>
  <c r="I109" i="23"/>
  <c r="G109" i="23"/>
  <c r="H109" i="23"/>
  <c r="J108" i="23"/>
  <c r="I108" i="23"/>
  <c r="H108" i="23"/>
  <c r="J107" i="23"/>
  <c r="I107" i="23"/>
  <c r="H107" i="23"/>
  <c r="J106" i="23"/>
  <c r="I106" i="23"/>
  <c r="G106" i="23"/>
  <c r="H106" i="23"/>
  <c r="J105" i="23"/>
  <c r="I105" i="23"/>
  <c r="G105" i="23"/>
  <c r="H105" i="23"/>
  <c r="J104" i="23"/>
  <c r="I104" i="23"/>
  <c r="H104" i="23"/>
  <c r="J103" i="23"/>
  <c r="I103" i="23"/>
  <c r="H103" i="23"/>
  <c r="J102" i="23"/>
  <c r="I102" i="23"/>
  <c r="G102" i="23"/>
  <c r="H102" i="23"/>
  <c r="J101" i="23"/>
  <c r="I101" i="23"/>
  <c r="G101" i="23"/>
  <c r="H101" i="23"/>
  <c r="J100" i="23"/>
  <c r="I100" i="23"/>
  <c r="H100" i="23"/>
  <c r="J99" i="23"/>
  <c r="I99" i="23"/>
  <c r="H99" i="23"/>
  <c r="J98" i="23"/>
  <c r="I98" i="23"/>
  <c r="G98" i="23"/>
  <c r="H98" i="23"/>
  <c r="J97" i="23"/>
  <c r="I97" i="23"/>
  <c r="G97" i="23"/>
  <c r="H97" i="23"/>
  <c r="J96" i="23"/>
  <c r="I96" i="23"/>
  <c r="H96" i="23"/>
  <c r="J95" i="23"/>
  <c r="I95" i="23"/>
  <c r="H95" i="23"/>
  <c r="J94" i="23"/>
  <c r="I94" i="23"/>
  <c r="G94" i="23"/>
  <c r="H94" i="23"/>
  <c r="J93" i="23"/>
  <c r="I93" i="23"/>
  <c r="G93" i="23"/>
  <c r="H93" i="23"/>
  <c r="J92" i="23"/>
  <c r="I92" i="23"/>
  <c r="H92" i="23"/>
  <c r="J91" i="23"/>
  <c r="I91" i="23"/>
  <c r="H91" i="23"/>
  <c r="J90" i="23"/>
  <c r="I90" i="23"/>
  <c r="G90" i="23"/>
  <c r="H90" i="23"/>
  <c r="J89" i="23"/>
  <c r="I89" i="23"/>
  <c r="G89" i="23"/>
  <c r="H89" i="23"/>
  <c r="J88" i="23"/>
  <c r="I88" i="23"/>
  <c r="H88" i="23"/>
  <c r="J87" i="23"/>
  <c r="I87" i="23"/>
  <c r="H87" i="23"/>
  <c r="J86" i="23"/>
  <c r="I86" i="23"/>
  <c r="G86" i="23"/>
  <c r="H86" i="23"/>
  <c r="J85" i="23"/>
  <c r="I85" i="23"/>
  <c r="G85" i="23"/>
  <c r="H85" i="23"/>
  <c r="J84" i="23"/>
  <c r="I84" i="23"/>
  <c r="H84" i="23"/>
  <c r="J83" i="23"/>
  <c r="I83" i="23"/>
  <c r="H83" i="23"/>
  <c r="J82" i="23"/>
  <c r="I82" i="23"/>
  <c r="G82" i="23"/>
  <c r="H82" i="23"/>
  <c r="J81" i="23"/>
  <c r="I81" i="23"/>
  <c r="G81" i="23"/>
  <c r="H81" i="23"/>
  <c r="J80" i="23"/>
  <c r="I80" i="23"/>
  <c r="H80" i="23"/>
  <c r="J79" i="23"/>
  <c r="I79" i="23"/>
  <c r="H79" i="23"/>
  <c r="J78" i="23"/>
  <c r="I78" i="23"/>
  <c r="G78" i="23"/>
  <c r="H78" i="23"/>
  <c r="J77" i="23"/>
  <c r="I77" i="23"/>
  <c r="G77" i="23"/>
  <c r="H77" i="23"/>
  <c r="J76" i="23"/>
  <c r="I76" i="23"/>
  <c r="H76" i="23"/>
  <c r="J75" i="23"/>
  <c r="I75" i="23"/>
  <c r="H75" i="23"/>
  <c r="J74" i="23"/>
  <c r="I74" i="23"/>
  <c r="G74" i="23"/>
  <c r="H74" i="23"/>
  <c r="J73" i="23"/>
  <c r="I73" i="23"/>
  <c r="G73" i="23"/>
  <c r="H73" i="23"/>
  <c r="J72" i="23"/>
  <c r="I72" i="23"/>
  <c r="H72" i="23"/>
  <c r="J71" i="23"/>
  <c r="I71" i="23"/>
  <c r="H71" i="23"/>
  <c r="J70" i="23"/>
  <c r="I70" i="23"/>
  <c r="G70" i="23"/>
  <c r="H70" i="23"/>
  <c r="J69" i="23"/>
  <c r="I69" i="23"/>
  <c r="G69" i="23"/>
  <c r="H69" i="23"/>
  <c r="J68" i="23"/>
  <c r="I68" i="23"/>
  <c r="H68" i="23"/>
  <c r="J67" i="23"/>
  <c r="I67" i="23"/>
  <c r="H67" i="23"/>
  <c r="J66" i="23"/>
  <c r="I66" i="23"/>
  <c r="G66" i="23"/>
  <c r="H66" i="23"/>
  <c r="J65" i="23"/>
  <c r="I65" i="23"/>
  <c r="G65" i="23"/>
  <c r="H65" i="23"/>
  <c r="J64" i="23"/>
  <c r="I64" i="23"/>
  <c r="H64" i="23"/>
  <c r="J63" i="23"/>
  <c r="I63" i="23"/>
  <c r="H63" i="23"/>
  <c r="J62" i="23"/>
  <c r="I62" i="23"/>
  <c r="G62" i="23"/>
  <c r="H62" i="23"/>
  <c r="J61" i="23"/>
  <c r="I61" i="23"/>
  <c r="G61" i="23"/>
  <c r="H61" i="23"/>
  <c r="J60" i="23"/>
  <c r="I60" i="23"/>
  <c r="H60" i="23"/>
  <c r="J59" i="23"/>
  <c r="I59" i="23"/>
  <c r="H59" i="23"/>
  <c r="J58" i="23"/>
  <c r="I58" i="23"/>
  <c r="G58" i="23"/>
  <c r="H58" i="23"/>
  <c r="J57" i="23"/>
  <c r="I57" i="23"/>
  <c r="G57" i="23"/>
  <c r="H57" i="23"/>
  <c r="J56" i="23"/>
  <c r="I56" i="23"/>
  <c r="H56" i="23"/>
  <c r="J55" i="23"/>
  <c r="I55" i="23"/>
  <c r="H55" i="23"/>
  <c r="J54" i="23"/>
  <c r="I54" i="23"/>
  <c r="G54" i="23"/>
  <c r="H54" i="23"/>
  <c r="J53" i="23"/>
  <c r="I53" i="23"/>
  <c r="G53" i="23"/>
  <c r="H53" i="23"/>
  <c r="J52" i="23"/>
  <c r="I52" i="23"/>
  <c r="H52" i="23"/>
  <c r="J51" i="23"/>
  <c r="I51" i="23"/>
  <c r="H51" i="23"/>
  <c r="J50" i="23"/>
  <c r="I50" i="23"/>
  <c r="G50" i="23"/>
  <c r="H50" i="23"/>
  <c r="J49" i="23"/>
  <c r="I49" i="23"/>
  <c r="G49" i="23"/>
  <c r="H49" i="23"/>
  <c r="J48" i="23"/>
  <c r="I48" i="23"/>
  <c r="H48" i="23"/>
  <c r="J47" i="23"/>
  <c r="I47" i="23"/>
  <c r="H47" i="23"/>
  <c r="J46" i="23"/>
  <c r="I46" i="23"/>
  <c r="G46" i="23"/>
  <c r="H46" i="23"/>
  <c r="J45" i="23"/>
  <c r="I45" i="23"/>
  <c r="G45" i="23"/>
  <c r="H45" i="23"/>
  <c r="J44" i="23"/>
  <c r="I44" i="23"/>
  <c r="H44" i="23"/>
  <c r="J43" i="23"/>
  <c r="I43" i="23"/>
  <c r="H43" i="23"/>
  <c r="J42" i="23"/>
  <c r="I42" i="23"/>
  <c r="G42" i="23"/>
  <c r="H42" i="23"/>
  <c r="J41" i="23"/>
  <c r="I41" i="23"/>
  <c r="G41" i="23"/>
  <c r="H41" i="23"/>
  <c r="J40" i="23"/>
  <c r="I40" i="23"/>
  <c r="H40" i="23"/>
  <c r="J39" i="23"/>
  <c r="I39" i="23"/>
  <c r="H39" i="23"/>
  <c r="J38" i="23"/>
  <c r="I38" i="23"/>
  <c r="G38" i="23"/>
  <c r="H38" i="23"/>
  <c r="J37" i="23"/>
  <c r="I37" i="23"/>
  <c r="G37" i="23"/>
  <c r="H37" i="23"/>
  <c r="J36" i="23"/>
  <c r="I36" i="23"/>
  <c r="H36" i="23"/>
  <c r="J35" i="23"/>
  <c r="I35" i="23"/>
  <c r="H35" i="23"/>
  <c r="J34" i="23"/>
  <c r="I34" i="23"/>
  <c r="G34" i="23"/>
  <c r="H34" i="23"/>
  <c r="J33" i="23"/>
  <c r="I33" i="23"/>
  <c r="G33" i="23"/>
  <c r="H33" i="23"/>
  <c r="J32" i="23"/>
  <c r="I32" i="23"/>
  <c r="H32" i="23"/>
  <c r="J31" i="23"/>
  <c r="I31" i="23"/>
  <c r="H31" i="23"/>
  <c r="J30" i="23"/>
  <c r="I30" i="23"/>
  <c r="G30" i="23"/>
  <c r="H30" i="23"/>
  <c r="J29" i="23"/>
  <c r="I29" i="23"/>
  <c r="G29" i="23"/>
  <c r="H29" i="23"/>
  <c r="J28" i="23"/>
  <c r="I28" i="23"/>
  <c r="H28" i="23"/>
  <c r="J27" i="23"/>
  <c r="I27" i="23"/>
  <c r="H27" i="23"/>
  <c r="J26" i="23"/>
  <c r="I26" i="23"/>
  <c r="G26" i="23"/>
  <c r="H26" i="23"/>
  <c r="J25" i="23"/>
  <c r="I25" i="23"/>
  <c r="G25" i="23"/>
  <c r="H25" i="23"/>
  <c r="J24" i="23"/>
  <c r="I24" i="23"/>
  <c r="H24" i="23"/>
  <c r="J23" i="23"/>
  <c r="I23" i="23"/>
  <c r="H23" i="23"/>
  <c r="J22" i="23"/>
  <c r="I22" i="23"/>
  <c r="G22" i="23"/>
  <c r="H22" i="23"/>
  <c r="J21" i="23"/>
  <c r="I21" i="23"/>
  <c r="G21" i="23"/>
  <c r="H21" i="23"/>
  <c r="J20" i="23"/>
  <c r="I20" i="23"/>
  <c r="H20" i="23"/>
  <c r="J19" i="23"/>
  <c r="I19" i="23"/>
  <c r="H19" i="23"/>
  <c r="J18" i="23"/>
  <c r="I18" i="23"/>
  <c r="G18" i="23"/>
  <c r="H18" i="23"/>
  <c r="J17" i="23"/>
  <c r="I17" i="23"/>
  <c r="G17" i="23"/>
  <c r="H17" i="23"/>
  <c r="J16" i="23"/>
  <c r="I16" i="23"/>
  <c r="H16" i="23"/>
  <c r="J15" i="23"/>
  <c r="I15" i="23"/>
  <c r="H15" i="23"/>
  <c r="J14" i="23"/>
  <c r="I14" i="23"/>
  <c r="G14" i="23"/>
  <c r="H14" i="23"/>
  <c r="J13" i="23"/>
  <c r="I13" i="23"/>
  <c r="G13" i="23"/>
  <c r="H13" i="23"/>
  <c r="J12" i="23"/>
  <c r="I12" i="23"/>
  <c r="H12" i="23"/>
  <c r="J11" i="23"/>
  <c r="I11" i="23"/>
  <c r="H11" i="23"/>
  <c r="J10" i="23"/>
  <c r="I10" i="23"/>
  <c r="H10" i="23"/>
  <c r="M9" i="23"/>
  <c r="J9" i="23"/>
  <c r="G9" i="23"/>
  <c r="I9" i="23"/>
  <c r="H9" i="23"/>
  <c r="J8" i="23"/>
  <c r="I8" i="23"/>
  <c r="H8" i="23"/>
  <c r="J7" i="23"/>
  <c r="I7" i="23"/>
  <c r="H7" i="23"/>
  <c r="J6" i="23"/>
  <c r="I6" i="23"/>
  <c r="H6" i="23"/>
  <c r="J5" i="23"/>
  <c r="I5" i="23"/>
  <c r="H5" i="23"/>
  <c r="J4" i="23"/>
  <c r="I4" i="23"/>
  <c r="H4" i="23"/>
  <c r="N3" i="23"/>
  <c r="J3" i="23"/>
  <c r="I3" i="23"/>
  <c r="H3" i="23"/>
  <c r="J2" i="23"/>
  <c r="I2" i="23"/>
  <c r="H2" i="23"/>
  <c r="G7" i="26"/>
  <c r="G18" i="26"/>
  <c r="G22" i="26"/>
  <c r="G26" i="26"/>
  <c r="G30" i="26"/>
  <c r="G5" i="26"/>
  <c r="G16" i="26"/>
  <c r="G20" i="26"/>
  <c r="G24" i="26"/>
  <c r="G28" i="26"/>
  <c r="M7" i="26"/>
  <c r="G2" i="26"/>
  <c r="G3" i="26"/>
  <c r="G11" i="26"/>
  <c r="G8" i="26"/>
  <c r="G33" i="26"/>
  <c r="G37" i="26"/>
  <c r="G41" i="26"/>
  <c r="G45" i="26"/>
  <c r="G49" i="26"/>
  <c r="G53" i="26"/>
  <c r="G57" i="26"/>
  <c r="G61" i="26"/>
  <c r="G65" i="26"/>
  <c r="G69" i="26"/>
  <c r="G73" i="26"/>
  <c r="G77" i="26"/>
  <c r="G81" i="26"/>
  <c r="G85" i="26"/>
  <c r="G89" i="26"/>
  <c r="G93" i="26"/>
  <c r="G97" i="26"/>
  <c r="G101" i="26"/>
  <c r="G105" i="26"/>
  <c r="G109" i="26"/>
  <c r="G113" i="26"/>
  <c r="G117" i="26"/>
  <c r="G121" i="26"/>
  <c r="G35" i="26"/>
  <c r="G39" i="26"/>
  <c r="G43" i="26"/>
  <c r="G47" i="26"/>
  <c r="G51" i="26"/>
  <c r="G55" i="26"/>
  <c r="G59" i="26"/>
  <c r="G63" i="26"/>
  <c r="G67" i="26"/>
  <c r="G71" i="26"/>
  <c r="G75" i="26"/>
  <c r="G79" i="26"/>
  <c r="G83" i="26"/>
  <c r="G87" i="26"/>
  <c r="G91" i="26"/>
  <c r="G95" i="26"/>
  <c r="G99" i="26"/>
  <c r="G103" i="26"/>
  <c r="G107" i="26"/>
  <c r="G111" i="26"/>
  <c r="G115" i="26"/>
  <c r="G119" i="26"/>
  <c r="G123" i="26"/>
  <c r="G127" i="26"/>
  <c r="G131" i="26"/>
  <c r="G135" i="26"/>
  <c r="G3" i="25"/>
  <c r="G8" i="25"/>
  <c r="G13" i="25"/>
  <c r="G17" i="25"/>
  <c r="G21" i="25"/>
  <c r="G25" i="25"/>
  <c r="G29" i="25"/>
  <c r="G33" i="25"/>
  <c r="G37" i="25"/>
  <c r="G41" i="25"/>
  <c r="G45" i="25"/>
  <c r="G49" i="25"/>
  <c r="G53" i="25"/>
  <c r="G57" i="25"/>
  <c r="G61" i="25"/>
  <c r="G65" i="25"/>
  <c r="G69" i="25"/>
  <c r="G73" i="25"/>
  <c r="G77" i="25"/>
  <c r="G81" i="25"/>
  <c r="G85" i="25"/>
  <c r="G89" i="25"/>
  <c r="G93" i="25"/>
  <c r="G97" i="25"/>
  <c r="G101" i="25"/>
  <c r="G105" i="25"/>
  <c r="G173" i="25"/>
  <c r="G177" i="25"/>
  <c r="G181" i="25"/>
  <c r="G185" i="25"/>
  <c r="G189" i="25"/>
  <c r="G16" i="25"/>
  <c r="G32" i="25"/>
  <c r="G44" i="25"/>
  <c r="G60" i="25"/>
  <c r="G72" i="25"/>
  <c r="G88" i="25"/>
  <c r="G104" i="25"/>
  <c r="G176" i="25"/>
  <c r="G15" i="25"/>
  <c r="G27" i="25"/>
  <c r="G39" i="25"/>
  <c r="G67" i="25"/>
  <c r="G75" i="25"/>
  <c r="G79" i="25"/>
  <c r="G83" i="25"/>
  <c r="G87" i="25"/>
  <c r="G91" i="25"/>
  <c r="G95" i="25"/>
  <c r="G99" i="25"/>
  <c r="G103" i="25"/>
  <c r="G107" i="25"/>
  <c r="G175" i="25"/>
  <c r="G179" i="25"/>
  <c r="G183" i="25"/>
  <c r="G187" i="25"/>
  <c r="G191" i="25"/>
  <c r="G12" i="25"/>
  <c r="G20" i="25"/>
  <c r="G24" i="25"/>
  <c r="G28" i="25"/>
  <c r="G36" i="25"/>
  <c r="G40" i="25"/>
  <c r="G48" i="25"/>
  <c r="G52" i="25"/>
  <c r="G56" i="25"/>
  <c r="G64" i="25"/>
  <c r="G68" i="25"/>
  <c r="G76" i="25"/>
  <c r="G80" i="25"/>
  <c r="G84" i="25"/>
  <c r="G92" i="25"/>
  <c r="G96" i="25"/>
  <c r="G100" i="25"/>
  <c r="G180" i="25"/>
  <c r="G184" i="25"/>
  <c r="G188" i="25"/>
  <c r="M7" i="25"/>
  <c r="G11" i="25"/>
  <c r="G19" i="25"/>
  <c r="G23" i="25"/>
  <c r="G31" i="25"/>
  <c r="G35" i="25"/>
  <c r="G43" i="25"/>
  <c r="G47" i="25"/>
  <c r="G51" i="25"/>
  <c r="G55" i="25"/>
  <c r="G59" i="25"/>
  <c r="G63" i="25"/>
  <c r="G71" i="25"/>
  <c r="G9" i="25"/>
  <c r="G14" i="25"/>
  <c r="G18" i="25"/>
  <c r="G22" i="25"/>
  <c r="G26" i="25"/>
  <c r="G30" i="25"/>
  <c r="G34" i="25"/>
  <c r="G38" i="25"/>
  <c r="G42" i="25"/>
  <c r="G46" i="25"/>
  <c r="G50" i="25"/>
  <c r="G54" i="25"/>
  <c r="G58" i="25"/>
  <c r="G62" i="25"/>
  <c r="G66" i="25"/>
  <c r="G70" i="25"/>
  <c r="G74" i="25"/>
  <c r="G78" i="25"/>
  <c r="G82" i="25"/>
  <c r="G86" i="25"/>
  <c r="G90" i="25"/>
  <c r="G94" i="25"/>
  <c r="G98" i="25"/>
  <c r="G102" i="25"/>
  <c r="G106" i="25"/>
  <c r="G174" i="25"/>
  <c r="G178" i="25"/>
  <c r="G182" i="25"/>
  <c r="G186" i="25"/>
  <c r="G190" i="25"/>
  <c r="G108" i="25"/>
  <c r="G112" i="25"/>
  <c r="G116" i="25"/>
  <c r="G120" i="25"/>
  <c r="G124" i="25"/>
  <c r="G128" i="25"/>
  <c r="G132" i="25"/>
  <c r="G136" i="25"/>
  <c r="G140" i="25"/>
  <c r="G144" i="25"/>
  <c r="G148" i="25"/>
  <c r="G152" i="25"/>
  <c r="G156" i="25"/>
  <c r="G160" i="25"/>
  <c r="G164" i="25"/>
  <c r="G168" i="25"/>
  <c r="G172" i="25"/>
  <c r="G195" i="25"/>
  <c r="G199" i="25"/>
  <c r="G203" i="25"/>
  <c r="G207" i="25"/>
  <c r="G211" i="25"/>
  <c r="G215" i="25"/>
  <c r="G219" i="25"/>
  <c r="G223" i="25"/>
  <c r="G227" i="25"/>
  <c r="G231" i="25"/>
  <c r="G235" i="25"/>
  <c r="G239" i="25"/>
  <c r="G243" i="25"/>
  <c r="G247" i="25"/>
  <c r="G251" i="25"/>
  <c r="G255" i="25"/>
  <c r="G4" i="25"/>
  <c r="G10" i="25"/>
  <c r="G194" i="25"/>
  <c r="G198" i="25"/>
  <c r="G202" i="25"/>
  <c r="G206" i="25"/>
  <c r="G210" i="25"/>
  <c r="G214" i="25"/>
  <c r="G218" i="25"/>
  <c r="G222" i="25"/>
  <c r="G226" i="25"/>
  <c r="G230" i="25"/>
  <c r="G234" i="25"/>
  <c r="G238" i="25"/>
  <c r="G242" i="25"/>
  <c r="G246" i="25"/>
  <c r="G250" i="25"/>
  <c r="G254" i="25"/>
  <c r="G258" i="25"/>
  <c r="G262" i="25"/>
  <c r="G266" i="25"/>
  <c r="G270" i="25"/>
  <c r="G193" i="25"/>
  <c r="G197" i="25"/>
  <c r="G201" i="25"/>
  <c r="G205" i="25"/>
  <c r="G209" i="25"/>
  <c r="G213" i="25"/>
  <c r="G217" i="25"/>
  <c r="G221" i="25"/>
  <c r="G225" i="25"/>
  <c r="G229" i="25"/>
  <c r="G233" i="25"/>
  <c r="G237" i="25"/>
  <c r="G241" i="25"/>
  <c r="G245" i="25"/>
  <c r="G249" i="25"/>
  <c r="G253" i="25"/>
  <c r="G257" i="25"/>
  <c r="G261" i="25"/>
  <c r="G265" i="25"/>
  <c r="G269" i="25"/>
  <c r="G2" i="23"/>
  <c r="G8" i="23"/>
  <c r="G7" i="23"/>
  <c r="M7" i="23"/>
  <c r="G5" i="23"/>
  <c r="G11" i="23"/>
  <c r="G15" i="23"/>
  <c r="G19" i="23"/>
  <c r="G23" i="23"/>
  <c r="G27" i="23"/>
  <c r="G31" i="23"/>
  <c r="G35" i="23"/>
  <c r="G39" i="23"/>
  <c r="G43" i="23"/>
  <c r="G47" i="23"/>
  <c r="G51" i="23"/>
  <c r="G55" i="23"/>
  <c r="G59" i="23"/>
  <c r="G63" i="23"/>
  <c r="G67" i="23"/>
  <c r="G71" i="23"/>
  <c r="G75" i="23"/>
  <c r="G79" i="23"/>
  <c r="G83" i="23"/>
  <c r="G87" i="23"/>
  <c r="G91" i="23"/>
  <c r="G95" i="23"/>
  <c r="G99" i="23"/>
  <c r="G103" i="23"/>
  <c r="G107" i="23"/>
  <c r="G111" i="23"/>
  <c r="G115" i="23"/>
  <c r="G119" i="23"/>
  <c r="G3" i="23"/>
  <c r="G4" i="23"/>
  <c r="G12" i="23"/>
  <c r="G16" i="23"/>
  <c r="G20" i="23"/>
  <c r="G24" i="23"/>
  <c r="G28" i="23"/>
  <c r="G32" i="23"/>
  <c r="G36" i="23"/>
  <c r="G40" i="23"/>
  <c r="G44" i="23"/>
  <c r="G48" i="23"/>
  <c r="G52" i="23"/>
  <c r="G56" i="23"/>
  <c r="G60" i="23"/>
  <c r="G64" i="23"/>
  <c r="G68" i="23"/>
  <c r="G72" i="23"/>
  <c r="G76" i="23"/>
  <c r="G80" i="23"/>
  <c r="G84" i="23"/>
  <c r="G88" i="23"/>
  <c r="G92" i="23"/>
  <c r="G96" i="23"/>
  <c r="G100" i="23"/>
  <c r="G104" i="23"/>
  <c r="G108" i="23"/>
  <c r="G112" i="23"/>
  <c r="G116" i="23"/>
  <c r="G120" i="23"/>
  <c r="G6" i="23"/>
  <c r="G10" i="23"/>
  <c r="J3" i="22"/>
  <c r="J4" i="22"/>
  <c r="J5" i="22"/>
  <c r="J6" i="22"/>
  <c r="J7" i="22"/>
  <c r="J8" i="22"/>
  <c r="J9" i="22"/>
  <c r="J10" i="22"/>
  <c r="G10" i="22"/>
  <c r="J11" i="22"/>
  <c r="J12" i="22"/>
  <c r="J13" i="22"/>
  <c r="J14" i="22"/>
  <c r="J15" i="22"/>
  <c r="J16" i="22"/>
  <c r="J17" i="22"/>
  <c r="J18" i="22"/>
  <c r="J19" i="22"/>
  <c r="G19" i="22"/>
  <c r="J20" i="22"/>
  <c r="J21" i="22"/>
  <c r="J22" i="22"/>
  <c r="J23" i="22"/>
  <c r="G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G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G51" i="22"/>
  <c r="J52" i="22"/>
  <c r="J53" i="22"/>
  <c r="J54" i="22"/>
  <c r="J55" i="22"/>
  <c r="G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G71" i="22"/>
  <c r="J72" i="22"/>
  <c r="J73" i="22"/>
  <c r="J74" i="22"/>
  <c r="J75" i="22"/>
  <c r="J76" i="22"/>
  <c r="J77" i="22"/>
  <c r="J78" i="22"/>
  <c r="J79" i="22"/>
  <c r="G79" i="22"/>
  <c r="J80" i="22"/>
  <c r="J81" i="22"/>
  <c r="J82" i="22"/>
  <c r="J83" i="22"/>
  <c r="G83" i="22"/>
  <c r="J84" i="22"/>
  <c r="J85" i="22"/>
  <c r="J86" i="22"/>
  <c r="J87" i="22"/>
  <c r="J88" i="22"/>
  <c r="J89" i="22"/>
  <c r="J90" i="22"/>
  <c r="J91" i="22"/>
  <c r="J92" i="22"/>
  <c r="J93" i="22"/>
  <c r="J94" i="22"/>
  <c r="G94" i="22"/>
  <c r="J95" i="22"/>
  <c r="J96" i="22"/>
  <c r="G96" i="22"/>
  <c r="J97" i="22"/>
  <c r="J98" i="22"/>
  <c r="J99" i="22"/>
  <c r="J100" i="22"/>
  <c r="J101" i="22"/>
  <c r="J102" i="22"/>
  <c r="G102" i="22"/>
  <c r="J103" i="22"/>
  <c r="J104" i="22"/>
  <c r="J105" i="22"/>
  <c r="J106" i="22"/>
  <c r="G106" i="22"/>
  <c r="J107" i="22"/>
  <c r="J108" i="22"/>
  <c r="J109" i="22"/>
  <c r="J110" i="22"/>
  <c r="G110" i="22"/>
  <c r="J111" i="22"/>
  <c r="J112" i="22"/>
  <c r="J113" i="22"/>
  <c r="I3" i="22"/>
  <c r="I4" i="22"/>
  <c r="I5" i="22"/>
  <c r="I6" i="22"/>
  <c r="I7" i="22"/>
  <c r="I8" i="22"/>
  <c r="I9" i="22"/>
  <c r="I10" i="22"/>
  <c r="I11" i="22"/>
  <c r="G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G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G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G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G100" i="22"/>
  <c r="I101" i="22"/>
  <c r="I102" i="22"/>
  <c r="I103" i="22"/>
  <c r="I104" i="22"/>
  <c r="I105" i="22"/>
  <c r="I106" i="22"/>
  <c r="I107" i="22"/>
  <c r="I108" i="22"/>
  <c r="G108" i="22"/>
  <c r="I109" i="22"/>
  <c r="I110" i="22"/>
  <c r="I111" i="22"/>
  <c r="I112" i="22"/>
  <c r="G112" i="22"/>
  <c r="I113" i="22"/>
  <c r="N3" i="22"/>
  <c r="M9" i="22"/>
  <c r="N2" i="22"/>
  <c r="M8" i="22"/>
  <c r="G53" i="3"/>
  <c r="H113" i="22"/>
  <c r="H112" i="22"/>
  <c r="H111" i="22"/>
  <c r="H110" i="22"/>
  <c r="H109" i="22"/>
  <c r="H108" i="22"/>
  <c r="H107" i="22"/>
  <c r="H106" i="22"/>
  <c r="H105" i="22"/>
  <c r="H104" i="22"/>
  <c r="G104" i="22"/>
  <c r="H103" i="22"/>
  <c r="H102" i="22"/>
  <c r="H101" i="22"/>
  <c r="H100" i="22"/>
  <c r="H99" i="22"/>
  <c r="H98" i="22"/>
  <c r="G98" i="22"/>
  <c r="H97" i="22"/>
  <c r="H96" i="22"/>
  <c r="H95" i="22"/>
  <c r="H94" i="22"/>
  <c r="H93" i="22"/>
  <c r="H92" i="22"/>
  <c r="G92" i="22"/>
  <c r="H91" i="22"/>
  <c r="H90" i="22"/>
  <c r="G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G67" i="22"/>
  <c r="H67" i="22"/>
  <c r="H66" i="22"/>
  <c r="H65" i="22"/>
  <c r="H64" i="22"/>
  <c r="G63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G47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G35" i="22"/>
  <c r="H35" i="22"/>
  <c r="H34" i="22"/>
  <c r="H33" i="22"/>
  <c r="H32" i="22"/>
  <c r="G31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G15" i="22"/>
  <c r="H15" i="22"/>
  <c r="H14" i="22"/>
  <c r="H13" i="22"/>
  <c r="H12" i="22"/>
  <c r="H11" i="22"/>
  <c r="H10" i="22"/>
  <c r="H9" i="22"/>
  <c r="H8" i="22"/>
  <c r="G7" i="22"/>
  <c r="H7" i="22"/>
  <c r="H6" i="22"/>
  <c r="H5" i="22"/>
  <c r="H4" i="22"/>
  <c r="G3" i="22"/>
  <c r="H3" i="22"/>
  <c r="J2" i="22"/>
  <c r="I2" i="22"/>
  <c r="H2" i="22"/>
  <c r="N3" i="21"/>
  <c r="J3" i="21"/>
  <c r="J4" i="21"/>
  <c r="G4" i="21"/>
  <c r="J5" i="21"/>
  <c r="G5" i="21"/>
  <c r="J6" i="21"/>
  <c r="J7" i="21"/>
  <c r="J8" i="21"/>
  <c r="J9" i="21"/>
  <c r="G9" i="21"/>
  <c r="J10" i="21"/>
  <c r="J11" i="21"/>
  <c r="J12" i="21"/>
  <c r="J13" i="21"/>
  <c r="G13" i="21"/>
  <c r="J14" i="21"/>
  <c r="J15" i="21"/>
  <c r="J16" i="21"/>
  <c r="G16" i="21"/>
  <c r="J17" i="21"/>
  <c r="G17" i="21"/>
  <c r="J18" i="21"/>
  <c r="J19" i="21"/>
  <c r="G19" i="21"/>
  <c r="J20" i="21"/>
  <c r="G20" i="21"/>
  <c r="J21" i="21"/>
  <c r="G21" i="21"/>
  <c r="J22" i="21"/>
  <c r="J23" i="21"/>
  <c r="J24" i="21"/>
  <c r="J25" i="21"/>
  <c r="G25" i="21"/>
  <c r="J26" i="21"/>
  <c r="J27" i="21"/>
  <c r="J28" i="21"/>
  <c r="J29" i="21"/>
  <c r="G29" i="21"/>
  <c r="J30" i="21"/>
  <c r="J31" i="21"/>
  <c r="J32" i="21"/>
  <c r="G32" i="21"/>
  <c r="J33" i="21"/>
  <c r="G33" i="21"/>
  <c r="J34" i="21"/>
  <c r="J35" i="21"/>
  <c r="J36" i="21"/>
  <c r="G36" i="21"/>
  <c r="J37" i="21"/>
  <c r="G37" i="21"/>
  <c r="J38" i="21"/>
  <c r="J39" i="21"/>
  <c r="J40" i="21"/>
  <c r="J41" i="21"/>
  <c r="G41" i="21"/>
  <c r="J42" i="21"/>
  <c r="J43" i="21"/>
  <c r="J44" i="21"/>
  <c r="J45" i="21"/>
  <c r="G45" i="21"/>
  <c r="J46" i="21"/>
  <c r="J47" i="21"/>
  <c r="J48" i="21"/>
  <c r="G48" i="21"/>
  <c r="I3" i="21"/>
  <c r="I4" i="21"/>
  <c r="I5" i="21"/>
  <c r="I6" i="21"/>
  <c r="G6" i="21"/>
  <c r="I7" i="21"/>
  <c r="G7" i="21"/>
  <c r="I8" i="21"/>
  <c r="I9" i="21"/>
  <c r="I10" i="21"/>
  <c r="G10" i="21"/>
  <c r="I11" i="21"/>
  <c r="G11" i="21"/>
  <c r="I12" i="21"/>
  <c r="I13" i="21"/>
  <c r="I14" i="21"/>
  <c r="I15" i="21"/>
  <c r="G15" i="21"/>
  <c r="I16" i="21"/>
  <c r="I17" i="21"/>
  <c r="I18" i="21"/>
  <c r="I19" i="21"/>
  <c r="I20" i="21"/>
  <c r="I21" i="21"/>
  <c r="I22" i="21"/>
  <c r="G22" i="21"/>
  <c r="I23" i="21"/>
  <c r="G23" i="21"/>
  <c r="I24" i="21"/>
  <c r="I25" i="21"/>
  <c r="I26" i="21"/>
  <c r="G26" i="21"/>
  <c r="I27" i="21"/>
  <c r="G27" i="21"/>
  <c r="I28" i="21"/>
  <c r="I29" i="21"/>
  <c r="I30" i="21"/>
  <c r="I31" i="21"/>
  <c r="G31" i="21"/>
  <c r="I32" i="21"/>
  <c r="I33" i="21"/>
  <c r="I34" i="21"/>
  <c r="I35" i="21"/>
  <c r="I36" i="21"/>
  <c r="I37" i="21"/>
  <c r="I38" i="21"/>
  <c r="G38" i="21"/>
  <c r="I39" i="21"/>
  <c r="G39" i="21"/>
  <c r="I40" i="21"/>
  <c r="I41" i="21"/>
  <c r="I42" i="21"/>
  <c r="G42" i="21"/>
  <c r="I43" i="21"/>
  <c r="G43" i="21"/>
  <c r="I44" i="21"/>
  <c r="I45" i="21"/>
  <c r="I46" i="21"/>
  <c r="I47" i="21"/>
  <c r="G47" i="21"/>
  <c r="I48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G3" i="21"/>
  <c r="G8" i="21"/>
  <c r="G12" i="21"/>
  <c r="G14" i="21"/>
  <c r="G18" i="21"/>
  <c r="G24" i="21"/>
  <c r="G28" i="21"/>
  <c r="G30" i="21"/>
  <c r="G34" i="21"/>
  <c r="G35" i="21"/>
  <c r="G40" i="21"/>
  <c r="G44" i="21"/>
  <c r="G46" i="21"/>
  <c r="M8" i="21"/>
  <c r="J2" i="21"/>
  <c r="I2" i="21"/>
  <c r="H2" i="21"/>
  <c r="J4" i="20"/>
  <c r="G4" i="20"/>
  <c r="J5" i="20"/>
  <c r="J6" i="20"/>
  <c r="G6" i="20"/>
  <c r="J7" i="20"/>
  <c r="G7" i="20"/>
  <c r="J8" i="20"/>
  <c r="G8" i="20"/>
  <c r="J9" i="20"/>
  <c r="J10" i="20"/>
  <c r="G10" i="20"/>
  <c r="J11" i="20"/>
  <c r="G11" i="20"/>
  <c r="J12" i="20"/>
  <c r="G12" i="20"/>
  <c r="J13" i="20"/>
  <c r="J14" i="20"/>
  <c r="G14" i="20"/>
  <c r="J15" i="20"/>
  <c r="G15" i="20"/>
  <c r="J16" i="20"/>
  <c r="G16" i="20"/>
  <c r="J17" i="20"/>
  <c r="J18" i="20"/>
  <c r="G18" i="20"/>
  <c r="J19" i="20"/>
  <c r="G19" i="20"/>
  <c r="J20" i="20"/>
  <c r="G20" i="20"/>
  <c r="J21" i="20"/>
  <c r="J22" i="20"/>
  <c r="G22" i="20"/>
  <c r="J23" i="20"/>
  <c r="G23" i="20"/>
  <c r="J24" i="20"/>
  <c r="G24" i="20"/>
  <c r="J25" i="20"/>
  <c r="J26" i="20"/>
  <c r="G26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G5" i="20"/>
  <c r="G9" i="20"/>
  <c r="G13" i="20"/>
  <c r="G17" i="20"/>
  <c r="G21" i="20"/>
  <c r="G25" i="20"/>
  <c r="N3" i="20"/>
  <c r="M8" i="20"/>
  <c r="J3" i="20"/>
  <c r="G3" i="20"/>
  <c r="J2" i="20"/>
  <c r="G2" i="20"/>
  <c r="I2" i="20"/>
  <c r="H2" i="20"/>
  <c r="G15" i="14"/>
  <c r="G16" i="14"/>
  <c r="G75" i="22"/>
  <c r="G59" i="22"/>
  <c r="M6" i="26"/>
  <c r="M6" i="25"/>
  <c r="M6" i="23"/>
  <c r="G6" i="14"/>
  <c r="G111" i="22"/>
  <c r="G107" i="22"/>
  <c r="G103" i="22"/>
  <c r="G99" i="22"/>
  <c r="G95" i="22"/>
  <c r="G91" i="22"/>
  <c r="G87" i="22"/>
  <c r="G113" i="22"/>
  <c r="G109" i="22"/>
  <c r="G105" i="22"/>
  <c r="G101" i="22"/>
  <c r="G97" i="22"/>
  <c r="G93" i="22"/>
  <c r="G89" i="22"/>
  <c r="G85" i="22"/>
  <c r="G81" i="22"/>
  <c r="G77" i="22"/>
  <c r="G73" i="22"/>
  <c r="G69" i="22"/>
  <c r="G65" i="22"/>
  <c r="G61" i="22"/>
  <c r="G57" i="22"/>
  <c r="G53" i="22"/>
  <c r="G49" i="22"/>
  <c r="G45" i="22"/>
  <c r="G41" i="22"/>
  <c r="G37" i="22"/>
  <c r="G33" i="22"/>
  <c r="G29" i="22"/>
  <c r="G25" i="22"/>
  <c r="G21" i="22"/>
  <c r="G17" i="22"/>
  <c r="G13" i="22"/>
  <c r="G5" i="22"/>
  <c r="G4" i="22"/>
  <c r="G9" i="22"/>
  <c r="G14" i="22"/>
  <c r="G18" i="22"/>
  <c r="G22" i="22"/>
  <c r="G26" i="22"/>
  <c r="G30" i="22"/>
  <c r="G34" i="22"/>
  <c r="G38" i="22"/>
  <c r="G42" i="22"/>
  <c r="G46" i="22"/>
  <c r="G50" i="22"/>
  <c r="G54" i="22"/>
  <c r="G58" i="22"/>
  <c r="G62" i="22"/>
  <c r="G66" i="22"/>
  <c r="G70" i="22"/>
  <c r="G74" i="22"/>
  <c r="G78" i="22"/>
  <c r="G82" i="22"/>
  <c r="G86" i="22"/>
  <c r="G2" i="22"/>
  <c r="G6" i="22"/>
  <c r="G12" i="22"/>
  <c r="G16" i="22"/>
  <c r="G20" i="22"/>
  <c r="G24" i="22"/>
  <c r="G28" i="22"/>
  <c r="G32" i="22"/>
  <c r="G36" i="22"/>
  <c r="G40" i="22"/>
  <c r="G44" i="22"/>
  <c r="G48" i="22"/>
  <c r="G52" i="22"/>
  <c r="G56" i="22"/>
  <c r="G60" i="22"/>
  <c r="G64" i="22"/>
  <c r="G68" i="22"/>
  <c r="G72" i="22"/>
  <c r="G76" i="22"/>
  <c r="G80" i="22"/>
  <c r="G84" i="22"/>
  <c r="M7" i="22"/>
  <c r="G52" i="3"/>
  <c r="G8" i="22"/>
  <c r="G2" i="21"/>
  <c r="M7" i="21"/>
  <c r="G50" i="3"/>
  <c r="M7" i="20"/>
  <c r="G23" i="3"/>
  <c r="M6" i="22"/>
  <c r="G51" i="3"/>
  <c r="M6" i="21"/>
  <c r="G49" i="3"/>
  <c r="M6" i="20"/>
  <c r="G22" i="3"/>
  <c r="J26" i="19"/>
  <c r="I26" i="19"/>
  <c r="H26" i="19"/>
  <c r="J25" i="19"/>
  <c r="I25" i="19"/>
  <c r="H25" i="19"/>
  <c r="J24" i="19"/>
  <c r="I24" i="19"/>
  <c r="H24" i="19"/>
  <c r="J23" i="19"/>
  <c r="I23" i="19"/>
  <c r="H23" i="19"/>
  <c r="J22" i="19"/>
  <c r="I22" i="19"/>
  <c r="H22" i="19"/>
  <c r="J21" i="19"/>
  <c r="I21" i="19"/>
  <c r="H21" i="19"/>
  <c r="J20" i="19"/>
  <c r="I20" i="19"/>
  <c r="H20" i="19"/>
  <c r="J19" i="19"/>
  <c r="I19" i="19"/>
  <c r="H19" i="19"/>
  <c r="J18" i="19"/>
  <c r="I18" i="19"/>
  <c r="H18" i="19"/>
  <c r="J17" i="19"/>
  <c r="I17" i="19"/>
  <c r="H17" i="19"/>
  <c r="J16" i="19"/>
  <c r="I16" i="19"/>
  <c r="H16" i="19"/>
  <c r="J15" i="19"/>
  <c r="I15" i="19"/>
  <c r="H15" i="19"/>
  <c r="J14" i="19"/>
  <c r="I14" i="19"/>
  <c r="H14" i="19"/>
  <c r="J13" i="19"/>
  <c r="I13" i="19"/>
  <c r="H13" i="19"/>
  <c r="J12" i="19"/>
  <c r="I12" i="19"/>
  <c r="H12" i="19"/>
  <c r="J11" i="19"/>
  <c r="I11" i="19"/>
  <c r="H11" i="19"/>
  <c r="J10" i="19"/>
  <c r="I10" i="19"/>
  <c r="H10" i="19"/>
  <c r="J9" i="19"/>
  <c r="I9" i="19"/>
  <c r="H9" i="19"/>
  <c r="J8" i="19"/>
  <c r="I8" i="19"/>
  <c r="H8" i="19"/>
  <c r="J7" i="19"/>
  <c r="I7" i="19"/>
  <c r="H7" i="19"/>
  <c r="J6" i="19"/>
  <c r="I6" i="19"/>
  <c r="H6" i="19"/>
  <c r="J5" i="19"/>
  <c r="I5" i="19"/>
  <c r="H5" i="19"/>
  <c r="J4" i="19"/>
  <c r="I4" i="19"/>
  <c r="H4" i="19"/>
  <c r="N3" i="19"/>
  <c r="M8" i="19"/>
  <c r="J3" i="19"/>
  <c r="I3" i="19"/>
  <c r="H3" i="19"/>
  <c r="J2" i="19"/>
  <c r="I2" i="19"/>
  <c r="H2" i="19"/>
  <c r="J19" i="18"/>
  <c r="I19" i="18"/>
  <c r="H19" i="18"/>
  <c r="J18" i="18"/>
  <c r="G18" i="18"/>
  <c r="I18" i="18"/>
  <c r="H18" i="18"/>
  <c r="J17" i="18"/>
  <c r="I17" i="18"/>
  <c r="H17" i="18"/>
  <c r="J16" i="18"/>
  <c r="I16" i="18"/>
  <c r="H16" i="18"/>
  <c r="J15" i="18"/>
  <c r="I15" i="18"/>
  <c r="H15" i="18"/>
  <c r="J14" i="18"/>
  <c r="G14" i="18"/>
  <c r="I14" i="18"/>
  <c r="H14" i="18"/>
  <c r="J13" i="18"/>
  <c r="I13" i="18"/>
  <c r="H13" i="18"/>
  <c r="J12" i="18"/>
  <c r="I12" i="18"/>
  <c r="H12" i="18"/>
  <c r="J11" i="18"/>
  <c r="I11" i="18"/>
  <c r="H11" i="18"/>
  <c r="J10" i="18"/>
  <c r="G10" i="18"/>
  <c r="I10" i="18"/>
  <c r="H10" i="18"/>
  <c r="J9" i="18"/>
  <c r="I9" i="18"/>
  <c r="H9" i="18"/>
  <c r="J8" i="18"/>
  <c r="I8" i="18"/>
  <c r="H8" i="18"/>
  <c r="J7" i="18"/>
  <c r="I7" i="18"/>
  <c r="H7" i="18"/>
  <c r="J6" i="18"/>
  <c r="G6" i="18"/>
  <c r="I6" i="18"/>
  <c r="H6" i="18"/>
  <c r="J5" i="18"/>
  <c r="I5" i="18"/>
  <c r="H5" i="18"/>
  <c r="J4" i="18"/>
  <c r="I4" i="18"/>
  <c r="H4" i="18"/>
  <c r="J3" i="18"/>
  <c r="I3" i="18"/>
  <c r="H3" i="18"/>
  <c r="N2" i="18"/>
  <c r="M7" i="18"/>
  <c r="J2" i="18"/>
  <c r="I2" i="18"/>
  <c r="H2" i="18"/>
  <c r="G11" i="14"/>
  <c r="G13" i="14"/>
  <c r="G10" i="14"/>
  <c r="N2" i="16"/>
  <c r="M7" i="16"/>
  <c r="N3" i="9"/>
  <c r="M8" i="9"/>
  <c r="G2" i="19"/>
  <c r="G11" i="19"/>
  <c r="G15" i="19"/>
  <c r="G19" i="19"/>
  <c r="G23" i="19"/>
  <c r="G5" i="18"/>
  <c r="G9" i="18"/>
  <c r="G13" i="18"/>
  <c r="G17" i="18"/>
  <c r="G8" i="19"/>
  <c r="G4" i="18"/>
  <c r="G12" i="18"/>
  <c r="G16" i="18"/>
  <c r="G7" i="19"/>
  <c r="G3" i="18"/>
  <c r="G11" i="18"/>
  <c r="G15" i="18"/>
  <c r="G19" i="18"/>
  <c r="G10" i="19"/>
  <c r="G14" i="19"/>
  <c r="G18" i="19"/>
  <c r="G22" i="19"/>
  <c r="G4" i="14"/>
  <c r="G12" i="14"/>
  <c r="G8" i="14"/>
  <c r="G14" i="14"/>
  <c r="G5" i="14"/>
  <c r="G5" i="19"/>
  <c r="G9" i="19"/>
  <c r="G3" i="19"/>
  <c r="G4" i="19"/>
  <c r="G12" i="19"/>
  <c r="G16" i="19"/>
  <c r="G20" i="19"/>
  <c r="G24" i="19"/>
  <c r="G2" i="18"/>
  <c r="G9" i="14"/>
  <c r="G7" i="14"/>
  <c r="M7" i="19"/>
  <c r="G27" i="3"/>
  <c r="G26" i="19"/>
  <c r="G6" i="19"/>
  <c r="G13" i="19"/>
  <c r="G17" i="19"/>
  <c r="G21" i="19"/>
  <c r="G25" i="19"/>
  <c r="M6" i="18"/>
  <c r="G16" i="3"/>
  <c r="G8" i="18"/>
  <c r="G7" i="18"/>
  <c r="N4" i="17"/>
  <c r="M10" i="17"/>
  <c r="N3" i="17"/>
  <c r="M9" i="17"/>
  <c r="N2" i="15"/>
  <c r="M7" i="15"/>
  <c r="J11" i="17"/>
  <c r="J12" i="17"/>
  <c r="H11" i="17"/>
  <c r="H12" i="17"/>
  <c r="I11" i="17"/>
  <c r="G11" i="17"/>
  <c r="I12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J4" i="17"/>
  <c r="I4" i="17"/>
  <c r="H4" i="17"/>
  <c r="J3" i="17"/>
  <c r="I3" i="17"/>
  <c r="H3" i="17"/>
  <c r="J2" i="17"/>
  <c r="I2" i="17"/>
  <c r="H2" i="17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J3" i="16"/>
  <c r="I3" i="16"/>
  <c r="H3" i="16"/>
  <c r="J2" i="16"/>
  <c r="I2" i="16"/>
  <c r="H2" i="16"/>
  <c r="M5" i="18"/>
  <c r="G15" i="3"/>
  <c r="M6" i="19"/>
  <c r="G26" i="3"/>
  <c r="M8" i="17"/>
  <c r="G6" i="16"/>
  <c r="G12" i="17"/>
  <c r="G6" i="17"/>
  <c r="G10" i="17"/>
  <c r="G5" i="17"/>
  <c r="G9" i="17"/>
  <c r="M6" i="16"/>
  <c r="G25" i="3"/>
  <c r="G4" i="17"/>
  <c r="G8" i="17"/>
  <c r="G3" i="17"/>
  <c r="G2" i="17"/>
  <c r="M7" i="17"/>
  <c r="G7" i="17"/>
  <c r="G3" i="16"/>
  <c r="G4" i="16"/>
  <c r="G5" i="16"/>
  <c r="G9" i="16"/>
  <c r="G10" i="16"/>
  <c r="G7" i="16"/>
  <c r="G2" i="16"/>
  <c r="G8" i="16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J20" i="15"/>
  <c r="I20" i="15"/>
  <c r="H20" i="15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J5" i="15"/>
  <c r="I5" i="15"/>
  <c r="H5" i="15"/>
  <c r="J4" i="15"/>
  <c r="I4" i="15"/>
  <c r="H4" i="15"/>
  <c r="J3" i="15"/>
  <c r="I3" i="15"/>
  <c r="H3" i="15"/>
  <c r="J2" i="15"/>
  <c r="I2" i="15"/>
  <c r="H2" i="15"/>
  <c r="G7" i="15"/>
  <c r="G5" i="15"/>
  <c r="G9" i="15"/>
  <c r="G13" i="15"/>
  <c r="G17" i="15"/>
  <c r="G21" i="15"/>
  <c r="G25" i="15"/>
  <c r="M6" i="15"/>
  <c r="G18" i="3"/>
  <c r="M5" i="16"/>
  <c r="G24" i="3"/>
  <c r="G12" i="15"/>
  <c r="G16" i="15"/>
  <c r="G20" i="15"/>
  <c r="G24" i="15"/>
  <c r="G10" i="15"/>
  <c r="G6" i="15"/>
  <c r="G11" i="15"/>
  <c r="G15" i="15"/>
  <c r="G19" i="15"/>
  <c r="G23" i="15"/>
  <c r="G27" i="15"/>
  <c r="G3" i="15"/>
  <c r="G4" i="15"/>
  <c r="G14" i="15"/>
  <c r="G18" i="15"/>
  <c r="G22" i="15"/>
  <c r="G26" i="15"/>
  <c r="G2" i="15"/>
  <c r="G8" i="15"/>
  <c r="M5" i="15"/>
  <c r="G17" i="3"/>
  <c r="N3" i="10"/>
  <c r="M9" i="10"/>
  <c r="N2" i="10"/>
  <c r="M8" i="10"/>
  <c r="G44" i="3"/>
  <c r="N3" i="7"/>
  <c r="M9" i="7"/>
  <c r="N2" i="7"/>
  <c r="M8" i="7"/>
  <c r="G33" i="3"/>
  <c r="N2" i="2"/>
  <c r="M8" i="2"/>
  <c r="G21" i="3"/>
  <c r="N3" i="2"/>
  <c r="M9" i="2"/>
  <c r="N3" i="13"/>
  <c r="M8" i="13"/>
  <c r="N3" i="12"/>
  <c r="M8" i="12"/>
  <c r="N3" i="11"/>
  <c r="M8" i="11"/>
  <c r="H26" i="10"/>
  <c r="H3" i="13"/>
  <c r="H4" i="13"/>
  <c r="H5" i="13"/>
  <c r="H6" i="13"/>
  <c r="H7" i="13"/>
  <c r="H8" i="13"/>
  <c r="H9" i="13"/>
  <c r="H10" i="13"/>
  <c r="H11" i="13"/>
  <c r="H12" i="13"/>
  <c r="H13" i="13"/>
  <c r="J13" i="13"/>
  <c r="I13" i="1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G74" i="2"/>
  <c r="I75" i="2"/>
  <c r="I76" i="2"/>
  <c r="G76" i="2"/>
  <c r="I77" i="2"/>
  <c r="I78" i="2"/>
  <c r="G78" i="2"/>
  <c r="I79" i="2"/>
  <c r="I80" i="2"/>
  <c r="G80" i="2"/>
  <c r="I81" i="2"/>
  <c r="G81" i="2"/>
  <c r="I82" i="2"/>
  <c r="G82" i="2"/>
  <c r="I83" i="2"/>
  <c r="I84" i="2"/>
  <c r="G84" i="2"/>
  <c r="I85" i="2"/>
  <c r="I86" i="2"/>
  <c r="G86" i="2"/>
  <c r="I87" i="2"/>
  <c r="I88" i="2"/>
  <c r="G88" i="2"/>
  <c r="I89" i="2"/>
  <c r="G89" i="2"/>
  <c r="I90" i="2"/>
  <c r="G90" i="2"/>
  <c r="I91" i="2"/>
  <c r="I92" i="2"/>
  <c r="G92" i="2"/>
  <c r="I93" i="2"/>
  <c r="I94" i="2"/>
  <c r="G75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I91" i="10"/>
  <c r="I92" i="10"/>
  <c r="H2" i="7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2" i="10"/>
  <c r="H3" i="9"/>
  <c r="H4" i="9"/>
  <c r="H5" i="9"/>
  <c r="H6" i="9"/>
  <c r="H7" i="9"/>
  <c r="H8" i="9"/>
  <c r="H9" i="9"/>
  <c r="H10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M7" i="13"/>
  <c r="G55" i="3"/>
  <c r="M7" i="12"/>
  <c r="G48" i="3"/>
  <c r="M7" i="11"/>
  <c r="G46" i="3"/>
  <c r="M7" i="10"/>
  <c r="G43" i="3"/>
  <c r="M7" i="9"/>
  <c r="G41" i="3"/>
  <c r="M7" i="7"/>
  <c r="G32" i="3"/>
  <c r="M7" i="2"/>
  <c r="G20" i="3"/>
  <c r="G274" i="7"/>
  <c r="G270" i="7"/>
  <c r="G266" i="7"/>
  <c r="G262" i="7"/>
  <c r="G258" i="7"/>
  <c r="G275" i="7"/>
  <c r="G271" i="7"/>
  <c r="G267" i="7"/>
  <c r="G263" i="7"/>
  <c r="G259" i="7"/>
  <c r="G276" i="7"/>
  <c r="G272" i="7"/>
  <c r="G268" i="7"/>
  <c r="G264" i="7"/>
  <c r="G260" i="7"/>
  <c r="G273" i="7"/>
  <c r="G269" i="7"/>
  <c r="G265" i="7"/>
  <c r="G261" i="7"/>
  <c r="G257" i="7"/>
  <c r="G85" i="2"/>
  <c r="G93" i="2"/>
  <c r="G77" i="2"/>
  <c r="G91" i="2"/>
  <c r="G87" i="2"/>
  <c r="G83" i="2"/>
  <c r="G79" i="2"/>
  <c r="G113" i="10"/>
  <c r="G109" i="10"/>
  <c r="G101" i="10"/>
  <c r="G97" i="10"/>
  <c r="G93" i="10"/>
  <c r="G108" i="10"/>
  <c r="G102" i="10"/>
  <c r="G98" i="10"/>
  <c r="G13" i="13"/>
  <c r="G112" i="10"/>
  <c r="G104" i="10"/>
  <c r="G100" i="10"/>
  <c r="G96" i="10"/>
  <c r="G105" i="10"/>
  <c r="G110" i="10"/>
  <c r="G106" i="10"/>
  <c r="G94" i="10"/>
  <c r="G94" i="2"/>
  <c r="G111" i="10"/>
  <c r="G107" i="10"/>
  <c r="G103" i="10"/>
  <c r="G99" i="10"/>
  <c r="G95" i="10"/>
  <c r="I3" i="13"/>
  <c r="J3" i="13"/>
  <c r="I4" i="13"/>
  <c r="J4" i="13"/>
  <c r="I5" i="13"/>
  <c r="J5" i="13"/>
  <c r="I6" i="13"/>
  <c r="J6" i="13"/>
  <c r="I7" i="13"/>
  <c r="J7" i="13"/>
  <c r="I8" i="13"/>
  <c r="J8" i="13"/>
  <c r="I9" i="13"/>
  <c r="J9" i="13"/>
  <c r="I10" i="13"/>
  <c r="J10" i="13"/>
  <c r="I11" i="13"/>
  <c r="J11" i="13"/>
  <c r="I12" i="13"/>
  <c r="J12" i="13"/>
  <c r="J2" i="13"/>
  <c r="I2" i="13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J2" i="12"/>
  <c r="I2" i="12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J2" i="11"/>
  <c r="I2" i="11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J91" i="10"/>
  <c r="J92" i="10"/>
  <c r="J2" i="10"/>
  <c r="I2" i="10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J2" i="9"/>
  <c r="I2" i="9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J2" i="7"/>
  <c r="I2" i="7"/>
  <c r="J2" i="2"/>
  <c r="I2" i="2"/>
  <c r="I3" i="14"/>
  <c r="H3" i="14"/>
  <c r="G11" i="13"/>
  <c r="G9" i="13"/>
  <c r="G7" i="13"/>
  <c r="G5" i="13"/>
  <c r="G3" i="13"/>
  <c r="G12" i="13"/>
  <c r="G10" i="13"/>
  <c r="G8" i="13"/>
  <c r="G6" i="13"/>
  <c r="G4" i="13"/>
  <c r="G256" i="7"/>
  <c r="G254" i="7"/>
  <c r="G252" i="7"/>
  <c r="G250" i="7"/>
  <c r="G248" i="7"/>
  <c r="G246" i="7"/>
  <c r="G244" i="7"/>
  <c r="G242" i="7"/>
  <c r="G240" i="7"/>
  <c r="G238" i="7"/>
  <c r="G236" i="7"/>
  <c r="G234" i="7"/>
  <c r="G232" i="7"/>
  <c r="G230" i="7"/>
  <c r="G228" i="7"/>
  <c r="G226" i="7"/>
  <c r="G224" i="7"/>
  <c r="G222" i="7"/>
  <c r="G220" i="7"/>
  <c r="G218" i="7"/>
  <c r="G216" i="7"/>
  <c r="G214" i="7"/>
  <c r="G212" i="7"/>
  <c r="G210" i="7"/>
  <c r="G208" i="7"/>
  <c r="G206" i="7"/>
  <c r="G204" i="7"/>
  <c r="G202" i="7"/>
  <c r="G200" i="7"/>
  <c r="G198" i="7"/>
  <c r="G196" i="7"/>
  <c r="G194" i="7"/>
  <c r="G192" i="7"/>
  <c r="G190" i="7"/>
  <c r="G188" i="7"/>
  <c r="G186" i="7"/>
  <c r="G184" i="7"/>
  <c r="G182" i="7"/>
  <c r="G180" i="7"/>
  <c r="G178" i="7"/>
  <c r="G176" i="7"/>
  <c r="G174" i="7"/>
  <c r="G172" i="7"/>
  <c r="G170" i="7"/>
  <c r="G168" i="7"/>
  <c r="G166" i="7"/>
  <c r="G164" i="7"/>
  <c r="G162" i="7"/>
  <c r="G160" i="7"/>
  <c r="G158" i="7"/>
  <c r="G156" i="7"/>
  <c r="G154" i="7"/>
  <c r="G152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G255" i="7"/>
  <c r="G253" i="7"/>
  <c r="G251" i="7"/>
  <c r="G249" i="7"/>
  <c r="G247" i="7"/>
  <c r="G245" i="7"/>
  <c r="G243" i="7"/>
  <c r="G241" i="7"/>
  <c r="G239" i="7"/>
  <c r="G237" i="7"/>
  <c r="G235" i="7"/>
  <c r="G233" i="7"/>
  <c r="G231" i="7"/>
  <c r="G229" i="7"/>
  <c r="G227" i="7"/>
  <c r="G225" i="7"/>
  <c r="G223" i="7"/>
  <c r="G221" i="7"/>
  <c r="G219" i="7"/>
  <c r="G217" i="7"/>
  <c r="G215" i="7"/>
  <c r="G213" i="7"/>
  <c r="G211" i="7"/>
  <c r="G209" i="7"/>
  <c r="G207" i="7"/>
  <c r="G205" i="7"/>
  <c r="G203" i="7"/>
  <c r="G201" i="7"/>
  <c r="G199" i="7"/>
  <c r="G197" i="7"/>
  <c r="G195" i="7"/>
  <c r="G193" i="7"/>
  <c r="G191" i="7"/>
  <c r="G189" i="7"/>
  <c r="G187" i="7"/>
  <c r="G185" i="7"/>
  <c r="G183" i="7"/>
  <c r="G181" i="7"/>
  <c r="G179" i="7"/>
  <c r="G177" i="7"/>
  <c r="G175" i="7"/>
  <c r="G173" i="7"/>
  <c r="G171" i="7"/>
  <c r="G169" i="7"/>
  <c r="G167" i="7"/>
  <c r="G165" i="7"/>
  <c r="G163" i="7"/>
  <c r="G161" i="7"/>
  <c r="G159" i="7"/>
  <c r="G157" i="7"/>
  <c r="G155" i="7"/>
  <c r="G15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G25" i="12"/>
  <c r="G23" i="12"/>
  <c r="G21" i="12"/>
  <c r="G19" i="12"/>
  <c r="G17" i="12"/>
  <c r="G15" i="12"/>
  <c r="G13" i="12"/>
  <c r="G11" i="12"/>
  <c r="G9" i="12"/>
  <c r="G7" i="12"/>
  <c r="G5" i="12"/>
  <c r="G3" i="12"/>
  <c r="G15" i="11"/>
  <c r="G13" i="11"/>
  <c r="G11" i="11"/>
  <c r="G9" i="11"/>
  <c r="G7" i="11"/>
  <c r="G5" i="11"/>
  <c r="G3" i="11"/>
  <c r="G91" i="10"/>
  <c r="G89" i="10"/>
  <c r="G87" i="10"/>
  <c r="G85" i="10"/>
  <c r="G83" i="10"/>
  <c r="G81" i="10"/>
  <c r="G79" i="10"/>
  <c r="G77" i="10"/>
  <c r="G75" i="10"/>
  <c r="G73" i="10"/>
  <c r="G71" i="10"/>
  <c r="G69" i="10"/>
  <c r="G67" i="10"/>
  <c r="G65" i="10"/>
  <c r="G63" i="10"/>
  <c r="G61" i="10"/>
  <c r="G59" i="10"/>
  <c r="G57" i="10"/>
  <c r="G55" i="10"/>
  <c r="G53" i="10"/>
  <c r="G51" i="10"/>
  <c r="G49" i="10"/>
  <c r="G47" i="10"/>
  <c r="G45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G15" i="10"/>
  <c r="G13" i="10"/>
  <c r="G11" i="10"/>
  <c r="G9" i="10"/>
  <c r="G7" i="10"/>
  <c r="G5" i="10"/>
  <c r="G3" i="10"/>
  <c r="G9" i="9"/>
  <c r="G7" i="9"/>
  <c r="G5" i="9"/>
  <c r="G3" i="9"/>
  <c r="G14" i="11"/>
  <c r="G12" i="11"/>
  <c r="G10" i="11"/>
  <c r="G8" i="11"/>
  <c r="G6" i="11"/>
  <c r="G4" i="11"/>
  <c r="G18" i="12"/>
  <c r="G14" i="12"/>
  <c r="G6" i="12"/>
  <c r="G10" i="9"/>
  <c r="G8" i="9"/>
  <c r="G6" i="9"/>
  <c r="G4" i="9"/>
  <c r="G92" i="10"/>
  <c r="G90" i="10"/>
  <c r="G88" i="10"/>
  <c r="G86" i="10"/>
  <c r="G84" i="10"/>
  <c r="G82" i="10"/>
  <c r="G80" i="10"/>
  <c r="G78" i="10"/>
  <c r="G76" i="10"/>
  <c r="G74" i="10"/>
  <c r="G72" i="10"/>
  <c r="G70" i="10"/>
  <c r="G68" i="10"/>
  <c r="G66" i="10"/>
  <c r="G64" i="10"/>
  <c r="G62" i="10"/>
  <c r="G60" i="10"/>
  <c r="G58" i="10"/>
  <c r="G56" i="10"/>
  <c r="G54" i="10"/>
  <c r="G52" i="10"/>
  <c r="G50" i="10"/>
  <c r="G48" i="10"/>
  <c r="G46" i="10"/>
  <c r="G44" i="10"/>
  <c r="G42" i="10"/>
  <c r="G40" i="10"/>
  <c r="G38" i="10"/>
  <c r="G36" i="10"/>
  <c r="G34" i="10"/>
  <c r="G32" i="10"/>
  <c r="G30" i="10"/>
  <c r="G28" i="10"/>
  <c r="G26" i="10"/>
  <c r="G24" i="10"/>
  <c r="G22" i="10"/>
  <c r="G20" i="10"/>
  <c r="G18" i="10"/>
  <c r="G16" i="10"/>
  <c r="G14" i="10"/>
  <c r="G12" i="10"/>
  <c r="G10" i="10"/>
  <c r="G8" i="10"/>
  <c r="G6" i="10"/>
  <c r="G4" i="10"/>
  <c r="G2" i="10"/>
  <c r="F3" i="14"/>
  <c r="G2" i="13"/>
  <c r="G26" i="12"/>
  <c r="G22" i="12"/>
  <c r="G10" i="12"/>
  <c r="G24" i="12"/>
  <c r="G20" i="12"/>
  <c r="G16" i="12"/>
  <c r="G12" i="12"/>
  <c r="G8" i="12"/>
  <c r="G4" i="12"/>
  <c r="G2" i="12"/>
  <c r="G2" i="7"/>
  <c r="G2" i="11"/>
  <c r="G2" i="9"/>
  <c r="G2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M6" i="7"/>
  <c r="G31" i="3"/>
  <c r="M6" i="2"/>
  <c r="G19" i="3"/>
  <c r="M11" i="17"/>
  <c r="M6" i="11"/>
  <c r="G45" i="3"/>
  <c r="M6" i="13"/>
  <c r="G54" i="3"/>
  <c r="M6" i="12"/>
  <c r="G47" i="3"/>
  <c r="M6" i="10"/>
  <c r="G42" i="3"/>
  <c r="M6" i="9"/>
  <c r="G40" i="3"/>
  <c r="G3" i="14"/>
  <c r="L2" i="14"/>
  <c r="G14" i="3"/>
</calcChain>
</file>

<file path=xl/comments1.xml><?xml version="1.0" encoding="utf-8"?>
<comments xmlns="http://schemas.openxmlformats.org/spreadsheetml/2006/main">
  <authors>
    <author>svinduwa</author>
  </authors>
  <commentList>
    <comment ref="H12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pcp_full_name field length change from 50 to 65</t>
        </r>
      </text>
    </comment>
  </commentList>
</comments>
</file>

<file path=xl/comments2.xml><?xml version="1.0" encoding="utf-8"?>
<comments xmlns="http://schemas.openxmlformats.org/spreadsheetml/2006/main">
  <authors>
    <author>svinduwa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</commentList>
</comments>
</file>

<file path=xl/comments3.xml><?xml version="1.0" encoding="utf-8"?>
<comments xmlns="http://schemas.openxmlformats.org/spreadsheetml/2006/main">
  <authors>
    <author>svinduwa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21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42
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ins_plan_id field length change from 20 to 66
</t>
        </r>
      </text>
    </comment>
    <comment ref="H32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</commentList>
</comments>
</file>

<file path=xl/comments4.xml><?xml version="1.0" encoding="utf-8"?>
<comments xmlns="http://schemas.openxmlformats.org/spreadsheetml/2006/main">
  <authors>
    <author>svinduwa</author>
  </authors>
  <commentList>
    <comment ref="H8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member_Gender field length change from 5 to 7</t>
        </r>
      </text>
    </comment>
    <comment ref="H12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 field length change from 30 to 42</t>
        </r>
      </text>
    </comment>
    <comment ref="H23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care_alert_desc field length change from 50 to 70</t>
        </r>
      </text>
    </comment>
  </commentList>
</comments>
</file>

<file path=xl/comments5.xml><?xml version="1.0" encoding="utf-8"?>
<comments xmlns="http://schemas.openxmlformats.org/spreadsheetml/2006/main">
  <authors>
    <author>svinduwa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</commentList>
</comments>
</file>

<file path=xl/comments6.xml><?xml version="1.0" encoding="utf-8"?>
<comments xmlns="http://schemas.openxmlformats.org/spreadsheetml/2006/main">
  <authors>
    <author>svinduwa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7.xml><?xml version="1.0" encoding="utf-8"?>
<comments xmlns="http://schemas.openxmlformats.org/spreadsheetml/2006/main">
  <authors>
    <author>svinduwa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rev_claim_id field length change from 20 to 42</t>
        </r>
      </text>
    </comment>
  </commentList>
</comments>
</file>

<file path=xl/comments8.xml><?xml version="1.0" encoding="utf-8"?>
<comments xmlns="http://schemas.openxmlformats.org/spreadsheetml/2006/main">
  <authors>
    <author>svinduwa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rev_claim_id field length change from 20 to 42</t>
        </r>
      </text>
    </comment>
    <comment ref="H12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ins_plan_id field length change from 20 to 66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  <comment ref="H19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
</t>
        </r>
      </text>
    </comment>
    <comment ref="H20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36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42</t>
        </r>
      </text>
    </comment>
    <comment ref="H37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prv_service_provider_id field length change from 30 to 37</t>
        </r>
      </text>
    </comment>
    <comment ref="H59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prv_state field length change from 2 to 13</t>
        </r>
      </text>
    </comment>
    <comment ref="H95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svc_icd_proc_2_code field length change from 5 to 7</t>
        </r>
      </text>
    </comment>
    <comment ref="H102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svc_hcpcs field length change from 100 to 200</t>
        </r>
      </text>
    </comment>
    <comment ref="H112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svc_discharge_desc field length change from 100 to 119</t>
        </r>
      </text>
    </comment>
    <comment ref="H116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svc_admit_type field length change from 6 to 13</t>
        </r>
      </text>
    </comment>
    <comment ref="H229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cpt_betos field length change from 10 to 11</t>
        </r>
      </text>
    </comment>
  </commentList>
</comments>
</file>

<file path=xl/comments9.xml><?xml version="1.0" encoding="utf-8"?>
<comments xmlns="http://schemas.openxmlformats.org/spreadsheetml/2006/main">
  <authors>
    <author>svinduwa</author>
  </authors>
  <commentList>
    <comment ref="H59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hasDiabetes field length changed from 1 to 3</t>
        </r>
      </text>
    </comment>
  </commentList>
</comments>
</file>

<file path=xl/comments10.xml><?xml version="1.0" encoding="utf-8"?>
<comments xmlns="http://schemas.openxmlformats.org/spreadsheetml/2006/main">
  <authors>
    <author>svinduwa</author>
  </authors>
  <commentList>
    <comment ref="H59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hasDiabetes field length changed from 1 to 3</t>
        </r>
      </text>
    </comment>
  </commentList>
</comments>
</file>

<file path=xl/comments11.xml><?xml version="1.0" encoding="utf-8"?>
<comments xmlns="http://schemas.openxmlformats.org/spreadsheetml/2006/main">
  <authors>
    <author>svinduwa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12.xml><?xml version="1.0" encoding="utf-8"?>
<comments xmlns="http://schemas.openxmlformats.org/spreadsheetml/2006/main">
  <authors>
    <author>svinduwa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30 to 32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mbr_relationshipdesc field length change from 20 to 42</t>
        </r>
      </text>
    </comment>
    <comment ref="H22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  <comment ref="H40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svc_ndc_code field length change from 11 to 14</t>
        </r>
      </text>
    </comment>
    <comment ref="H58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svc_daw_desc field length change from 50 to 70</t>
        </r>
      </text>
    </comment>
  </commentList>
</comments>
</file>

<file path=xl/comments13.xml><?xml version="1.0" encoding="utf-8"?>
<comments xmlns="http://schemas.openxmlformats.org/spreadsheetml/2006/main">
  <authors>
    <author>svinduwa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14.xml><?xml version="1.0" encoding="utf-8"?>
<comments xmlns="http://schemas.openxmlformats.org/spreadsheetml/2006/main">
  <authors>
    <author>svinduwa</author>
  </authors>
  <commentList>
    <comment ref="H27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visitId field length change from 50 to 53</t>
        </r>
      </text>
    </comment>
    <comment ref="H35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professionalProvider field length change from 200 to 1652</t>
        </r>
      </text>
    </comment>
    <comment ref="H36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facilityProvider field change from 200 to 224</t>
        </r>
      </text>
    </comment>
    <comment ref="H50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admitIcuFlag field length change from 1 to 3</t>
        </r>
      </text>
    </comment>
    <comment ref="H51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admitRehabFlag field length change from 1 to 3</t>
        </r>
      </text>
    </comment>
  </commentList>
</comments>
</file>

<file path=xl/comments15.xml><?xml version="1.0" encoding="utf-8"?>
<comments xmlns="http://schemas.openxmlformats.org/spreadsheetml/2006/main">
  <authors>
    <author>svinduwa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sharedStrings.xml><?xml version="1.0" encoding="utf-8"?>
<sst xmlns="http://schemas.openxmlformats.org/spreadsheetml/2006/main" count="5082" uniqueCount="1031">
  <si>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</si>
  <si>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</si>
  <si>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</si>
  <si>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</si>
  <si>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</si>
  <si>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</si>
  <si>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</si>
  <si>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</si>
  <si>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</si>
  <si>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</si>
  <si>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</si>
  <si>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</si>
  <si>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</si>
  <si>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</si>
  <si>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</si>
  <si>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</si>
  <si>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</si>
  <si>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</si>
  <si>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</si>
  <si>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</si>
  <si>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</si>
  <si>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</si>
  <si>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</si>
  <si>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</si>
  <si>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</si>
  <si>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</si>
  <si>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</si>
  <si>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</si>
  <si>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</si>
  <si>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</si>
  <si>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</si>
  <si>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</si>
  <si>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</si>
  <si>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</si>
  <si>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</si>
  <si>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</si>
  <si>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</si>
  <si>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</si>
  <si>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</si>
  <si>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</si>
  <si>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</si>
  <si>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</si>
  <si>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</si>
  <si>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</si>
  <si>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</si>
  <si>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</si>
  <si>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</si>
  <si>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</si>
  <si>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</si>
  <si>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</si>
  <si>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</si>
  <si>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</si>
  <si>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</si>
  <si>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</si>
  <si>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</si>
  <si>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</si>
  <si>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</si>
  <si>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</si>
  <si>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</si>
  <si>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</si>
  <si>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</si>
  <si>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</si>
  <si>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</si>
  <si>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</si>
  <si>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</si>
  <si>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</si>
  <si>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</si>
  <si>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</si>
  <si>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</si>
  <si>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</si>
  <si>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</si>
  <si>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</si>
  <si>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</si>
  <si>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</si>
  <si>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</si>
  <si>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</si>
  <si>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</si>
  <si>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</si>
  <si>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</si>
  <si>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</si>
  <si>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</si>
  <si>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</si>
  <si>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</si>
  <si>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</si>
  <si>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</si>
  <si>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</si>
  <si>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</si>
  <si>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</si>
  <si>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</si>
  <si>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</si>
  <si>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</si>
  <si>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</si>
  <si>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</si>
  <si>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</si>
  <si>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</si>
  <si>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</si>
  <si>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</si>
  <si>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</si>
  <si>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</si>
  <si>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</si>
  <si>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</si>
  <si>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</si>
  <si>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</si>
  <si>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</si>
  <si>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</si>
  <si>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</si>
  <si>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</si>
  <si>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</si>
  <si>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</si>
  <si>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</si>
  <si>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</si>
  <si>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</si>
  <si>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</si>
  <si>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</si>
  <si>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</si>
  <si>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</si>
  <si>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</si>
  <si>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</si>
  <si>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</si>
  <si>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</si>
  <si>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</si>
  <si>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</si>
  <si>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</si>
  <si>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</si>
  <si>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</si>
  <si>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</si>
  <si>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</si>
  <si>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</si>
  <si>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</si>
  <si>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</si>
  <si>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</si>
  <si>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</si>
  <si>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</si>
  <si>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</si>
  <si>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</si>
  <si>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</si>
  <si>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</si>
  <si>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</si>
  <si>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</si>
  <si>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</si>
  <si>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</si>
  <si>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</si>
  <si>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</si>
  <si>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</si>
  <si>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</si>
  <si>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</si>
  <si>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</si>
  <si>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</si>
  <si>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</si>
  <si>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</si>
  <si>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</si>
  <si>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</si>
  <si>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</si>
  <si>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</si>
  <si>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</si>
  <si>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</si>
  <si>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</si>
  <si>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</si>
  <si>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</si>
  <si>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</si>
  <si>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</si>
  <si>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</si>
  <si>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</si>
  <si>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</si>
  <si>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</si>
  <si>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</si>
  <si>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</si>
  <si>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</si>
  <si>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</si>
  <si>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</si>
  <si>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</si>
  <si>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</si>
  <si>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</si>
  <si>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</si>
  <si>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</si>
  <si>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</si>
  <si>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</si>
  <si>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</si>
  <si>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</si>
  <si>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</si>
  <si>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</si>
  <si>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</si>
  <si>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</si>
  <si>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</si>
  <si>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</si>
  <si>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</si>
  <si>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</si>
  <si>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</si>
  <si>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</si>
  <si>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</si>
  <si>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</si>
  <si>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</si>
  <si>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</si>
  <si>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</si>
  <si>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</si>
  <si>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</si>
  <si>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</si>
  <si>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</si>
  <si>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</si>
  <si>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</si>
  <si>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</si>
  <si>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</si>
  <si>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</si>
  <si>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</si>
  <si>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</si>
  <si>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</si>
  <si>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</si>
  <si>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</si>
  <si>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</si>
  <si>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</si>
  <si>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</si>
  <si>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</si>
  <si>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</si>
  <si>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</si>
  <si>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</si>
  <si>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</si>
  <si>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</si>
  <si>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</si>
  <si>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</si>
  <si>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</si>
  <si>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</si>
  <si>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</si>
  <si>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</si>
  <si>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</si>
  <si>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</si>
  <si>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</si>
  <si>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</si>
  <si>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</si>
  <si>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</si>
  <si>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</si>
  <si>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</si>
  <si>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</si>
  <si>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</si>
  <si>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</si>
  <si>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</si>
  <si>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</si>
  <si>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</si>
  <si>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</si>
  <si>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</si>
  <si>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</si>
  <si>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</si>
  <si>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</si>
  <si>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</si>
  <si>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</si>
  <si>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</si>
  <si>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</si>
  <si>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</si>
  <si>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</si>
  <si>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</si>
  <si>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</si>
  <si>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</si>
  <si>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</si>
  <si>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</si>
  <si>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</si>
  <si>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</si>
  <si>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</si>
  <si>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</si>
  <si>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</si>
  <si>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</si>
  <si>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</si>
  <si>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</si>
  <si>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</si>
  <si>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</si>
  <si>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</si>
  <si>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</si>
  <si>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</si>
  <si>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</si>
  <si>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</si>
  <si>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</si>
  <si>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</si>
  <si>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</si>
  <si>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</si>
  <si>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</si>
  <si>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</si>
  <si>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</si>
  <si>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</si>
  <si>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</si>
  <si>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</si>
  <si>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</si>
  <si>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</si>
  <si>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</si>
  <si>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</si>
  <si>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</si>
  <si>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</si>
  <si>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</si>
  <si>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</si>
  <si>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</si>
  <si>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</si>
  <si>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</si>
  <si>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</si>
  <si>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</si>
  <si>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</si>
  <si>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</si>
  <si>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</si>
  <si>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</si>
  <si>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</si>
  <si>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</si>
  <si>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</si>
  <si>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</si>
  <si>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</si>
  <si>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</si>
  <si>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</si>
  <si>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</si>
  <si>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</si>
  <si>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</si>
  <si>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</si>
  <si>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</si>
  <si>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</si>
  <si>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</si>
  <si>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</si>
  <si>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</si>
  <si>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</si>
  <si>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</si>
  <si>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</si>
  <si>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</si>
  <si>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</si>
  <si>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</si>
  <si>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</si>
  <si>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</si>
  <si>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</si>
  <si>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</si>
  <si>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</si>
  <si>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</si>
  <si>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</si>
  <si>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</si>
  <si>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</si>
  <si>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</si>
  <si>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</si>
  <si>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</si>
  <si>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</si>
  <si>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</si>
  <si>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</si>
  <si>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</si>
  <si>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</si>
  <si>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</si>
  <si>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</si>
  <si>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</si>
  <si>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</si>
  <si>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</si>
  <si>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</si>
  <si>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</si>
  <si>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</si>
  <si>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</si>
  <si>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</si>
  <si>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</si>
  <si>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</si>
  <si>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</si>
  <si>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</si>
  <si>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</si>
  <si>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</si>
  <si>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</si>
  <si>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</si>
  <si>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</si>
  <si>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</si>
  <si>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</si>
  <si>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</si>
  <si>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</si>
  <si>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</si>
  <si>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</si>
  <si>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</si>
  <si>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</si>
  <si>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</si>
  <si>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</si>
  <si>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</si>
  <si>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</si>
  <si>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</si>
  <si>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</si>
  <si>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</si>
  <si>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</si>
  <si>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</si>
  <si>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</si>
  <si>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</si>
  <si>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</si>
  <si>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</si>
  <si>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</si>
  <si>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</si>
  <si>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</si>
  <si>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</si>
  <si>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</si>
  <si>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</si>
  <si>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</si>
  <si>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</si>
  <si>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</si>
  <si>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</si>
  <si>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</si>
  <si>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</si>
  <si>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</si>
  <si>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</si>
  <si>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</si>
  <si>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</si>
  <si>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</si>
  <si>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</si>
  <si>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</si>
  <si>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</si>
  <si>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</si>
  <si>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</si>
  <si>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</si>
  <si>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</si>
  <si>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</si>
  <si>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</si>
  <si>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</si>
  <si>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</si>
  <si>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</si>
  <si>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</si>
  <si>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</si>
  <si>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</si>
  <si>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</si>
  <si>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</si>
  <si>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</si>
  <si>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</si>
  <si>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</si>
  <si>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</si>
  <si>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</si>
  <si>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</si>
  <si>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</si>
  <si>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</si>
  <si>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</si>
  <si>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</si>
  <si>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</si>
  <si>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</si>
  <si>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</si>
  <si>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</si>
  <si>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</si>
  <si>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</si>
  <si>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</si>
  <si>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</si>
  <si>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</si>
  <si>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</si>
  <si>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</si>
  <si>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</si>
  <si>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</si>
  <si>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</si>
  <si>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</si>
  <si>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</si>
  <si>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</si>
  <si>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</si>
  <si>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</si>
  <si>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</si>
  <si>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</si>
  <si>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</si>
  <si>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</si>
  <si>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</si>
  <si>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</si>
  <si>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</si>
  <si>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</si>
  <si>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</si>
  <si>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</si>
  <si>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</si>
  <si>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</si>
  <si>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</si>
  <si>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</si>
  <si>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</si>
  <si>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</si>
  <si>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</si>
  <si>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</si>
  <si>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</si>
  <si>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</si>
  <si>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</si>
  <si>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</si>
  <si>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</si>
  <si>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</si>
  <si>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</si>
  <si>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</si>
  <si>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</si>
  <si>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</si>
  <si>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</si>
  <si>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</si>
  <si>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</si>
  <si>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</si>
  <si>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</si>
  <si>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</si>
  <si>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</si>
  <si>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</si>
  <si>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</si>
  <si>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</si>
  <si>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</si>
  <si>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 xml:space="preserve"> </t>
  </si>
  <si>
    <t xml:space="preserve"> 19,2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</si>
  <si>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</si>
  <si>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</si>
  <si>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</si>
  <si>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</si>
  <si>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</si>
  <si>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</si>
  <si>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</si>
  <si>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</si>
  <si>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</si>
  <si>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</si>
  <si>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</si>
  <si>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</si>
  <si>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</si>
  <si>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</si>
  <si>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program_type</t>
  </si>
  <si>
    <t>program_code</t>
  </si>
  <si>
    <t>program_name</t>
  </si>
  <si>
    <t>program_status</t>
  </si>
  <si>
    <t>program_start_date</t>
  </si>
  <si>
    <t>program_end_date</t>
  </si>
  <si>
    <t>EX23</t>
  </si>
  <si>
    <t>EX24</t>
  </si>
  <si>
    <t>EX25</t>
  </si>
  <si>
    <t>UAT</t>
  </si>
  <si>
    <t>CareAlerts.csv</t>
  </si>
  <si>
    <t>HistoricalScores.csv</t>
  </si>
  <si>
    <t>7.70 MB</t>
  </si>
  <si>
    <t>3.24 MB</t>
  </si>
  <si>
    <t>115.13 MB</t>
  </si>
  <si>
    <t>122.73 MB</t>
  </si>
  <si>
    <t>38.85 MB</t>
  </si>
  <si>
    <t>13.64 MB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</si>
  <si>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</si>
  <si>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</si>
  <si>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</si>
  <si>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</si>
  <si>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</si>
  <si>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</si>
  <si>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</si>
  <si>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</si>
  <si>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</si>
  <si>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</si>
  <si>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</si>
  <si>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</si>
  <si>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</si>
  <si>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diagnosis_code</t>
  </si>
  <si>
    <t>paid_amount</t>
  </si>
  <si>
    <t>superGrouperDescription</t>
  </si>
  <si>
    <t>grouperDescription</t>
  </si>
  <si>
    <t>admissionFromEr</t>
  </si>
  <si>
    <t>Partially Pass</t>
  </si>
  <si>
    <t>1.53 MB</t>
  </si>
  <si>
    <t>22.70 MB</t>
  </si>
  <si>
    <t>1.15 GB</t>
  </si>
  <si>
    <t>944.89 KB</t>
  </si>
  <si>
    <t>Generic Quality Metrics.csv</t>
  </si>
  <si>
    <t>ScoresWithHistorical.csv</t>
  </si>
  <si>
    <t>Utilization.csv</t>
  </si>
  <si>
    <t>8.94 MB</t>
  </si>
  <si>
    <t>3.36 MB</t>
  </si>
  <si>
    <t>119.44 MB</t>
  </si>
  <si>
    <t>56.52 MB</t>
  </si>
  <si>
    <t>1.56 MB</t>
  </si>
  <si>
    <t>23.32 MB</t>
  </si>
  <si>
    <t>1.17 GB</t>
  </si>
  <si>
    <t>957 KB</t>
  </si>
  <si>
    <t>131.66 MB</t>
  </si>
  <si>
    <t>39.31 MB</t>
  </si>
  <si>
    <t>39.14 MB</t>
  </si>
  <si>
    <t>78.36 MB</t>
  </si>
  <si>
    <t>13.89 MB</t>
  </si>
  <si>
    <t>text</t>
  </si>
  <si>
    <t>number</t>
  </si>
  <si>
    <t>memberMiddleName</t>
  </si>
  <si>
    <t>denominator</t>
  </si>
  <si>
    <t>negativeOutcome</t>
  </si>
  <si>
    <t>activeAlert</t>
  </si>
  <si>
    <t>memberId</t>
  </si>
  <si>
    <t>employeeId</t>
  </si>
  <si>
    <t>processedDate</t>
  </si>
  <si>
    <t>latestScoreFlag</t>
  </si>
  <si>
    <t>memberName</t>
  </si>
  <si>
    <t>groupId</t>
  </si>
  <si>
    <t>prospectiveInpatient</t>
  </si>
  <si>
    <t>float</t>
  </si>
  <si>
    <t>prospectiveMedical</t>
  </si>
  <si>
    <t>prospectiveOutpatient</t>
  </si>
  <si>
    <t>prospectivePharmacy</t>
  </si>
  <si>
    <t>prospectivePhysician</t>
  </si>
  <si>
    <t>prospectiveEr</t>
  </si>
  <si>
    <t>prospectiveOther</t>
  </si>
  <si>
    <t>prospectiveTotal</t>
  </si>
  <si>
    <t>prospectiveEstimate</t>
  </si>
  <si>
    <t>(19,2)</t>
  </si>
  <si>
    <t>concurrentEr</t>
  </si>
  <si>
    <t>concurrentOther</t>
  </si>
  <si>
    <t>concurrentTotal</t>
  </si>
  <si>
    <t>concurrentEstimate</t>
  </si>
  <si>
    <t>concurrentExposureMonths</t>
  </si>
  <si>
    <t>concurrentActualPaid</t>
  </si>
  <si>
    <t>concurrentActualAllowed</t>
  </si>
  <si>
    <t>prospectiveInpatientRaw</t>
  </si>
  <si>
    <t>prospectiveMedicalRaw</t>
  </si>
  <si>
    <t>prospectiveOutpatientRaw</t>
  </si>
  <si>
    <t>prospectivePharmacyRaw</t>
  </si>
  <si>
    <t>prospectivePhysicianRaw</t>
  </si>
  <si>
    <t>prospectiveErRaw</t>
  </si>
  <si>
    <t>prospectiveOtherRaw</t>
  </si>
  <si>
    <t>prospectiveTotalRaw</t>
  </si>
  <si>
    <t>concurrentInpatientRaw</t>
  </si>
  <si>
    <t>concurrentMedicalRaw</t>
  </si>
  <si>
    <t>concurrentOutpatientRaw</t>
  </si>
  <si>
    <t>concurrentPharmacyRaw</t>
  </si>
  <si>
    <t>concurrentPhysicianRaw</t>
  </si>
  <si>
    <t>concurrentErRaw</t>
  </si>
  <si>
    <t>concurrentOtherRaw</t>
  </si>
  <si>
    <t>concurrentTotalRaw</t>
  </si>
  <si>
    <t>mbrAge</t>
  </si>
  <si>
    <t>memberState</t>
  </si>
  <si>
    <t>memberZip</t>
  </si>
  <si>
    <t>contractTypeCode</t>
  </si>
  <si>
    <t>coverageTypeDesc</t>
  </si>
  <si>
    <t>planCode</t>
  </si>
  <si>
    <t>planDesc</t>
  </si>
  <si>
    <t>planTypeCode</t>
  </si>
  <si>
    <t>planTypeDesc</t>
  </si>
  <si>
    <t>groupCode</t>
  </si>
  <si>
    <t>GroupName</t>
  </si>
  <si>
    <t>divisionCode</t>
  </si>
  <si>
    <t>divisionName</t>
  </si>
  <si>
    <t>relationshipCode</t>
  </si>
  <si>
    <t>relationshipCodeDesc</t>
  </si>
  <si>
    <t>relationshipClass</t>
  </si>
  <si>
    <t>visitId</t>
  </si>
  <si>
    <t>utilizationType</t>
  </si>
  <si>
    <t>utilizationCategory</t>
  </si>
  <si>
    <t>endDate</t>
  </si>
  <si>
    <t>serviceDate</t>
  </si>
  <si>
    <t>paidDate</t>
  </si>
  <si>
    <t>claimLineCount</t>
  </si>
  <si>
    <t>professionalProvider</t>
  </si>
  <si>
    <t>facilityProvider</t>
  </si>
  <si>
    <t>primaryDiagnosisCode</t>
  </si>
  <si>
    <t>primaryDiagnosisDesc</t>
  </si>
  <si>
    <t>primaryDiagnosisGrouperCode</t>
  </si>
  <si>
    <t>primaryDiagnosisGrouperDesc</t>
  </si>
  <si>
    <t>admittingDiagnosis</t>
  </si>
  <si>
    <t>admittingDiagnosisDesc</t>
  </si>
  <si>
    <t>admittingDiagnosisGrouperCode</t>
  </si>
  <si>
    <t>admittingDiagnosisGrouperDesc</t>
  </si>
  <si>
    <t>LOS</t>
  </si>
  <si>
    <t>erAdmissionFlag</t>
  </si>
  <si>
    <t>readmissionFlag</t>
  </si>
  <si>
    <t>newbornDeliveryFlag</t>
  </si>
  <si>
    <t>admissionId</t>
  </si>
  <si>
    <t>admitIcuFlag</t>
  </si>
  <si>
    <t>admitRehabFlag</t>
  </si>
  <si>
    <t>avoidableFlag</t>
  </si>
  <si>
    <t>totalAllowedAmount</t>
  </si>
  <si>
    <t>totalCoinsuranceAmount</t>
  </si>
  <si>
    <t>totalCopayment</t>
  </si>
  <si>
    <t>totalDeductibleAmount</t>
  </si>
  <si>
    <t>totalPaidAmount</t>
  </si>
  <si>
    <t>totalBilledAmount</t>
  </si>
  <si>
    <t>totalPlanPaid</t>
  </si>
  <si>
    <t>totalMemberPaid</t>
  </si>
  <si>
    <t>totalPlanAndMemberPaid</t>
  </si>
  <si>
    <t>eventType</t>
  </si>
  <si>
    <t>udf12_medical</t>
  </si>
  <si>
    <t>udf53_medical</t>
  </si>
  <si>
    <t>udf54_medical</t>
  </si>
  <si>
    <t>udf70_medical</t>
  </si>
  <si>
    <t>dw_member_match</t>
  </si>
  <si>
    <t>dw_created_date</t>
  </si>
  <si>
    <t>dw_data_through_date</t>
  </si>
  <si>
    <t>Verify Care Alert layout</t>
  </si>
  <si>
    <t>Verify Care Alert field length</t>
  </si>
  <si>
    <t>Verify Generic Quality Metrics field length</t>
  </si>
  <si>
    <t>Verify Historical Scores layout</t>
  </si>
  <si>
    <t>Verify Historical Scores field length</t>
  </si>
  <si>
    <t>Verify Scores With Historical field length</t>
  </si>
  <si>
    <t xml:space="preserve">Verify Scores With Historical layout </t>
  </si>
  <si>
    <t xml:space="preserve">Verify Utilization layout </t>
  </si>
  <si>
    <t>Verify Utilization field length</t>
  </si>
  <si>
    <t>Verify Utilization count  between application and extract</t>
  </si>
  <si>
    <t>EX26</t>
  </si>
  <si>
    <t>EX27</t>
  </si>
  <si>
    <t>EX28</t>
  </si>
  <si>
    <t>EX29</t>
  </si>
  <si>
    <t>EX30</t>
  </si>
  <si>
    <t>EX31</t>
  </si>
  <si>
    <t>EX32</t>
  </si>
  <si>
    <t>EX33</t>
  </si>
  <si>
    <t>transaction_id</t>
  </si>
  <si>
    <t>mbr_email_address</t>
  </si>
  <si>
    <t>mbr_marital_status</t>
  </si>
  <si>
    <t>mbr_race</t>
  </si>
  <si>
    <t>mbr_ethnic_group</t>
  </si>
  <si>
    <t>mbr_edu_lvl</t>
  </si>
  <si>
    <t>mbr_relationship_class</t>
  </si>
  <si>
    <t>prv_provider_id</t>
  </si>
  <si>
    <t>svc_cpt_Desc</t>
  </si>
  <si>
    <t>svc_loinc_code</t>
  </si>
  <si>
    <t>svc_loinc_desc</t>
  </si>
  <si>
    <t>svc_lab_id</t>
  </si>
  <si>
    <t>svc_lab_name</t>
  </si>
  <si>
    <t>svc_test_norm</t>
  </si>
  <si>
    <t>svc_test_value</t>
  </si>
  <si>
    <t>svc_test_measure</t>
  </si>
  <si>
    <t>referring_physician_id</t>
  </si>
  <si>
    <t>referring_physician_first_name</t>
  </si>
  <si>
    <t>referring_physician_last_name</t>
  </si>
  <si>
    <t>referring_physician_npi</t>
  </si>
  <si>
    <t>supervising_physician_id</t>
  </si>
  <si>
    <t>supervising_physician_npi</t>
  </si>
  <si>
    <t>supervising_physician_first_name</t>
  </si>
  <si>
    <t>supervising_physician_last_name</t>
  </si>
  <si>
    <t>diagnosis_id</t>
  </si>
  <si>
    <t>prv_taxonomy_code1</t>
  </si>
  <si>
    <t>prv_taxonomy_desc1</t>
  </si>
  <si>
    <t>prv_taxonomy_subdesc1</t>
  </si>
  <si>
    <t>prv_taxonomy_code2</t>
  </si>
  <si>
    <t>prv_taxonomy_desc2</t>
  </si>
  <si>
    <t>prv_taxonomy_subdesc2</t>
  </si>
  <si>
    <t>lab_id</t>
  </si>
  <si>
    <t>svc_float_test_value</t>
  </si>
  <si>
    <t>udf1_lab</t>
  </si>
  <si>
    <t>udf2_lab</t>
  </si>
  <si>
    <t>udf3_lab</t>
  </si>
  <si>
    <t>udf4_lab</t>
  </si>
  <si>
    <t>udf5_lab</t>
  </si>
  <si>
    <t>udf6_lab</t>
  </si>
  <si>
    <t>udf7_lab</t>
  </si>
  <si>
    <t>udf8_lab</t>
  </si>
  <si>
    <t>udf9_lab</t>
  </si>
  <si>
    <t>udf10_lab</t>
  </si>
  <si>
    <t>udf11_lab</t>
  </si>
  <si>
    <t>udf12_lab</t>
  </si>
  <si>
    <t>udf13_lab</t>
  </si>
  <si>
    <t>udf14_lab</t>
  </si>
  <si>
    <t>udf15_lab</t>
  </si>
  <si>
    <t>udf26_lab</t>
  </si>
  <si>
    <t>udf27_lab</t>
  </si>
  <si>
    <t>udf28_lab</t>
  </si>
  <si>
    <t>udf29_lab</t>
  </si>
  <si>
    <t>udf30_lab</t>
  </si>
  <si>
    <t>udf31_lab</t>
  </si>
  <si>
    <t>udf32_lab</t>
  </si>
  <si>
    <t>udf33_lab</t>
  </si>
  <si>
    <t>udf34_lab</t>
  </si>
  <si>
    <t>udf35_lab</t>
  </si>
  <si>
    <t>udf36_lab</t>
  </si>
  <si>
    <t>udf37_lab</t>
  </si>
  <si>
    <t>udf38_lab</t>
  </si>
  <si>
    <t>udf39_lab</t>
  </si>
  <si>
    <t>udf40_lab</t>
  </si>
  <si>
    <t>udf41_lab</t>
  </si>
  <si>
    <t>udf42_lab</t>
  </si>
  <si>
    <t>udf43_lab</t>
  </si>
  <si>
    <t>udf44_lab</t>
  </si>
  <si>
    <t>udf45_lab</t>
  </si>
  <si>
    <t>udf46_lab</t>
  </si>
  <si>
    <t>udf47_lab</t>
  </si>
  <si>
    <t>udf48_lab</t>
  </si>
  <si>
    <t>udf49_lab</t>
  </si>
  <si>
    <t>udf50_lab</t>
  </si>
  <si>
    <t>dw_received_month</t>
  </si>
  <si>
    <t>double</t>
  </si>
  <si>
    <t>ins_division_id field length changed from 20 to 47</t>
  </si>
  <si>
    <t>dw_received_month field length changed from 6 to 10</t>
  </si>
  <si>
    <t>memberSSN</t>
  </si>
  <si>
    <t>memberFullName</t>
  </si>
  <si>
    <t>memberAge</t>
  </si>
  <si>
    <t>memberStreetAddr1</t>
  </si>
  <si>
    <t>memberCity</t>
  </si>
  <si>
    <t>memberPhone</t>
  </si>
  <si>
    <t>memberEmail</t>
  </si>
  <si>
    <t>planTypeId</t>
  </si>
  <si>
    <t>groupName</t>
  </si>
  <si>
    <t>currentStatus</t>
  </si>
  <si>
    <t>effectiveDate</t>
  </si>
  <si>
    <t>terminationDate</t>
  </si>
  <si>
    <t>denEffDate</t>
  </si>
  <si>
    <t>denTermDate</t>
  </si>
  <si>
    <t>visEffDate</t>
  </si>
  <si>
    <t>visTermDate</t>
  </si>
  <si>
    <t>contractTypeId</t>
  </si>
  <si>
    <t>pcpProviderId</t>
  </si>
  <si>
    <t>prvPCPFirstName</t>
  </si>
  <si>
    <t>prvPCPMiddleName</t>
  </si>
  <si>
    <t>prvPCPLastName</t>
  </si>
  <si>
    <t>prvPCPSiteId</t>
  </si>
  <si>
    <t>prv_pcp_name</t>
  </si>
  <si>
    <t>totalMedicalPaidAmount</t>
  </si>
  <si>
    <t>totalPharmacyPaidAmount</t>
  </si>
  <si>
    <t>hasAffectivePsychosis</t>
  </si>
  <si>
    <t>hasAsthma</t>
  </si>
  <si>
    <t>hasAtrialFibrillation</t>
  </si>
  <si>
    <t>hasBloodDisorders</t>
  </si>
  <si>
    <t>hasCad</t>
  </si>
  <si>
    <t>hasCopd</t>
  </si>
  <si>
    <t>hasCancer</t>
  </si>
  <si>
    <t>hasChronicPain</t>
  </si>
  <si>
    <t>hasCongestiveHeartFailure</t>
  </si>
  <si>
    <t>hasDemyelinatingDiseases</t>
  </si>
  <si>
    <t>hasDepression</t>
  </si>
  <si>
    <t>hasDiabetes</t>
  </si>
  <si>
    <t>hasEsrd</t>
  </si>
  <si>
    <t>hasEatingDisorders</t>
  </si>
  <si>
    <t>hasHivAids</t>
  </si>
  <si>
    <t>hasHyperlipidemia</t>
  </si>
  <si>
    <t>hasHypertension</t>
  </si>
  <si>
    <t>hasImmuneDisorders</t>
  </si>
  <si>
    <t>hasInflammatoryBowelDisease</t>
  </si>
  <si>
    <t>hasLiverDisease</t>
  </si>
  <si>
    <t>hasMorbidObesity</t>
  </si>
  <si>
    <t>hasOsteoarthritis</t>
  </si>
  <si>
    <t>hasPeripheralVascularDisease</t>
  </si>
  <si>
    <t>hasRheumatoidArthritis</t>
  </si>
  <si>
    <t>chronicConditionCount</t>
  </si>
  <si>
    <t>has_CC_flag</t>
  </si>
  <si>
    <t>udf1_hra</t>
  </si>
  <si>
    <t>udf2_hra</t>
  </si>
  <si>
    <t>udf3_hra</t>
  </si>
  <si>
    <t>udf4_hra</t>
  </si>
  <si>
    <t>udf5_hra</t>
  </si>
  <si>
    <t>udf6_hra</t>
  </si>
  <si>
    <t>udf7_hra</t>
  </si>
  <si>
    <t>udf8_hra</t>
  </si>
  <si>
    <t>udf9_hra</t>
  </si>
  <si>
    <t>udf10_hra</t>
  </si>
  <si>
    <t>udf11_hra</t>
  </si>
  <si>
    <t>udf12_hra</t>
  </si>
  <si>
    <t>udf13_hra</t>
  </si>
  <si>
    <t>udf14_hra</t>
  </si>
  <si>
    <t>udf15_hra</t>
  </si>
  <si>
    <t>udf31_hra</t>
  </si>
  <si>
    <t>udf32_hra</t>
  </si>
  <si>
    <t>udf33_hra</t>
  </si>
  <si>
    <t>udf34_hra</t>
  </si>
  <si>
    <t>udf35_hra</t>
  </si>
  <si>
    <t>udf36_hra</t>
  </si>
  <si>
    <t>udf37_hra</t>
  </si>
  <si>
    <t>udf38_hra</t>
  </si>
  <si>
    <t>udf39_hra</t>
  </si>
  <si>
    <t>udf40_hra</t>
  </si>
  <si>
    <t>udf41_hra</t>
  </si>
  <si>
    <t>udf42_hra</t>
  </si>
  <si>
    <t>udf43_hra</t>
  </si>
  <si>
    <t>udf44_hra</t>
  </si>
  <si>
    <t>udf45_hra</t>
  </si>
  <si>
    <t>udf46_hra</t>
  </si>
  <si>
    <t>udf47_hra</t>
  </si>
  <si>
    <t>udf48_hra</t>
  </si>
  <si>
    <t>udf49_hra</t>
  </si>
  <si>
    <t>udf50_hra</t>
  </si>
  <si>
    <t>udf1_biometric</t>
  </si>
  <si>
    <t>udf2_biometric</t>
  </si>
  <si>
    <t>udf3_biometric</t>
  </si>
  <si>
    <t>udf4_biometric</t>
  </si>
  <si>
    <t>udf5_biometric</t>
  </si>
  <si>
    <t>udf6_biometric</t>
  </si>
  <si>
    <t>udf7_biometric</t>
  </si>
  <si>
    <t>udf8_biometric</t>
  </si>
  <si>
    <t>udf9_biometric</t>
  </si>
  <si>
    <t>udf10_biometric</t>
  </si>
  <si>
    <t>udf11_biometric</t>
  </si>
  <si>
    <t>udf12_biometric</t>
  </si>
  <si>
    <t>udf13_biometric</t>
  </si>
  <si>
    <t>udf14_biometric</t>
  </si>
  <si>
    <t>udf15_biometric</t>
  </si>
  <si>
    <t>udf31_biometric</t>
  </si>
  <si>
    <t>udf32_biometric</t>
  </si>
  <si>
    <t>udf33_biometric</t>
  </si>
  <si>
    <t>udf34_biometric</t>
  </si>
  <si>
    <t>udf35_biometric</t>
  </si>
  <si>
    <t>udf36_biometric</t>
  </si>
  <si>
    <t>udf37_biometric</t>
  </si>
  <si>
    <t>udf38_biometric</t>
  </si>
  <si>
    <t>udf39_biometric</t>
  </si>
  <si>
    <t>udf40_biometric</t>
  </si>
  <si>
    <t>udf41_biometric</t>
  </si>
  <si>
    <t>udf42_biometric</t>
  </si>
  <si>
    <t>udf43_biometric</t>
  </si>
  <si>
    <t>udf44_biometric</t>
  </si>
  <si>
    <t>udf45_biometric</t>
  </si>
  <si>
    <t>udf46_biometric</t>
  </si>
  <si>
    <t>udf47_biometric</t>
  </si>
  <si>
    <t>udf48_biometric</t>
  </si>
  <si>
    <t>udf49_biometric</t>
  </si>
  <si>
    <t>udf50_biometric</t>
  </si>
  <si>
    <t>udf1_eligibility</t>
  </si>
  <si>
    <t>udf2_eligibility</t>
  </si>
  <si>
    <t>udf3_eligibility</t>
  </si>
  <si>
    <t>udf4_eligibility</t>
  </si>
  <si>
    <t>udf5_eligibility</t>
  </si>
  <si>
    <t>udf6_eligibility</t>
  </si>
  <si>
    <t>udf7_eligibility</t>
  </si>
  <si>
    <t>udf8_eligibility</t>
  </si>
  <si>
    <t>udf9_eligibility</t>
  </si>
  <si>
    <t>udf10_eligibility</t>
  </si>
  <si>
    <t>udf11_eligibility</t>
  </si>
  <si>
    <t>udf12_eligibility</t>
  </si>
  <si>
    <t>udf13_eligibility</t>
  </si>
  <si>
    <t>udf14_eligibility</t>
  </si>
  <si>
    <t>udf15_eligibility</t>
  </si>
  <si>
    <t>udf31_eligibility</t>
  </si>
  <si>
    <t>udf32_eligibility</t>
  </si>
  <si>
    <t>udf33_eligibility</t>
  </si>
  <si>
    <t>udf34_eligibility</t>
  </si>
  <si>
    <t>udf35_eligibility</t>
  </si>
  <si>
    <t>udf36_eligibility</t>
  </si>
  <si>
    <t>udf37_eligibility</t>
  </si>
  <si>
    <t>udf38_eligibility</t>
  </si>
  <si>
    <t>udf39_eligibility</t>
  </si>
  <si>
    <t>udf40_eligibility</t>
  </si>
  <si>
    <t>udf41_eligibility</t>
  </si>
  <si>
    <t>udf42_eligibility</t>
  </si>
  <si>
    <t>udf43_eligibility</t>
  </si>
  <si>
    <t>udf44_eligibility</t>
  </si>
  <si>
    <t>udf45_eligibility</t>
  </si>
  <si>
    <t>udf46_eligibility</t>
  </si>
  <si>
    <t>udf47_eligibility</t>
  </si>
  <si>
    <t>udf48_eligibility</t>
  </si>
  <si>
    <t>udf49_eligibility</t>
  </si>
  <si>
    <t>udf50_eligibility</t>
  </si>
  <si>
    <t>udf51_eligibility</t>
  </si>
  <si>
    <t>udf52_eligibility</t>
  </si>
  <si>
    <t>udf53_eligibility</t>
  </si>
  <si>
    <t>udf54_eligibility</t>
  </si>
  <si>
    <t>udf55_eligibility</t>
  </si>
  <si>
    <t>udf56_eligibility</t>
  </si>
  <si>
    <t>udf57_eligibility</t>
  </si>
  <si>
    <t>udf58_eligibility</t>
  </si>
  <si>
    <t>udf59_eligibility</t>
  </si>
  <si>
    <t>udf60_eligibility</t>
  </si>
  <si>
    <t>udf61_eligibility</t>
  </si>
  <si>
    <t>udf62_eligibility</t>
  </si>
  <si>
    <t>udf63_eligibility</t>
  </si>
  <si>
    <t>udf64_eligibility</t>
  </si>
  <si>
    <t>udf65_eligibility</t>
  </si>
  <si>
    <t>udf66_eligibility</t>
  </si>
  <si>
    <t>udf67_eligibility</t>
  </si>
  <si>
    <t>udf68_eligibility</t>
  </si>
  <si>
    <t>udf69_eligibility</t>
  </si>
  <si>
    <t>udf70_eligibility</t>
  </si>
  <si>
    <t>udf1_osha</t>
  </si>
  <si>
    <t>udf2_osha</t>
  </si>
  <si>
    <t>udf3_osha</t>
  </si>
  <si>
    <t>udf4_osha</t>
  </si>
  <si>
    <t>udf5_osha</t>
  </si>
  <si>
    <t>udf6_osha</t>
  </si>
  <si>
    <t>udf7_osha</t>
  </si>
  <si>
    <t>udf8_osha</t>
  </si>
  <si>
    <t>udf9_osha</t>
  </si>
  <si>
    <t>udf10_osha</t>
  </si>
  <si>
    <t>udf11_osha</t>
  </si>
  <si>
    <t>udf12_osha</t>
  </si>
  <si>
    <t>udf13_osha</t>
  </si>
  <si>
    <t>udf14_osha</t>
  </si>
  <si>
    <t>udf15_osha</t>
  </si>
  <si>
    <t>udf31_osha</t>
  </si>
  <si>
    <t>udf32_osha</t>
  </si>
  <si>
    <t>udf33_osha</t>
  </si>
  <si>
    <t>udf34_osha</t>
  </si>
  <si>
    <t>udf35_osha</t>
  </si>
  <si>
    <t>udf36_osha</t>
  </si>
  <si>
    <t>udf37_osha</t>
  </si>
  <si>
    <t>udf38_osha</t>
  </si>
  <si>
    <t>udf39_osha</t>
  </si>
  <si>
    <t>udf40_osha</t>
  </si>
  <si>
    <t>udf41_osha</t>
  </si>
  <si>
    <t>udf42_osha</t>
  </si>
  <si>
    <t>udf43_osha</t>
  </si>
  <si>
    <t>udf44_osha</t>
  </si>
  <si>
    <t>udf45_osha</t>
  </si>
  <si>
    <t>udf46_osha</t>
  </si>
  <si>
    <t>udf47_osha</t>
  </si>
  <si>
    <t>udf48_osha</t>
  </si>
  <si>
    <t>udf49_osha</t>
  </si>
  <si>
    <t>udf50_osha</t>
  </si>
  <si>
    <t>memberSSN field changed from 20 to 22</t>
  </si>
  <si>
    <t>activeMonth</t>
  </si>
  <si>
    <t>memberGenderId</t>
  </si>
  <si>
    <t>memberZipId</t>
  </si>
  <si>
    <t>relationshipClassDesc</t>
  </si>
  <si>
    <t>benefitTypeId</t>
  </si>
  <si>
    <t>benefitType</t>
  </si>
  <si>
    <t>carrierCode1</t>
  </si>
  <si>
    <t>carrierCode2</t>
  </si>
  <si>
    <t>carrierCode3</t>
  </si>
  <si>
    <t>groupFundingType</t>
  </si>
  <si>
    <t>coverageTierCode</t>
  </si>
  <si>
    <t>bpFundingRate</t>
  </si>
  <si>
    <t>bpHsaRate</t>
  </si>
  <si>
    <t>bpEEContributionRate</t>
  </si>
  <si>
    <t>bpFixedCosts</t>
  </si>
  <si>
    <t>benefitPlanCovered</t>
  </si>
  <si>
    <t>slIslFee</t>
  </si>
  <si>
    <t>slAggFee</t>
  </si>
  <si>
    <t>slAslFactor</t>
  </si>
  <si>
    <t>slIslLaser</t>
  </si>
  <si>
    <t>slIslDeductible</t>
  </si>
  <si>
    <t>slAslMinDeductible</t>
  </si>
  <si>
    <t>slIslAggDeductible</t>
  </si>
  <si>
    <t>divisionId</t>
  </si>
  <si>
    <t>planId</t>
  </si>
  <si>
    <t>carrierId</t>
  </si>
  <si>
    <t>udf16Id</t>
  </si>
  <si>
    <t>udf17Id</t>
  </si>
  <si>
    <t>udf18Id</t>
  </si>
  <si>
    <t>udf19Id</t>
  </si>
  <si>
    <t>udf20Id</t>
  </si>
  <si>
    <t>udf21Id</t>
  </si>
  <si>
    <t>udf22Id</t>
  </si>
  <si>
    <t>udf23Id</t>
  </si>
  <si>
    <t>udf24Id</t>
  </si>
  <si>
    <t>udf25Id</t>
  </si>
  <si>
    <t>udf26Id</t>
  </si>
  <si>
    <t>udf27Id</t>
  </si>
  <si>
    <t>udf28Id</t>
  </si>
  <si>
    <t>udf29Id</t>
  </si>
  <si>
    <t>udf30Id</t>
  </si>
  <si>
    <t>memberRelationshipDesc</t>
  </si>
  <si>
    <t>carrierName</t>
  </si>
  <si>
    <t>divisionName field changed from 60 to 68</t>
  </si>
  <si>
    <t>Verify Generic Quality Metrics layout</t>
  </si>
  <si>
    <t xml:space="preserve">Verify Lab layout </t>
  </si>
  <si>
    <t>Verify Lab field length</t>
  </si>
  <si>
    <t>Verify Lab count  between application and extract</t>
  </si>
  <si>
    <t>EX34</t>
  </si>
  <si>
    <t>EX35</t>
  </si>
  <si>
    <t>EX36</t>
  </si>
  <si>
    <t xml:space="preserve">Verify Member layout </t>
  </si>
  <si>
    <t>Verify Member field length</t>
  </si>
  <si>
    <t>Verify Member count  between application and extract</t>
  </si>
  <si>
    <t xml:space="preserve">Verify Member Months layout </t>
  </si>
  <si>
    <t>Verify Member Months field length</t>
  </si>
  <si>
    <t>Verify Member Months count  between application and extract</t>
  </si>
  <si>
    <t>EX37</t>
  </si>
  <si>
    <t>EX38</t>
  </si>
  <si>
    <t>EX39</t>
  </si>
  <si>
    <t>EX40</t>
  </si>
  <si>
    <t>EX41</t>
  </si>
  <si>
    <t>EX42</t>
  </si>
  <si>
    <t>GenericQualityMetrics.csv</t>
  </si>
  <si>
    <t>Lab.csv</t>
  </si>
  <si>
    <t>30.16 MB</t>
  </si>
  <si>
    <t>Member.csv</t>
  </si>
  <si>
    <t>9.34 MB</t>
  </si>
  <si>
    <t>MemberMonths.csv</t>
  </si>
  <si>
    <t>158.06 MB</t>
  </si>
  <si>
    <t>1.41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</si>
</sst>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0" fillId="0" borderId="2" xfId="0" applyBorder="1"/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5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5"/>
  <sheetViews>
    <sheetView showGridLines="0" tabSelected="1" workbookViewId="0"/>
  </sheetViews>
  <sheetFormatPr defaultRowHeight="15" x14ac:dyDescent="0.2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 x14ac:dyDescent="0.25">
      <c r="B1" s="60" t="s">
        <v>386</v>
      </c>
      <c r="C1" s="60"/>
      <c r="D1" s="60"/>
      <c r="E1" s="60"/>
      <c r="F1" s="60"/>
      <c r="G1" s="60"/>
    </row>
    <row r="2" spans="2:7" x14ac:dyDescent="0.25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 x14ac:dyDescent="0.25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 x14ac:dyDescent="0.2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 x14ac:dyDescent="0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 x14ac:dyDescent="0.25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 x14ac:dyDescent="0.25">
      <c r="B7" s="6"/>
      <c r="C7" s="6"/>
      <c r="D7" s="4"/>
      <c r="E7" s="4"/>
      <c r="F7" s="4"/>
      <c r="G7" s="4"/>
    </row>
    <row r="8" spans="2:7" x14ac:dyDescent="0.25">
      <c r="B8" s="60" t="s">
        <v>387</v>
      </c>
      <c r="C8" s="60"/>
      <c r="D8" s="60"/>
      <c r="E8" s="60"/>
      <c r="F8" s="60"/>
      <c r="G8" s="60"/>
    </row>
    <row r="9" spans="2:7" x14ac:dyDescent="0.25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 x14ac:dyDescent="0.25">
      <c r="B10" s="9">
        <v>42849</v>
      </c>
      <c r="C10" s="9">
        <v>42849</v>
      </c>
      <c r="D10" s="29" t="s">
        <v>501</v>
      </c>
      <c r="E10" s="7" t="s">
        <v>385</v>
      </c>
      <c r="F10" s="29" t="s">
        <v>528</v>
      </c>
      <c r="G10" s="8"/>
    </row>
    <row r="12" spans="2:7" x14ac:dyDescent="0.25">
      <c r="B12" s="60" t="s">
        <v>388</v>
      </c>
      <c r="C12" s="60"/>
      <c r="D12" s="60"/>
      <c r="E12" s="60"/>
      <c r="F12" s="60"/>
      <c r="G12" s="60"/>
    </row>
    <row r="13" spans="2:7" x14ac:dyDescent="0.25">
      <c r="B13" s="15" t="s">
        <v>361</v>
      </c>
      <c r="C13" s="61" t="s">
        <v>362</v>
      </c>
      <c r="D13" s="61"/>
      <c r="E13" s="61"/>
      <c r="F13" s="61"/>
      <c r="G13" s="15" t="s">
        <v>360</v>
      </c>
    </row>
    <row r="14" spans="2:7" x14ac:dyDescent="0.25">
      <c r="B14" s="1" t="s">
        <v>363</v>
      </c>
      <c r="C14" s="59" t="s">
        <v>373</v>
      </c>
      <c r="D14" s="59"/>
      <c r="E14" s="59"/>
      <c r="F14" s="59"/>
      <c r="G14" s="11" t="str">
        <f>File_Size_Comparision!L2</f>
        <v>Fail</v>
      </c>
    </row>
    <row r="15" spans="2:7" x14ac:dyDescent="0.25">
      <c r="B15" s="54" t="s">
        <v>364</v>
      </c>
      <c r="C15" s="59" t="s">
        <v>653</v>
      </c>
      <c r="D15" s="59"/>
      <c r="E15" s="59"/>
      <c r="F15" s="59"/>
      <c r="G15" s="11" t="str">
        <f>Care_Alerts!M5</f>
        <v>Pass</v>
      </c>
    </row>
    <row r="16" spans="2:7" x14ac:dyDescent="0.25">
      <c r="B16" s="54" t="s">
        <v>365</v>
      </c>
      <c r="C16" s="59" t="s">
        <v>654</v>
      </c>
      <c r="D16" s="59"/>
      <c r="E16" s="59"/>
      <c r="F16" s="59"/>
      <c r="G16" s="11" t="str">
        <f>Care_Alerts!M6</f>
        <v>Pass</v>
      </c>
    </row>
    <row r="17" spans="2:7" x14ac:dyDescent="0.25">
      <c r="B17" s="54" t="s">
        <v>366</v>
      </c>
      <c r="C17" s="59" t="s">
        <v>478</v>
      </c>
      <c r="D17" s="59"/>
      <c r="E17" s="59"/>
      <c r="F17" s="59"/>
      <c r="G17" s="11" t="str">
        <f>Demographics!M5</f>
        <v>Pass</v>
      </c>
    </row>
    <row r="18" spans="2:7" x14ac:dyDescent="0.25">
      <c r="B18" s="54" t="s">
        <v>367</v>
      </c>
      <c r="C18" s="59" t="s">
        <v>479</v>
      </c>
      <c r="D18" s="59"/>
      <c r="E18" s="59"/>
      <c r="F18" s="59"/>
      <c r="G18" s="11" t="str">
        <f>Demographics!M6</f>
        <v>Pass</v>
      </c>
    </row>
    <row r="19" spans="2:7" x14ac:dyDescent="0.25">
      <c r="B19" s="54" t="s">
        <v>368</v>
      </c>
      <c r="C19" s="59" t="s">
        <v>414</v>
      </c>
      <c r="D19" s="59"/>
      <c r="E19" s="59"/>
      <c r="F19" s="59"/>
      <c r="G19" s="11" t="str">
        <f>Eligibility!M6</f>
        <v>Pass</v>
      </c>
    </row>
    <row r="20" spans="2:7" x14ac:dyDescent="0.25">
      <c r="B20" s="54" t="s">
        <v>369</v>
      </c>
      <c r="C20" s="59" t="s">
        <v>415</v>
      </c>
      <c r="D20" s="59"/>
      <c r="E20" s="59"/>
      <c r="F20" s="59"/>
      <c r="G20" s="11" t="str">
        <f>Eligibility!M7</f>
        <v>Pass</v>
      </c>
    </row>
    <row r="21" spans="2:7" x14ac:dyDescent="0.25">
      <c r="B21" s="54" t="s">
        <v>370</v>
      </c>
      <c r="C21" s="59" t="s">
        <v>469</v>
      </c>
      <c r="D21" s="59"/>
      <c r="E21" s="59"/>
      <c r="F21" s="59"/>
      <c r="G21" s="11" t="str">
        <f>Eligibility!M8</f>
        <v>Pass</v>
      </c>
    </row>
    <row r="22" spans="2:7" x14ac:dyDescent="0.25">
      <c r="B22" s="54" t="s">
        <v>371</v>
      </c>
      <c r="C22" s="59" t="s">
        <v>1004</v>
      </c>
      <c r="D22" s="59"/>
      <c r="E22" s="59"/>
      <c r="F22" s="59"/>
      <c r="G22" s="11" t="str">
        <f>Generic_Quality_Metrics!M6</f>
        <v>Pass</v>
      </c>
    </row>
    <row r="23" spans="2:7" x14ac:dyDescent="0.25">
      <c r="B23" s="54" t="s">
        <v>372</v>
      </c>
      <c r="C23" s="59" t="s">
        <v>655</v>
      </c>
      <c r="D23" s="59"/>
      <c r="E23" s="59"/>
      <c r="F23" s="59"/>
      <c r="G23" s="11" t="str">
        <f>Generic_Quality_Metrics!M7</f>
        <v>Pass</v>
      </c>
    </row>
    <row r="24" spans="2:7" x14ac:dyDescent="0.25">
      <c r="B24" s="54" t="s">
        <v>374</v>
      </c>
      <c r="C24" s="59" t="s">
        <v>484</v>
      </c>
      <c r="D24" s="59"/>
      <c r="E24" s="59"/>
      <c r="F24" s="59"/>
      <c r="G24" s="11" t="str">
        <f>High_Cost!M5</f>
        <v>Pass</v>
      </c>
    </row>
    <row r="25" spans="2:7" x14ac:dyDescent="0.25">
      <c r="B25" s="54" t="s">
        <v>416</v>
      </c>
      <c r="C25" s="59" t="s">
        <v>485</v>
      </c>
      <c r="D25" s="59"/>
      <c r="E25" s="59"/>
      <c r="F25" s="59"/>
      <c r="G25" s="11" t="str">
        <f>High_Cost!M6</f>
        <v>Pass</v>
      </c>
    </row>
    <row r="26" spans="2:7" x14ac:dyDescent="0.25">
      <c r="B26" s="54" t="s">
        <v>417</v>
      </c>
      <c r="C26" s="59" t="s">
        <v>656</v>
      </c>
      <c r="D26" s="59"/>
      <c r="E26" s="59"/>
      <c r="F26" s="59"/>
      <c r="G26" s="11" t="str">
        <f>Historical_Scores!M6</f>
        <v>Pass</v>
      </c>
    </row>
    <row r="27" spans="2:7" x14ac:dyDescent="0.25">
      <c r="B27" s="54" t="s">
        <v>418</v>
      </c>
      <c r="C27" s="59" t="s">
        <v>657</v>
      </c>
      <c r="D27" s="59"/>
      <c r="E27" s="59"/>
      <c r="F27" s="59"/>
      <c r="G27" s="11" t="str">
        <f>Historical_Scores!M7</f>
        <v>Pass</v>
      </c>
    </row>
    <row r="28" spans="2:7" x14ac:dyDescent="0.25">
      <c r="B28" s="56" t="s">
        <v>419</v>
      </c>
      <c r="C28" s="59" t="s">
        <v>1005</v>
      </c>
      <c r="D28" s="59"/>
      <c r="E28" s="59"/>
      <c r="F28" s="59"/>
      <c r="G28" s="11" t="str">
        <f>Lab!M6</f>
        <v>Pass</v>
      </c>
    </row>
    <row r="29" spans="2:7" x14ac:dyDescent="0.25">
      <c r="B29" s="56" t="s">
        <v>472</v>
      </c>
      <c r="C29" s="59" t="s">
        <v>1006</v>
      </c>
      <c r="D29" s="59"/>
      <c r="E29" s="59"/>
      <c r="F29" s="59"/>
      <c r="G29" s="11" t="str">
        <f>Lab!M7</f>
        <v>Pass</v>
      </c>
    </row>
    <row r="30" spans="2:7" x14ac:dyDescent="0.25">
      <c r="B30" s="56" t="s">
        <v>473</v>
      </c>
      <c r="C30" s="59" t="s">
        <v>1007</v>
      </c>
      <c r="D30" s="59"/>
      <c r="E30" s="59"/>
      <c r="F30" s="59"/>
      <c r="G30" s="39" t="str">
        <f>Lab!M8</f>
        <v>Pass</v>
      </c>
    </row>
    <row r="31" spans="2:7" x14ac:dyDescent="0.25">
      <c r="B31" s="56" t="s">
        <v>474</v>
      </c>
      <c r="C31" s="59" t="s">
        <v>431</v>
      </c>
      <c r="D31" s="59"/>
      <c r="E31" s="59"/>
      <c r="F31" s="59"/>
      <c r="G31" s="11" t="str">
        <f>Medical_Claims!M6</f>
        <v>Pass</v>
      </c>
    </row>
    <row r="32" spans="2:7" x14ac:dyDescent="0.25">
      <c r="B32" s="56" t="s">
        <v>486</v>
      </c>
      <c r="C32" s="59" t="s">
        <v>432</v>
      </c>
      <c r="D32" s="59"/>
      <c r="E32" s="59"/>
      <c r="F32" s="59"/>
      <c r="G32" s="11" t="str">
        <f>Medical_Claims!M7</f>
        <v>Pass</v>
      </c>
    </row>
    <row r="33" spans="2:7" x14ac:dyDescent="0.25">
      <c r="B33" s="56" t="s">
        <v>487</v>
      </c>
      <c r="C33" s="59" t="s">
        <v>470</v>
      </c>
      <c r="D33" s="59"/>
      <c r="E33" s="59"/>
      <c r="F33" s="59"/>
      <c r="G33" s="11" t="str">
        <f>Medical_Claims!M8</f>
        <v>Pass</v>
      </c>
    </row>
    <row r="34" spans="2:7" x14ac:dyDescent="0.25">
      <c r="B34" s="56" t="s">
        <v>488</v>
      </c>
      <c r="C34" s="59" t="s">
        <v>1011</v>
      </c>
      <c r="D34" s="59"/>
      <c r="E34" s="59"/>
      <c r="F34" s="59"/>
      <c r="G34" s="11" t="str">
        <f>Member!M6</f>
        <v>Pass</v>
      </c>
    </row>
    <row r="35" spans="2:7" x14ac:dyDescent="0.25">
      <c r="B35" s="56" t="s">
        <v>489</v>
      </c>
      <c r="C35" s="59" t="s">
        <v>1012</v>
      </c>
      <c r="D35" s="59"/>
      <c r="E35" s="59"/>
      <c r="F35" s="59"/>
      <c r="G35" s="11" t="str">
        <f>Member!M7</f>
        <v>Pass</v>
      </c>
    </row>
    <row r="36" spans="2:7" x14ac:dyDescent="0.25">
      <c r="B36" s="56" t="s">
        <v>498</v>
      </c>
      <c r="C36" s="59" t="s">
        <v>1013</v>
      </c>
      <c r="D36" s="59"/>
      <c r="E36" s="59"/>
      <c r="F36" s="59"/>
      <c r="G36" s="39" t="str">
        <f>Member!M8</f>
        <v>Pass</v>
      </c>
    </row>
    <row r="37" spans="2:7" x14ac:dyDescent="0.25">
      <c r="B37" s="56" t="s">
        <v>499</v>
      </c>
      <c r="C37" s="59" t="s">
        <v>1014</v>
      </c>
      <c r="D37" s="59"/>
      <c r="E37" s="59"/>
      <c r="F37" s="59"/>
      <c r="G37" s="11" t="str">
        <f>Member_Months!M6</f>
        <v>Pass</v>
      </c>
    </row>
    <row r="38" spans="2:7" x14ac:dyDescent="0.25">
      <c r="B38" s="56" t="s">
        <v>500</v>
      </c>
      <c r="C38" s="59" t="s">
        <v>1015</v>
      </c>
      <c r="D38" s="59"/>
      <c r="E38" s="59"/>
      <c r="F38" s="59"/>
      <c r="G38" s="11" t="str">
        <f>Member_Months!M7</f>
        <v>Pass</v>
      </c>
    </row>
    <row r="39" spans="2:7" x14ac:dyDescent="0.25">
      <c r="B39" s="56" t="s">
        <v>663</v>
      </c>
      <c r="C39" s="59" t="s">
        <v>1016</v>
      </c>
      <c r="D39" s="59"/>
      <c r="E39" s="59"/>
      <c r="F39" s="59"/>
      <c r="G39" s="39" t="str">
        <f>Member_Months!M8</f>
        <v>Pass</v>
      </c>
    </row>
    <row r="40" spans="2:7" x14ac:dyDescent="0.25">
      <c r="B40" s="56" t="s">
        <v>664</v>
      </c>
      <c r="C40" s="59" t="s">
        <v>420</v>
      </c>
      <c r="D40" s="59"/>
      <c r="E40" s="59"/>
      <c r="F40" s="59"/>
      <c r="G40" s="11" t="str">
        <f>Member_PCP!M6</f>
        <v>Pass</v>
      </c>
    </row>
    <row r="41" spans="2:7" x14ac:dyDescent="0.25">
      <c r="B41" s="56" t="s">
        <v>665</v>
      </c>
      <c r="C41" s="59" t="s">
        <v>425</v>
      </c>
      <c r="D41" s="59"/>
      <c r="E41" s="59"/>
      <c r="F41" s="59"/>
      <c r="G41" s="11" t="str">
        <f>Member_PCP!M7</f>
        <v>Pass</v>
      </c>
    </row>
    <row r="42" spans="2:7" x14ac:dyDescent="0.25">
      <c r="B42" s="56" t="s">
        <v>666</v>
      </c>
      <c r="C42" s="59" t="s">
        <v>421</v>
      </c>
      <c r="D42" s="59"/>
      <c r="E42" s="59"/>
      <c r="F42" s="59"/>
      <c r="G42" s="11" t="str">
        <f>Pharmacy!M6</f>
        <v>Pass</v>
      </c>
    </row>
    <row r="43" spans="2:7" x14ac:dyDescent="0.25">
      <c r="B43" s="56" t="s">
        <v>667</v>
      </c>
      <c r="C43" s="59" t="s">
        <v>426</v>
      </c>
      <c r="D43" s="59"/>
      <c r="E43" s="59"/>
      <c r="F43" s="59"/>
      <c r="G43" s="11" t="str">
        <f>Pharmacy!M7</f>
        <v>Pass</v>
      </c>
    </row>
    <row r="44" spans="2:7" x14ac:dyDescent="0.25">
      <c r="B44" s="56" t="s">
        <v>668</v>
      </c>
      <c r="C44" s="59" t="s">
        <v>471</v>
      </c>
      <c r="D44" s="59"/>
      <c r="E44" s="59"/>
      <c r="F44" s="59"/>
      <c r="G44" s="11" t="str">
        <f>Pharmacy!M8</f>
        <v>Pass</v>
      </c>
    </row>
    <row r="45" spans="2:7" x14ac:dyDescent="0.25">
      <c r="B45" s="56" t="s">
        <v>669</v>
      </c>
      <c r="C45" s="59" t="s">
        <v>422</v>
      </c>
      <c r="D45" s="59"/>
      <c r="E45" s="59"/>
      <c r="F45" s="59"/>
      <c r="G45" s="11" t="str">
        <f>Quality_Metrics!M6</f>
        <v>Pass</v>
      </c>
    </row>
    <row r="46" spans="2:7" x14ac:dyDescent="0.25">
      <c r="B46" s="56" t="s">
        <v>670</v>
      </c>
      <c r="C46" s="59" t="s">
        <v>427</v>
      </c>
      <c r="D46" s="59"/>
      <c r="E46" s="59"/>
      <c r="F46" s="59"/>
      <c r="G46" s="11" t="str">
        <f>Quality_Metrics!M7</f>
        <v>Pass</v>
      </c>
    </row>
    <row r="47" spans="2:7" x14ac:dyDescent="0.25">
      <c r="B47" s="56" t="s">
        <v>1008</v>
      </c>
      <c r="C47" s="59" t="s">
        <v>423</v>
      </c>
      <c r="D47" s="59"/>
      <c r="E47" s="59"/>
      <c r="F47" s="59"/>
      <c r="G47" s="11" t="str">
        <f>Scores!M6</f>
        <v>Pass</v>
      </c>
    </row>
    <row r="48" spans="2:7" x14ac:dyDescent="0.25">
      <c r="B48" s="56" t="s">
        <v>1009</v>
      </c>
      <c r="C48" s="59" t="s">
        <v>428</v>
      </c>
      <c r="D48" s="59"/>
      <c r="E48" s="59"/>
      <c r="F48" s="59"/>
      <c r="G48" s="11" t="str">
        <f>Scores!M7</f>
        <v>Pass</v>
      </c>
    </row>
    <row r="49" spans="2:7" x14ac:dyDescent="0.25">
      <c r="B49" s="56" t="s">
        <v>1010</v>
      </c>
      <c r="C49" s="59" t="s">
        <v>659</v>
      </c>
      <c r="D49" s="59"/>
      <c r="E49" s="59"/>
      <c r="F49" s="59"/>
      <c r="G49" s="11" t="str">
        <f>Scores_With_Historicals!M6</f>
        <v>Pass</v>
      </c>
    </row>
    <row r="50" spans="2:7" x14ac:dyDescent="0.25">
      <c r="B50" s="56" t="s">
        <v>1017</v>
      </c>
      <c r="C50" s="59" t="s">
        <v>658</v>
      </c>
      <c r="D50" s="59"/>
      <c r="E50" s="59"/>
      <c r="F50" s="59"/>
      <c r="G50" s="11" t="str">
        <f>Scores_With_Historicals!M7</f>
        <v>Pass</v>
      </c>
    </row>
    <row r="51" spans="2:7" x14ac:dyDescent="0.25">
      <c r="B51" s="56" t="s">
        <v>1018</v>
      </c>
      <c r="C51" s="59" t="s">
        <v>660</v>
      </c>
      <c r="D51" s="59"/>
      <c r="E51" s="59"/>
      <c r="F51" s="59"/>
      <c r="G51" s="11" t="str">
        <f>Utilization!M6</f>
        <v>Pass</v>
      </c>
    </row>
    <row r="52" spans="2:7" x14ac:dyDescent="0.25">
      <c r="B52" s="56" t="s">
        <v>1019</v>
      </c>
      <c r="C52" s="59" t="s">
        <v>661</v>
      </c>
      <c r="D52" s="59"/>
      <c r="E52" s="59"/>
      <c r="F52" s="59"/>
      <c r="G52" s="11" t="str">
        <f>Utilization!M7</f>
        <v>Pass</v>
      </c>
    </row>
    <row r="53" spans="2:7" x14ac:dyDescent="0.25">
      <c r="B53" s="56" t="s">
        <v>1020</v>
      </c>
      <c r="C53" s="59" t="s">
        <v>662</v>
      </c>
      <c r="D53" s="59"/>
      <c r="E53" s="59"/>
      <c r="F53" s="59"/>
      <c r="G53" s="39" t="str">
        <f>Utilization!M8</f>
        <v>Pass</v>
      </c>
    </row>
    <row r="54" spans="2:7" x14ac:dyDescent="0.25">
      <c r="B54" s="56" t="s">
        <v>1021</v>
      </c>
      <c r="C54" s="59" t="s">
        <v>424</v>
      </c>
      <c r="D54" s="59"/>
      <c r="E54" s="59"/>
      <c r="F54" s="59"/>
      <c r="G54" s="11" t="str">
        <f>Visit!M6</f>
        <v>Pass</v>
      </c>
    </row>
    <row r="55" spans="2:7" x14ac:dyDescent="0.25">
      <c r="B55" s="56" t="s">
        <v>1022</v>
      </c>
      <c r="C55" s="59" t="s">
        <v>429</v>
      </c>
      <c r="D55" s="59"/>
      <c r="E55" s="59"/>
      <c r="F55" s="59"/>
      <c r="G55" s="11" t="str">
        <f>Visit!M7</f>
        <v>Pass</v>
      </c>
    </row>
  </sheetData>
  <mergeCells count="46">
    <mergeCell ref="C55:F55"/>
    <mergeCell ref="B8:G8"/>
    <mergeCell ref="C47:F47"/>
    <mergeCell ref="C54:F54"/>
    <mergeCell ref="C46:F46"/>
    <mergeCell ref="C48:F48"/>
    <mergeCell ref="C21:F21"/>
    <mergeCell ref="C33:F33"/>
    <mergeCell ref="C44:F44"/>
    <mergeCell ref="C25:F25"/>
    <mergeCell ref="C15:F15"/>
    <mergeCell ref="C16:F16"/>
    <mergeCell ref="C22:F22"/>
    <mergeCell ref="C51:F51"/>
    <mergeCell ref="C52:F52"/>
    <mergeCell ref="C53:F53"/>
    <mergeCell ref="B1:G1"/>
    <mergeCell ref="C14:F14"/>
    <mergeCell ref="C45:F45"/>
    <mergeCell ref="C20:F20"/>
    <mergeCell ref="C32:F32"/>
    <mergeCell ref="C41:F41"/>
    <mergeCell ref="C43:F43"/>
    <mergeCell ref="C13:F13"/>
    <mergeCell ref="C40:F40"/>
    <mergeCell ref="C42:F42"/>
    <mergeCell ref="B12:G12"/>
    <mergeCell ref="C19:F19"/>
    <mergeCell ref="C31:F31"/>
    <mergeCell ref="C17:F17"/>
    <mergeCell ref="C18:F18"/>
    <mergeCell ref="C24:F24"/>
    <mergeCell ref="C23:F23"/>
    <mergeCell ref="C26:F26"/>
    <mergeCell ref="C27:F27"/>
    <mergeCell ref="C49:F49"/>
    <mergeCell ref="C50:F50"/>
    <mergeCell ref="C28:F28"/>
    <mergeCell ref="C29:F29"/>
    <mergeCell ref="C30:F30"/>
    <mergeCell ref="C34:F34"/>
    <mergeCell ref="C35:F35"/>
    <mergeCell ref="C36:F36"/>
    <mergeCell ref="C37:F37"/>
    <mergeCell ref="C38:F38"/>
    <mergeCell ref="C39:F39"/>
  </mergeCells>
  <conditionalFormatting sqref="F10 G14:G55">
    <cfRule type="cellIs" dxfId="253" priority="41" operator="equal">
      <formula>"Fail"</formula>
    </cfRule>
    <cfRule type="cellIs" dxfId="252" priority="42" operator="equal">
      <formula>"Pass"</formula>
    </cfRule>
  </conditionalFormatting>
  <conditionalFormatting sqref="F10 G14:G55">
    <cfRule type="cellIs" dxfId="251" priority="39" operator="equal">
      <formula>"Not Tested"</formula>
    </cfRule>
    <cfRule type="cellIs" dxfId="250" priority="40" operator="equal">
      <formula>"Partially Pass"</formula>
    </cfRule>
  </conditionalFormatting>
  <conditionalFormatting sqref="F10">
    <cfRule type="containsText" dxfId="249" priority="1" operator="containsText" text="Partially Pass">
      <formula>NOT(ISERROR(SEARCH("Partially Pass",F10)))</formula>
    </cfRule>
    <cfRule type="containsText" dxfId="248" priority="2" operator="containsText" text="Pass">
      <formula>NOT(ISERROR(SEARCH("Pass",F10)))</formula>
    </cfRule>
    <cfRule type="cellIs" dxfId="247" priority="25" operator="equal">
      <formula>"Not Tested"</formula>
    </cfRule>
    <cfRule type="cellIs" dxfId="246" priority="26" operator="equal">
      <formula>"Pending"</formula>
    </cfRule>
    <cfRule type="cellIs" dxfId="245" priority="27" operator="equal">
      <formula>"Ongoing"</formula>
    </cfRule>
    <cfRule type="cellIs" dxfId="244" priority="28" operator="equal">
      <formula>"Blocked"</formula>
    </cfRule>
    <cfRule type="cellIs" dxfId="243" priority="29" operator="equal">
      <formula>"Fail"</formula>
    </cfRule>
    <cfRule type="cellIs" dxfId="242" priority="30" operator="equal">
      <formula>"Partially Fail"</formula>
    </cfRule>
    <cfRule type="cellIs" dxfId="241" priority="31" operator="equal">
      <formula>"Pass"</formula>
    </cfRule>
  </conditionalFormatting>
  <conditionalFormatting sqref="F10">
    <cfRule type="cellIs" dxfId="240" priority="32" operator="equal">
      <formula>"Not Tested"</formula>
    </cfRule>
    <cfRule type="cellIs" dxfId="239" priority="33" operator="equal">
      <formula>"Pending"</formula>
    </cfRule>
    <cfRule type="cellIs" dxfId="238" priority="34" operator="equal">
      <formula>"Ongoing"</formula>
    </cfRule>
    <cfRule type="cellIs" dxfId="237" priority="35" operator="equal">
      <formula>"Blocked"</formula>
    </cfRule>
    <cfRule type="cellIs" dxfId="236" priority="36" operator="equal">
      <formula>"Fail"</formula>
    </cfRule>
    <cfRule type="cellIs" dxfId="235" priority="37" operator="equal">
      <formula>"Partially Pass"</formula>
    </cfRule>
    <cfRule type="cellIs" dxfId="234" priority="38" operator="equal">
      <formula>"Pass"</formula>
    </cfRule>
  </conditionalFormatting>
  <conditionalFormatting sqref="G55">
    <cfRule type="cellIs" dxfId="233" priority="5" operator="equal">
      <formula>"Fail"</formula>
    </cfRule>
    <cfRule type="cellIs" dxfId="232" priority="6" operator="equal">
      <formula>"Pass"</formula>
    </cfRule>
  </conditionalFormatting>
  <conditionalFormatting sqref="G55">
    <cfRule type="cellIs" dxfId="231" priority="3" operator="equal">
      <formula>"Not Tested"</formula>
    </cfRule>
    <cfRule type="cellIs" dxfId="230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showGridLines="0" workbookViewId="0">
      <pane ySplit="2" topLeftCell="A3" activePane="bottomLeft" state="frozen"/>
      <selection pane="bottomLeft" activeCell="F6" sqref="F6"/>
    </sheetView>
  </sheetViews>
  <sheetFormatPr defaultRowHeight="15" x14ac:dyDescent="0.25"/>
  <cols>
    <col min="1" max="1" width="3.28515625" customWidth="1"/>
    <col min="2" max="2" width="25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1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6" max="16" width="33.42578125" bestFit="1" customWidth="1"/>
  </cols>
  <sheetData>
    <row r="1" spans="2:13" x14ac:dyDescent="0.25">
      <c r="B1" s="61" t="s">
        <v>391</v>
      </c>
      <c r="C1" s="61"/>
      <c r="D1" s="61" t="s">
        <v>357</v>
      </c>
      <c r="E1" s="61"/>
      <c r="F1" s="62" t="s">
        <v>375</v>
      </c>
      <c r="G1" s="62" t="s">
        <v>360</v>
      </c>
      <c r="M1" s="26" t="s">
        <v>413</v>
      </c>
    </row>
    <row r="2" spans="2:13" x14ac:dyDescent="0.25">
      <c r="B2" s="15" t="s">
        <v>358</v>
      </c>
      <c r="C2" s="15" t="s">
        <v>359</v>
      </c>
      <c r="D2" s="15" t="s">
        <v>358</v>
      </c>
      <c r="E2" s="15" t="s">
        <v>359</v>
      </c>
      <c r="F2" s="62"/>
      <c r="G2" s="62"/>
      <c r="K2" s="24" t="s">
        <v>430</v>
      </c>
      <c r="L2" s="11" t="str">
        <f>IF(ISERROR(VLOOKUP($M$1,$G$2:$G$12,1,)),"Pass","Fail")</f>
        <v>Fail</v>
      </c>
    </row>
    <row r="3" spans="2:13" x14ac:dyDescent="0.25">
      <c r="B3" s="52" t="s">
        <v>502</v>
      </c>
      <c r="C3" s="58" t="s">
        <v>504</v>
      </c>
      <c r="D3" s="52" t="s">
        <v>502</v>
      </c>
      <c r="E3" s="58" t="s">
        <v>536</v>
      </c>
      <c r="F3" s="2">
        <f>IF(I3=0,0%,(I3-H3)/I3)</f>
        <v>0.13870246085011179</v>
      </c>
      <c r="G3" s="11" t="str">
        <f>IF(AND(F3&lt;=10%,F3&gt;=-10%),"Pass","Fail")</f>
        <v>Fail</v>
      </c>
      <c r="H3" s="63" t="str">
        <f>LEFT(C3, SEARCH(" ", C3, 1))</f>
        <v xml:space="preserve">7.70 </v>
      </c>
      <c r="I3" s="1" t="str">
        <f>LEFT(E3, SEARCH(" ", E3, 1))</f>
        <v xml:space="preserve">8.94 </v>
      </c>
    </row>
    <row r="4" spans="2:13" x14ac:dyDescent="0.25">
      <c r="B4" s="58" t="s">
        <v>490</v>
      </c>
      <c r="C4" s="58" t="s">
        <v>505</v>
      </c>
      <c r="D4" s="58" t="s">
        <v>490</v>
      </c>
      <c r="E4" s="58" t="s">
        <v>537</v>
      </c>
      <c r="F4" s="2">
        <f t="shared" ref="F4:F19" si="0">IF(I4=0,0%,(I4-H4)/I4)</f>
        <v>3.5714285714285615E-2</v>
      </c>
      <c r="G4" s="11" t="str">
        <f t="shared" ref="G4:G19" si="1">IF(AND(F4&lt;=10%,F4&gt;=-10%),"Pass","Fail")</f>
        <v>Pass</v>
      </c>
      <c r="H4" s="63" t="str">
        <f t="shared" ref="H4:H19" si="2">LEFT(C4, SEARCH(" ", C4, 1))</f>
        <v xml:space="preserve">3.24 </v>
      </c>
      <c r="I4" s="58" t="str">
        <f t="shared" ref="I4:I19" si="3">LEFT(E4, SEARCH(" ", E4, 1))</f>
        <v xml:space="preserve">3.36 </v>
      </c>
    </row>
    <row r="5" spans="2:13" x14ac:dyDescent="0.25">
      <c r="B5" s="58" t="s">
        <v>73</v>
      </c>
      <c r="C5" s="58" t="s">
        <v>506</v>
      </c>
      <c r="D5" s="58" t="s">
        <v>73</v>
      </c>
      <c r="E5" s="58" t="s">
        <v>538</v>
      </c>
      <c r="F5" s="2">
        <f t="shared" si="0"/>
        <v>3.6085063630274632E-2</v>
      </c>
      <c r="G5" s="11" t="str">
        <f t="shared" si="1"/>
        <v>Pass</v>
      </c>
      <c r="H5" s="63" t="str">
        <f t="shared" si="2"/>
        <v xml:space="preserve">115.13 </v>
      </c>
      <c r="I5" s="58" t="str">
        <f t="shared" si="3"/>
        <v xml:space="preserve">119.44 </v>
      </c>
    </row>
    <row r="6" spans="2:13" x14ac:dyDescent="0.25">
      <c r="B6" s="58" t="s">
        <v>533</v>
      </c>
      <c r="C6" s="58"/>
      <c r="D6" s="58" t="s">
        <v>1023</v>
      </c>
      <c r="E6" s="58" t="s">
        <v>539</v>
      </c>
      <c r="F6" s="2" t="e">
        <f t="shared" si="0"/>
        <v>#VALUE!</v>
      </c>
      <c r="G6" s="11" t="e">
        <f t="shared" si="1"/>
        <v>#VALUE!</v>
      </c>
      <c r="H6" s="63" t="e">
        <f t="shared" si="2"/>
        <v>#VALUE!</v>
      </c>
      <c r="I6" s="58" t="str">
        <f t="shared" si="3"/>
        <v xml:space="preserve">56.52 </v>
      </c>
    </row>
    <row r="7" spans="2:13" x14ac:dyDescent="0.25">
      <c r="B7" s="58" t="s">
        <v>491</v>
      </c>
      <c r="C7" s="58" t="s">
        <v>529</v>
      </c>
      <c r="D7" s="58" t="s">
        <v>491</v>
      </c>
      <c r="E7" s="58" t="s">
        <v>540</v>
      </c>
      <c r="F7" s="2">
        <f t="shared" si="0"/>
        <v>1.9230769230769246E-2</v>
      </c>
      <c r="G7" s="11" t="str">
        <f t="shared" si="1"/>
        <v>Pass</v>
      </c>
      <c r="H7" s="63" t="str">
        <f t="shared" si="2"/>
        <v xml:space="preserve">1.53 </v>
      </c>
      <c r="I7" s="58" t="str">
        <f t="shared" si="3"/>
        <v xml:space="preserve">1.56 </v>
      </c>
    </row>
    <row r="8" spans="2:13" x14ac:dyDescent="0.25">
      <c r="B8" s="58" t="s">
        <v>503</v>
      </c>
      <c r="C8" s="58" t="s">
        <v>530</v>
      </c>
      <c r="D8" s="58" t="s">
        <v>503</v>
      </c>
      <c r="E8" s="58" t="s">
        <v>541</v>
      </c>
      <c r="F8" s="2">
        <f t="shared" si="0"/>
        <v>2.6586620926243611E-2</v>
      </c>
      <c r="G8" s="11" t="str">
        <f t="shared" si="1"/>
        <v>Pass</v>
      </c>
      <c r="H8" s="63" t="str">
        <f t="shared" si="2"/>
        <v xml:space="preserve">22.70 </v>
      </c>
      <c r="I8" s="58" t="str">
        <f t="shared" si="3"/>
        <v xml:space="preserve">23.32 </v>
      </c>
    </row>
    <row r="9" spans="2:13" x14ac:dyDescent="0.25">
      <c r="B9" s="58" t="s">
        <v>1024</v>
      </c>
      <c r="C9" s="58"/>
      <c r="D9" s="58" t="s">
        <v>1024</v>
      </c>
      <c r="E9" s="58" t="s">
        <v>1025</v>
      </c>
      <c r="F9" s="2" t="e">
        <f t="shared" si="0"/>
        <v>#VALUE!</v>
      </c>
      <c r="G9" s="11" t="e">
        <f t="shared" si="1"/>
        <v>#VALUE!</v>
      </c>
      <c r="H9" s="63" t="e">
        <f t="shared" si="2"/>
        <v>#VALUE!</v>
      </c>
      <c r="I9" s="58" t="str">
        <f t="shared" si="3"/>
        <v xml:space="preserve">30.16 </v>
      </c>
    </row>
    <row r="10" spans="2:13" x14ac:dyDescent="0.25">
      <c r="B10" s="58" t="s">
        <v>74</v>
      </c>
      <c r="C10" s="58" t="s">
        <v>531</v>
      </c>
      <c r="D10" s="58" t="s">
        <v>74</v>
      </c>
      <c r="E10" s="58" t="s">
        <v>542</v>
      </c>
      <c r="F10" s="2">
        <f t="shared" si="0"/>
        <v>1.709401709401711E-2</v>
      </c>
      <c r="G10" s="11" t="str">
        <f t="shared" si="1"/>
        <v>Pass</v>
      </c>
      <c r="H10" s="63" t="str">
        <f t="shared" si="2"/>
        <v xml:space="preserve">1.15 </v>
      </c>
      <c r="I10" s="58" t="str">
        <f t="shared" si="3"/>
        <v xml:space="preserve">1.17 </v>
      </c>
    </row>
    <row r="11" spans="2:13" x14ac:dyDescent="0.25">
      <c r="B11" s="58" t="s">
        <v>1026</v>
      </c>
      <c r="C11" s="58"/>
      <c r="D11" s="58" t="s">
        <v>1026</v>
      </c>
      <c r="E11" s="58" t="s">
        <v>1027</v>
      </c>
      <c r="F11" s="2" t="e">
        <f t="shared" si="0"/>
        <v>#VALUE!</v>
      </c>
      <c r="G11" s="11" t="e">
        <f t="shared" si="1"/>
        <v>#VALUE!</v>
      </c>
      <c r="H11" s="63" t="e">
        <f t="shared" si="2"/>
        <v>#VALUE!</v>
      </c>
      <c r="I11" s="58" t="str">
        <f t="shared" si="3"/>
        <v xml:space="preserve">9.34 </v>
      </c>
    </row>
    <row r="12" spans="2:13" x14ac:dyDescent="0.25">
      <c r="B12" s="58" t="s">
        <v>1028</v>
      </c>
      <c r="C12" s="58"/>
      <c r="D12" s="58" t="s">
        <v>1028</v>
      </c>
      <c r="E12" s="58" t="s">
        <v>1029</v>
      </c>
      <c r="F12" s="2" t="e">
        <f t="shared" si="0"/>
        <v>#VALUE!</v>
      </c>
      <c r="G12" s="11" t="e">
        <f t="shared" si="1"/>
        <v>#VALUE!</v>
      </c>
      <c r="H12" s="63" t="e">
        <f t="shared" si="2"/>
        <v>#VALUE!</v>
      </c>
      <c r="I12" s="58" t="str">
        <f t="shared" si="3"/>
        <v xml:space="preserve">158.06 </v>
      </c>
    </row>
    <row r="13" spans="2:13" x14ac:dyDescent="0.25">
      <c r="B13" s="58" t="s">
        <v>75</v>
      </c>
      <c r="C13" s="58" t="s">
        <v>532</v>
      </c>
      <c r="D13" s="58" t="s">
        <v>75</v>
      </c>
      <c r="E13" s="58" t="s">
        <v>543</v>
      </c>
      <c r="F13" s="2">
        <f t="shared" si="0"/>
        <v>1.2654127481713703E-2</v>
      </c>
      <c r="G13" s="11" t="str">
        <f t="shared" si="1"/>
        <v>Pass</v>
      </c>
      <c r="H13" s="63" t="str">
        <f t="shared" si="2"/>
        <v xml:space="preserve">944.89 </v>
      </c>
      <c r="I13" s="58" t="str">
        <f t="shared" si="3"/>
        <v xml:space="preserve">957 </v>
      </c>
    </row>
    <row r="14" spans="2:13" x14ac:dyDescent="0.25">
      <c r="B14" s="58" t="s">
        <v>76</v>
      </c>
      <c r="C14" s="58" t="s">
        <v>507</v>
      </c>
      <c r="D14" s="58" t="s">
        <v>76</v>
      </c>
      <c r="E14" s="58" t="s">
        <v>544</v>
      </c>
      <c r="F14" s="2">
        <f t="shared" si="0"/>
        <v>6.7826219049065717E-2</v>
      </c>
      <c r="G14" s="11" t="str">
        <f t="shared" si="1"/>
        <v>Pass</v>
      </c>
      <c r="H14" s="63" t="str">
        <f t="shared" si="2"/>
        <v xml:space="preserve">122.73 </v>
      </c>
      <c r="I14" s="58" t="str">
        <f t="shared" si="3"/>
        <v xml:space="preserve">131.66 </v>
      </c>
      <c r="M14" s="28"/>
    </row>
    <row r="15" spans="2:13" x14ac:dyDescent="0.25">
      <c r="B15" s="58" t="s">
        <v>77</v>
      </c>
      <c r="C15" s="58" t="s">
        <v>508</v>
      </c>
      <c r="D15" s="58" t="s">
        <v>77</v>
      </c>
      <c r="E15" s="58" t="s">
        <v>545</v>
      </c>
      <c r="F15" s="2">
        <f t="shared" si="0"/>
        <v>1.1701857033833651E-2</v>
      </c>
      <c r="G15" s="11" t="str">
        <f t="shared" si="1"/>
        <v>Pass</v>
      </c>
      <c r="H15" s="63" t="str">
        <f t="shared" si="2"/>
        <v xml:space="preserve">38.85 </v>
      </c>
      <c r="I15" s="58" t="str">
        <f t="shared" si="3"/>
        <v xml:space="preserve">39.31 </v>
      </c>
      <c r="M15" s="28"/>
    </row>
    <row r="16" spans="2:13" x14ac:dyDescent="0.25">
      <c r="B16" s="58" t="s">
        <v>78</v>
      </c>
      <c r="C16" s="58" t="s">
        <v>1030</v>
      </c>
      <c r="D16" s="58" t="s">
        <v>78</v>
      </c>
      <c r="E16" s="58" t="s">
        <v>1030</v>
      </c>
      <c r="F16" s="2">
        <f t="shared" si="0"/>
        <v>0</v>
      </c>
      <c r="G16" s="11" t="str">
        <f t="shared" si="1"/>
        <v>Pass</v>
      </c>
      <c r="H16" s="63" t="str">
        <f t="shared" si="2"/>
        <v xml:space="preserve">1.41 </v>
      </c>
      <c r="I16" s="58" t="str">
        <f t="shared" si="3"/>
        <v xml:space="preserve">1.41 </v>
      </c>
      <c r="M16" s="28"/>
    </row>
    <row r="17" spans="2:13" x14ac:dyDescent="0.25">
      <c r="B17" s="58" t="s">
        <v>534</v>
      </c>
      <c r="C17" s="58"/>
      <c r="D17" s="58" t="s">
        <v>534</v>
      </c>
      <c r="E17" s="58" t="s">
        <v>546</v>
      </c>
      <c r="F17" s="2" t="e">
        <f t="shared" si="0"/>
        <v>#VALUE!</v>
      </c>
      <c r="G17" s="11" t="e">
        <f t="shared" si="1"/>
        <v>#VALUE!</v>
      </c>
      <c r="H17" s="63" t="e">
        <f t="shared" si="2"/>
        <v>#VALUE!</v>
      </c>
      <c r="I17" s="58" t="str">
        <f t="shared" si="3"/>
        <v xml:space="preserve">39.14 </v>
      </c>
      <c r="M17" s="28"/>
    </row>
    <row r="18" spans="2:13" x14ac:dyDescent="0.25">
      <c r="B18" s="58" t="s">
        <v>535</v>
      </c>
      <c r="C18" s="58"/>
      <c r="D18" s="58" t="s">
        <v>535</v>
      </c>
      <c r="E18" s="58" t="s">
        <v>547</v>
      </c>
      <c r="F18" s="2" t="e">
        <f>IF(I18=0,0%,(I18-H18)/I18)</f>
        <v>#VALUE!</v>
      </c>
      <c r="G18" s="11" t="e">
        <f t="shared" si="1"/>
        <v>#VALUE!</v>
      </c>
      <c r="H18" s="63" t="e">
        <f>LEFT(C18, SEARCH(" ", C18, 1))</f>
        <v>#VALUE!</v>
      </c>
      <c r="I18" s="58" t="str">
        <f>LEFT(E18, SEARCH(" ", E18, 1))</f>
        <v xml:space="preserve">78.36 </v>
      </c>
      <c r="M18" s="28"/>
    </row>
    <row r="19" spans="2:13" x14ac:dyDescent="0.25">
      <c r="B19" s="58" t="s">
        <v>79</v>
      </c>
      <c r="C19" s="58" t="s">
        <v>509</v>
      </c>
      <c r="D19" s="58" t="s">
        <v>79</v>
      </c>
      <c r="E19" s="58" t="s">
        <v>548</v>
      </c>
      <c r="F19" s="2">
        <f t="shared" si="0"/>
        <v>1.7998560115190784E-2</v>
      </c>
      <c r="G19" s="11" t="str">
        <f t="shared" si="1"/>
        <v>Pass</v>
      </c>
      <c r="H19" s="63" t="str">
        <f t="shared" si="2"/>
        <v xml:space="preserve">13.64 </v>
      </c>
      <c r="I19" s="58" t="str">
        <f t="shared" si="3"/>
        <v xml:space="preserve">13.89 </v>
      </c>
      <c r="M19" s="28"/>
    </row>
    <row r="20" spans="2:13" x14ac:dyDescent="0.25">
      <c r="K20" s="28"/>
    </row>
    <row r="21" spans="2:13" x14ac:dyDescent="0.25">
      <c r="E21" s="28"/>
    </row>
    <row r="25" spans="2:13" x14ac:dyDescent="0.25">
      <c r="B25" s="28"/>
    </row>
    <row r="26" spans="2:13" x14ac:dyDescent="0.25">
      <c r="B26" s="28"/>
    </row>
    <row r="27" spans="2:13" x14ac:dyDescent="0.25">
      <c r="B27" s="28"/>
    </row>
    <row r="28" spans="2:13" x14ac:dyDescent="0.25">
      <c r="B28" s="28"/>
    </row>
    <row r="29" spans="2:13" x14ac:dyDescent="0.25">
      <c r="B29" s="28"/>
    </row>
    <row r="30" spans="2:13" x14ac:dyDescent="0.25">
      <c r="B30" s="28"/>
    </row>
    <row r="31" spans="2:13" x14ac:dyDescent="0.25">
      <c r="B31" s="28"/>
    </row>
  </sheetData>
  <mergeCells count="4">
    <mergeCell ref="B1:C1"/>
    <mergeCell ref="D1:E1"/>
    <mergeCell ref="G1:G2"/>
    <mergeCell ref="F1:F2"/>
  </mergeCells>
  <conditionalFormatting sqref="G3:G19">
    <cfRule type="cellIs" dxfId="229" priority="5" operator="equal">
      <formula>"Fail"</formula>
    </cfRule>
    <cfRule type="cellIs" dxfId="228" priority="6" operator="equal">
      <formula>"Pass"</formula>
    </cfRule>
  </conditionalFormatting>
  <conditionalFormatting sqref="L2">
    <cfRule type="cellIs" dxfId="227" priority="3" operator="equal">
      <formula>"Fail"</formula>
    </cfRule>
    <cfRule type="cellIs" dxfId="226" priority="4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9"/>
  <sheetViews>
    <sheetView showGridLines="0" workbookViewId="0"/>
  </sheetViews>
  <sheetFormatPr defaultRowHeight="15" x14ac:dyDescent="0.25"/>
  <cols>
    <col min="1" max="1" width="5.7109375" customWidth="1"/>
    <col min="2" max="2" width="19.28515625" bestFit="1" customWidth="1"/>
    <col min="3" max="3" width="11.42578125" customWidth="1"/>
    <col min="4" max="4" width="14.28515625" customWidth="1"/>
    <col min="5" max="6" width="15.42578125" customWidth="1"/>
    <col min="7" max="7" width="14" customWidth="1"/>
    <col min="8" max="8" width="14.28515625" customWidth="1"/>
    <col min="9" max="10" width="0" hidden="1" customWidth="1"/>
    <col min="12" max="12" width="20.7109375" customWidth="1"/>
    <col min="13" max="13" width="18.5703125" customWidth="1"/>
  </cols>
  <sheetData>
    <row r="1" spans="2:14" ht="19.5" customHeight="1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</row>
    <row r="2" spans="2:14" x14ac:dyDescent="0.25">
      <c r="B2" s="50" t="s">
        <v>83</v>
      </c>
      <c r="C2" s="50" t="s">
        <v>398</v>
      </c>
      <c r="D2" s="11"/>
      <c r="E2" s="50" t="s">
        <v>83</v>
      </c>
      <c r="F2" s="11"/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42532</v>
      </c>
      <c r="M2" s="19">
        <v>36646</v>
      </c>
      <c r="N2" s="22">
        <f>L2-M2</f>
        <v>5886</v>
      </c>
    </row>
    <row r="3" spans="2:14" x14ac:dyDescent="0.25">
      <c r="B3" s="50" t="s">
        <v>71</v>
      </c>
      <c r="C3" s="50" t="s">
        <v>399</v>
      </c>
      <c r="D3" s="11">
        <v>50</v>
      </c>
      <c r="E3" s="50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4" x14ac:dyDescent="0.25">
      <c r="B4" s="50" t="s">
        <v>0</v>
      </c>
      <c r="C4" s="50" t="s">
        <v>399</v>
      </c>
      <c r="D4" s="11">
        <v>50</v>
      </c>
      <c r="E4" s="50" t="s">
        <v>0</v>
      </c>
      <c r="F4" s="11">
        <v>32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1" t="s">
        <v>401</v>
      </c>
    </row>
    <row r="5" spans="2:14" x14ac:dyDescent="0.25">
      <c r="B5" s="50" t="s">
        <v>510</v>
      </c>
      <c r="C5" s="50" t="s">
        <v>399</v>
      </c>
      <c r="D5" s="11">
        <v>50</v>
      </c>
      <c r="E5" s="50" t="s">
        <v>510</v>
      </c>
      <c r="F5" s="11">
        <v>15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4" x14ac:dyDescent="0.25">
      <c r="B6" s="50" t="s">
        <v>511</v>
      </c>
      <c r="C6" s="50" t="s">
        <v>399</v>
      </c>
      <c r="D6" s="11">
        <v>20</v>
      </c>
      <c r="E6" s="50" t="s">
        <v>511</v>
      </c>
      <c r="F6" s="11">
        <v>17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4" x14ac:dyDescent="0.25">
      <c r="B7" s="50" t="s">
        <v>512</v>
      </c>
      <c r="C7" s="50" t="s">
        <v>399</v>
      </c>
      <c r="D7" s="11">
        <v>10</v>
      </c>
      <c r="E7" s="50" t="s">
        <v>512</v>
      </c>
      <c r="F7" s="11">
        <v>1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0.16061780276155652</v>
      </c>
    </row>
    <row r="8" spans="2:14" x14ac:dyDescent="0.25">
      <c r="B8" s="50" t="s">
        <v>8</v>
      </c>
      <c r="C8" s="50" t="s">
        <v>400</v>
      </c>
      <c r="D8" s="11"/>
      <c r="E8" s="50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0.13870246085011179</v>
      </c>
    </row>
    <row r="9" spans="2:14" x14ac:dyDescent="0.25">
      <c r="B9" s="50" t="s">
        <v>7</v>
      </c>
      <c r="C9" s="50" t="s">
        <v>399</v>
      </c>
      <c r="D9" s="11">
        <v>10</v>
      </c>
      <c r="E9" s="50" t="s">
        <v>7</v>
      </c>
      <c r="F9" s="11">
        <v>7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4" x14ac:dyDescent="0.25">
      <c r="B10" s="50" t="s">
        <v>513</v>
      </c>
      <c r="C10" s="50" t="s">
        <v>399</v>
      </c>
      <c r="D10" s="11">
        <v>10</v>
      </c>
      <c r="E10" s="50" t="s">
        <v>513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4" x14ac:dyDescent="0.25">
      <c r="B11" s="50" t="s">
        <v>514</v>
      </c>
      <c r="C11" s="50" t="s">
        <v>399</v>
      </c>
      <c r="D11" s="11">
        <v>50</v>
      </c>
      <c r="E11" s="50" t="s">
        <v>514</v>
      </c>
      <c r="F11" s="11">
        <v>42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4" x14ac:dyDescent="0.25">
      <c r="B12" s="50" t="s">
        <v>515</v>
      </c>
      <c r="C12" s="50" t="s">
        <v>399</v>
      </c>
      <c r="D12" s="53">
        <v>65</v>
      </c>
      <c r="E12" s="50" t="s">
        <v>515</v>
      </c>
      <c r="F12" s="11">
        <v>65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4" x14ac:dyDescent="0.25">
      <c r="B13" s="50" t="s">
        <v>516</v>
      </c>
      <c r="C13" s="50" t="s">
        <v>399</v>
      </c>
      <c r="D13" s="11">
        <v>3</v>
      </c>
      <c r="E13" s="50" t="s">
        <v>516</v>
      </c>
      <c r="F13" s="11">
        <v>3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4" x14ac:dyDescent="0.25">
      <c r="B14" s="50" t="s">
        <v>517</v>
      </c>
      <c r="C14" s="50" t="s">
        <v>399</v>
      </c>
      <c r="D14" s="11">
        <v>3</v>
      </c>
      <c r="E14" s="50" t="s">
        <v>517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4" x14ac:dyDescent="0.25">
      <c r="B15" s="50" t="s">
        <v>518</v>
      </c>
      <c r="C15" s="50" t="s">
        <v>400</v>
      </c>
      <c r="D15" s="11"/>
      <c r="E15" s="50" t="s">
        <v>518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4" x14ac:dyDescent="0.25">
      <c r="B16" s="50" t="s">
        <v>519</v>
      </c>
      <c r="C16" s="50" t="s">
        <v>399</v>
      </c>
      <c r="D16" s="11">
        <v>50</v>
      </c>
      <c r="E16" s="50" t="s">
        <v>519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 x14ac:dyDescent="0.25">
      <c r="B17" s="50" t="s">
        <v>520</v>
      </c>
      <c r="C17" s="50" t="s">
        <v>399</v>
      </c>
      <c r="D17" s="11">
        <v>94</v>
      </c>
      <c r="E17" s="50" t="s">
        <v>520</v>
      </c>
      <c r="F17" s="11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 x14ac:dyDescent="0.25">
      <c r="B18" s="50" t="s">
        <v>521</v>
      </c>
      <c r="C18" s="50" t="s">
        <v>399</v>
      </c>
      <c r="D18" s="11">
        <v>50</v>
      </c>
      <c r="E18" s="50" t="s">
        <v>521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 x14ac:dyDescent="0.25">
      <c r="B19" s="50" t="s">
        <v>522</v>
      </c>
      <c r="C19" s="50" t="s">
        <v>399</v>
      </c>
      <c r="D19" s="11">
        <v>50</v>
      </c>
      <c r="E19" s="50" t="s">
        <v>522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225" priority="7" operator="equal">
      <formula>"Fail"</formula>
    </cfRule>
    <cfRule type="cellIs" dxfId="224" priority="8" operator="equal">
      <formula>"Pass"</formula>
    </cfRule>
  </conditionalFormatting>
  <conditionalFormatting sqref="G2:H19">
    <cfRule type="cellIs" dxfId="223" priority="5" operator="equal">
      <formula>"Fail"</formula>
    </cfRule>
    <cfRule type="cellIs" dxfId="222" priority="6" operator="equal">
      <formula>"Pass"</formula>
    </cfRule>
  </conditionalFormatting>
  <conditionalFormatting sqref="M5:M6">
    <cfRule type="cellIs" dxfId="221" priority="3" operator="equal">
      <formula>"Fail"</formula>
    </cfRule>
    <cfRule type="cellIs" dxfId="220" priority="4" operator="equal">
      <formula>"Pass"</formula>
    </cfRule>
  </conditionalFormatting>
  <conditionalFormatting sqref="M5:M6">
    <cfRule type="cellIs" dxfId="219" priority="1" operator="equal">
      <formula>"Fail"</formula>
    </cfRule>
    <cfRule type="cellIs" dxfId="218" priority="2" operator="equal">
      <formula>"Pass"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4" t="s">
        <v>83</v>
      </c>
      <c r="C2" s="44" t="s">
        <v>399</v>
      </c>
      <c r="D2" s="11"/>
      <c r="E2" s="44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13235</v>
      </c>
      <c r="M2" s="19">
        <v>12801</v>
      </c>
      <c r="N2" s="22">
        <f>L2-M2</f>
        <v>434</v>
      </c>
    </row>
    <row r="3" spans="2:15" x14ac:dyDescent="0.2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2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 x14ac:dyDescent="0.2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 x14ac:dyDescent="0.2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 x14ac:dyDescent="0.25">
      <c r="B6" s="44" t="s">
        <v>0</v>
      </c>
      <c r="C6" s="44" t="s">
        <v>399</v>
      </c>
      <c r="D6" s="53">
        <v>32</v>
      </c>
      <c r="E6" s="44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 x14ac:dyDescent="0.25">
      <c r="B7" s="44" t="s">
        <v>2</v>
      </c>
      <c r="C7" s="44" t="s">
        <v>399</v>
      </c>
      <c r="D7" s="53">
        <v>22</v>
      </c>
      <c r="E7" s="44" t="s">
        <v>2</v>
      </c>
      <c r="F7" s="11">
        <v>22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3.3903601281149907E-2</v>
      </c>
    </row>
    <row r="8" spans="2:15" x14ac:dyDescent="0.25">
      <c r="B8" s="44" t="s">
        <v>3</v>
      </c>
      <c r="C8" s="44" t="s">
        <v>399</v>
      </c>
      <c r="D8" s="11">
        <v>100</v>
      </c>
      <c r="E8" s="44" t="s">
        <v>3</v>
      </c>
      <c r="F8" s="11">
        <v>15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3.5714285714285615E-2</v>
      </c>
    </row>
    <row r="9" spans="2:15" x14ac:dyDescent="0.25">
      <c r="B9" s="44" t="s">
        <v>4</v>
      </c>
      <c r="C9" s="44" t="s">
        <v>399</v>
      </c>
      <c r="D9" s="11">
        <v>100</v>
      </c>
      <c r="E9" s="44" t="s">
        <v>4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 x14ac:dyDescent="0.25">
      <c r="B10" s="44" t="s">
        <v>5</v>
      </c>
      <c r="C10" s="44" t="s">
        <v>400</v>
      </c>
      <c r="D10" s="11">
        <v>100</v>
      </c>
      <c r="E10" s="44" t="s">
        <v>5</v>
      </c>
      <c r="F10" s="11">
        <v>26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 x14ac:dyDescent="0.2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 x14ac:dyDescent="0.2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 x14ac:dyDescent="0.25">
      <c r="B13" s="44" t="s">
        <v>8</v>
      </c>
      <c r="C13" s="44" t="s">
        <v>399</v>
      </c>
      <c r="D13" s="11" t="s">
        <v>476</v>
      </c>
      <c r="E13" s="44" t="s">
        <v>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 x14ac:dyDescent="0.25">
      <c r="B14" s="44" t="s">
        <v>9</v>
      </c>
      <c r="C14" s="44" t="s">
        <v>399</v>
      </c>
      <c r="D14" s="11">
        <v>100</v>
      </c>
      <c r="E14" s="44" t="s">
        <v>9</v>
      </c>
      <c r="F14" s="11">
        <v>30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 x14ac:dyDescent="0.25">
      <c r="B15" s="44" t="s">
        <v>10</v>
      </c>
      <c r="C15" s="44" t="s">
        <v>399</v>
      </c>
      <c r="D15" s="11">
        <v>100</v>
      </c>
      <c r="E15" s="44" t="s">
        <v>10</v>
      </c>
      <c r="F15" s="11">
        <v>22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 x14ac:dyDescent="0.25">
      <c r="B16" s="44" t="s">
        <v>11</v>
      </c>
      <c r="C16" s="44" t="s">
        <v>399</v>
      </c>
      <c r="D16" s="11">
        <v>100</v>
      </c>
      <c r="E16" s="44" t="s">
        <v>11</v>
      </c>
      <c r="F16" s="11">
        <v>19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 x14ac:dyDescent="0.25">
      <c r="B17" s="44" t="s">
        <v>12</v>
      </c>
      <c r="C17" s="44" t="s">
        <v>399</v>
      </c>
      <c r="D17" s="11">
        <v>100</v>
      </c>
      <c r="E17" s="44" t="s">
        <v>12</v>
      </c>
      <c r="F17" s="11">
        <v>5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 x14ac:dyDescent="0.25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 x14ac:dyDescent="0.25">
      <c r="B19" s="44" t="s">
        <v>14</v>
      </c>
      <c r="C19" s="44" t="s">
        <v>399</v>
      </c>
      <c r="D19" s="11">
        <v>100</v>
      </c>
      <c r="E19" s="44" t="s">
        <v>14</v>
      </c>
      <c r="F19" s="11">
        <v>9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 x14ac:dyDescent="0.25">
      <c r="B20" s="44" t="s">
        <v>15</v>
      </c>
      <c r="C20" s="44" t="s">
        <v>399</v>
      </c>
      <c r="D20" s="11">
        <v>100</v>
      </c>
      <c r="E20" s="44" t="s">
        <v>15</v>
      </c>
      <c r="F20" s="11">
        <v>12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 x14ac:dyDescent="0.25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 x14ac:dyDescent="0.25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 x14ac:dyDescent="0.25">
      <c r="B23" s="44" t="s">
        <v>18</v>
      </c>
      <c r="C23" s="44" t="s">
        <v>399</v>
      </c>
      <c r="D23" s="11">
        <v>10</v>
      </c>
      <c r="E23" s="44" t="s">
        <v>18</v>
      </c>
      <c r="F23" s="11">
        <v>3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 x14ac:dyDescent="0.25">
      <c r="B24" s="44" t="s">
        <v>19</v>
      </c>
      <c r="C24" s="44" t="s">
        <v>399</v>
      </c>
      <c r="D24" s="11">
        <v>50</v>
      </c>
      <c r="E24" s="44" t="s">
        <v>19</v>
      </c>
      <c r="F24" s="11">
        <v>42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 x14ac:dyDescent="0.25">
      <c r="B25" s="44" t="s">
        <v>86</v>
      </c>
      <c r="C25" s="44" t="s">
        <v>399</v>
      </c>
      <c r="D25" s="11">
        <v>100</v>
      </c>
      <c r="E25" s="44" t="s">
        <v>86</v>
      </c>
      <c r="F25" s="11">
        <v>85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 x14ac:dyDescent="0.25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 x14ac:dyDescent="0.25">
      <c r="B27" s="44" t="s">
        <v>88</v>
      </c>
      <c r="C27" s="44" t="s">
        <v>399</v>
      </c>
      <c r="D27" s="11">
        <v>100</v>
      </c>
      <c r="E27" s="44" t="s">
        <v>88</v>
      </c>
      <c r="F27" s="11">
        <v>10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217" priority="7" operator="equal">
      <formula>"Fail"</formula>
    </cfRule>
    <cfRule type="cellIs" dxfId="216" priority="8" operator="equal">
      <formula>"Pass"</formula>
    </cfRule>
  </conditionalFormatting>
  <conditionalFormatting sqref="M5:M6">
    <cfRule type="cellIs" dxfId="215" priority="1" operator="equal">
      <formula>"Fail"</formula>
    </cfRule>
    <cfRule type="cellIs" dxfId="214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O94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0</v>
      </c>
      <c r="C2" s="17" t="s">
        <v>399</v>
      </c>
      <c r="D2" s="53">
        <v>32</v>
      </c>
      <c r="E2" s="1" t="s">
        <v>0</v>
      </c>
      <c r="F2" s="11">
        <v>32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216132</v>
      </c>
      <c r="M2" s="19">
        <v>216132</v>
      </c>
      <c r="N2" s="22">
        <f>L2-M2</f>
        <v>0</v>
      </c>
    </row>
    <row r="3" spans="2:15" x14ac:dyDescent="0.25">
      <c r="B3" s="1" t="s">
        <v>1</v>
      </c>
      <c r="C3" s="17" t="s">
        <v>399</v>
      </c>
      <c r="D3" s="11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207601</v>
      </c>
      <c r="N3" s="22">
        <f>L2-M3</f>
        <v>8531</v>
      </c>
    </row>
    <row r="4" spans="2:15" x14ac:dyDescent="0.25">
      <c r="B4" s="1" t="s">
        <v>2</v>
      </c>
      <c r="C4" s="17" t="s">
        <v>399</v>
      </c>
      <c r="D4" s="53">
        <v>22</v>
      </c>
      <c r="E4" s="1" t="s">
        <v>2</v>
      </c>
      <c r="F4" s="11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</row>
    <row r="5" spans="2:15" x14ac:dyDescent="0.25">
      <c r="B5" s="1" t="s">
        <v>3</v>
      </c>
      <c r="C5" s="17" t="s">
        <v>399</v>
      </c>
      <c r="D5" s="11">
        <v>30</v>
      </c>
      <c r="E5" s="1" t="s">
        <v>3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 x14ac:dyDescent="0.25">
      <c r="B6" s="1" t="s">
        <v>4</v>
      </c>
      <c r="C6" s="17" t="s">
        <v>399</v>
      </c>
      <c r="D6" s="11">
        <v>30</v>
      </c>
      <c r="E6" s="1" t="s">
        <v>4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 x14ac:dyDescent="0.25">
      <c r="B7" s="1" t="s">
        <v>5</v>
      </c>
      <c r="C7" s="17" t="s">
        <v>399</v>
      </c>
      <c r="D7" s="11">
        <v>30</v>
      </c>
      <c r="E7" s="1" t="s">
        <v>5</v>
      </c>
      <c r="F7" s="11">
        <v>26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 x14ac:dyDescent="0.25">
      <c r="B8" s="1" t="s">
        <v>6</v>
      </c>
      <c r="C8" s="17" t="s">
        <v>399</v>
      </c>
      <c r="D8" s="11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1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4.109325099590079E-2</v>
      </c>
    </row>
    <row r="10" spans="2:15" x14ac:dyDescent="0.25">
      <c r="B10" s="1" t="s">
        <v>8</v>
      </c>
      <c r="C10" s="17" t="s">
        <v>400</v>
      </c>
      <c r="D10" s="11" t="s">
        <v>476</v>
      </c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3.6085063630274632E-2</v>
      </c>
    </row>
    <row r="11" spans="2:15" x14ac:dyDescent="0.25">
      <c r="B11" s="1" t="s">
        <v>9</v>
      </c>
      <c r="C11" s="17" t="s">
        <v>399</v>
      </c>
      <c r="D11" s="11">
        <v>50</v>
      </c>
      <c r="E11" s="1" t="s">
        <v>9</v>
      </c>
      <c r="F11" s="11">
        <v>30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 x14ac:dyDescent="0.25">
      <c r="B12" s="1" t="s">
        <v>10</v>
      </c>
      <c r="C12" s="17" t="s">
        <v>399</v>
      </c>
      <c r="D12" s="11">
        <v>50</v>
      </c>
      <c r="E12" s="1" t="s">
        <v>10</v>
      </c>
      <c r="F12" s="11">
        <v>22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 x14ac:dyDescent="0.25">
      <c r="B13" s="1" t="s">
        <v>11</v>
      </c>
      <c r="C13" s="17" t="s">
        <v>399</v>
      </c>
      <c r="D13" s="11">
        <v>100</v>
      </c>
      <c r="E13" s="1" t="s">
        <v>11</v>
      </c>
      <c r="F13" s="11">
        <v>20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 x14ac:dyDescent="0.25">
      <c r="B14" s="1" t="s">
        <v>12</v>
      </c>
      <c r="C14" s="17" t="s">
        <v>399</v>
      </c>
      <c r="D14" s="11">
        <v>20</v>
      </c>
      <c r="E14" s="1" t="s">
        <v>12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 x14ac:dyDescent="0.25">
      <c r="B15" s="1" t="s">
        <v>13</v>
      </c>
      <c r="C15" s="17" t="s">
        <v>399</v>
      </c>
      <c r="D15" s="11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 x14ac:dyDescent="0.25">
      <c r="B16" s="1" t="s">
        <v>14</v>
      </c>
      <c r="C16" s="17" t="s">
        <v>399</v>
      </c>
      <c r="D16" s="11">
        <v>12</v>
      </c>
      <c r="E16" s="1" t="s">
        <v>14</v>
      </c>
      <c r="F16" s="11">
        <v>9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 x14ac:dyDescent="0.25">
      <c r="B17" s="1" t="s">
        <v>15</v>
      </c>
      <c r="C17" s="17" t="s">
        <v>399</v>
      </c>
      <c r="D17" s="11">
        <v>15</v>
      </c>
      <c r="E17" s="1" t="s">
        <v>15</v>
      </c>
      <c r="F17" s="1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 x14ac:dyDescent="0.25">
      <c r="B18" s="1" t="s">
        <v>16</v>
      </c>
      <c r="C18" s="17" t="s">
        <v>399</v>
      </c>
      <c r="D18" s="11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 x14ac:dyDescent="0.25">
      <c r="B19" s="1" t="s">
        <v>17</v>
      </c>
      <c r="C19" s="17" t="s">
        <v>399</v>
      </c>
      <c r="D19" s="11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 x14ac:dyDescent="0.25">
      <c r="B20" s="1" t="s">
        <v>18</v>
      </c>
      <c r="C20" s="17" t="s">
        <v>399</v>
      </c>
      <c r="D20" s="11">
        <v>5</v>
      </c>
      <c r="E20" s="1" t="s">
        <v>18</v>
      </c>
      <c r="F20" s="11">
        <v>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 x14ac:dyDescent="0.25">
      <c r="B21" s="1" t="s">
        <v>19</v>
      </c>
      <c r="C21" s="17" t="s">
        <v>399</v>
      </c>
      <c r="D21" s="53">
        <v>42</v>
      </c>
      <c r="E21" s="1" t="s">
        <v>19</v>
      </c>
      <c r="F21" s="11">
        <v>42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 x14ac:dyDescent="0.25">
      <c r="B22" s="1" t="s">
        <v>20</v>
      </c>
      <c r="C22" s="17" t="s">
        <v>399</v>
      </c>
      <c r="D22" s="11">
        <v>20</v>
      </c>
      <c r="E22" s="1" t="s">
        <v>20</v>
      </c>
      <c r="F22" s="11">
        <v>20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 x14ac:dyDescent="0.25">
      <c r="B23" s="1" t="s">
        <v>21</v>
      </c>
      <c r="C23" s="17" t="s">
        <v>399</v>
      </c>
      <c r="D23" s="11">
        <v>255</v>
      </c>
      <c r="E23" s="1" t="s">
        <v>21</v>
      </c>
      <c r="F23" s="11">
        <v>20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 x14ac:dyDescent="0.25">
      <c r="B24" s="1" t="s">
        <v>22</v>
      </c>
      <c r="C24" s="17" t="s">
        <v>399</v>
      </c>
      <c r="D24" s="11">
        <v>20</v>
      </c>
      <c r="E24" s="1" t="s">
        <v>22</v>
      </c>
      <c r="F24" s="11">
        <v>17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 x14ac:dyDescent="0.25">
      <c r="B25" s="1" t="s">
        <v>23</v>
      </c>
      <c r="C25" s="17" t="s">
        <v>399</v>
      </c>
      <c r="D25" s="11">
        <v>50</v>
      </c>
      <c r="E25" s="1" t="s">
        <v>23</v>
      </c>
      <c r="F25" s="11">
        <v>43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 x14ac:dyDescent="0.25">
      <c r="B26" s="1" t="s">
        <v>24</v>
      </c>
      <c r="C26" s="17" t="s">
        <v>399</v>
      </c>
      <c r="D26" s="11">
        <v>20</v>
      </c>
      <c r="E26" s="1" t="s">
        <v>24</v>
      </c>
      <c r="F26" s="11">
        <v>10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 x14ac:dyDescent="0.25">
      <c r="B27" s="1" t="s">
        <v>25</v>
      </c>
      <c r="C27" s="17" t="s">
        <v>399</v>
      </c>
      <c r="D27" s="11">
        <v>50</v>
      </c>
      <c r="E27" s="1" t="s">
        <v>25</v>
      </c>
      <c r="F27" s="11">
        <v>24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 x14ac:dyDescent="0.25">
      <c r="B28" s="1" t="s">
        <v>26</v>
      </c>
      <c r="C28" s="17" t="s">
        <v>399</v>
      </c>
      <c r="D28" s="53">
        <v>66</v>
      </c>
      <c r="E28" s="1" t="s">
        <v>26</v>
      </c>
      <c r="F28" s="11">
        <v>66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 x14ac:dyDescent="0.25">
      <c r="B29" s="1" t="s">
        <v>27</v>
      </c>
      <c r="C29" s="17" t="s">
        <v>399</v>
      </c>
      <c r="D29" s="11">
        <v>100</v>
      </c>
      <c r="E29" s="1" t="s">
        <v>27</v>
      </c>
      <c r="F29" s="11">
        <v>86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 x14ac:dyDescent="0.25">
      <c r="B30" s="1" t="s">
        <v>28</v>
      </c>
      <c r="C30" s="17" t="s">
        <v>399</v>
      </c>
      <c r="D30" s="11">
        <v>20</v>
      </c>
      <c r="E30" s="1" t="s">
        <v>28</v>
      </c>
      <c r="F30" s="11">
        <v>15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 x14ac:dyDescent="0.25">
      <c r="B31" s="1" t="s">
        <v>29</v>
      </c>
      <c r="C31" s="17" t="s">
        <v>399</v>
      </c>
      <c r="D31" s="11">
        <v>50</v>
      </c>
      <c r="E31" s="1" t="s">
        <v>29</v>
      </c>
      <c r="F31" s="11">
        <v>15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 x14ac:dyDescent="0.25">
      <c r="B32" s="1" t="s">
        <v>30</v>
      </c>
      <c r="C32" s="17" t="s">
        <v>399</v>
      </c>
      <c r="D32" s="53">
        <v>53</v>
      </c>
      <c r="E32" s="1" t="s">
        <v>30</v>
      </c>
      <c r="F32" s="11">
        <v>53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 x14ac:dyDescent="0.25">
      <c r="B33" s="1" t="s">
        <v>31</v>
      </c>
      <c r="C33" s="17" t="s">
        <v>399</v>
      </c>
      <c r="D33" s="11">
        <v>100</v>
      </c>
      <c r="E33" s="1" t="s">
        <v>31</v>
      </c>
      <c r="F33" s="11">
        <v>68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 x14ac:dyDescent="0.25">
      <c r="B34" s="1" t="s">
        <v>32</v>
      </c>
      <c r="C34" s="17" t="s">
        <v>399</v>
      </c>
      <c r="D34" s="11">
        <v>2</v>
      </c>
      <c r="E34" s="1" t="s">
        <v>32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 x14ac:dyDescent="0.25">
      <c r="B35" s="1" t="s">
        <v>33</v>
      </c>
      <c r="C35" s="17" t="s">
        <v>399</v>
      </c>
      <c r="D35" s="11">
        <v>30</v>
      </c>
      <c r="E35" s="1" t="s">
        <v>33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 x14ac:dyDescent="0.25">
      <c r="B36" s="1" t="s">
        <v>34</v>
      </c>
      <c r="C36" s="17" t="s">
        <v>400</v>
      </c>
      <c r="D36" s="11" t="s">
        <v>476</v>
      </c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 x14ac:dyDescent="0.25">
      <c r="B37" s="1" t="s">
        <v>35</v>
      </c>
      <c r="C37" s="17" t="s">
        <v>400</v>
      </c>
      <c r="D37" s="11" t="s">
        <v>476</v>
      </c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 x14ac:dyDescent="0.25">
      <c r="B38" s="1" t="s">
        <v>36</v>
      </c>
      <c r="C38" s="17" t="s">
        <v>400</v>
      </c>
      <c r="D38" s="11" t="s">
        <v>476</v>
      </c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 x14ac:dyDescent="0.25">
      <c r="B39" s="1" t="s">
        <v>37</v>
      </c>
      <c r="C39" s="17" t="s">
        <v>400</v>
      </c>
      <c r="D39" s="11" t="s">
        <v>476</v>
      </c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 x14ac:dyDescent="0.25">
      <c r="B40" s="1" t="s">
        <v>38</v>
      </c>
      <c r="C40" s="17" t="s">
        <v>400</v>
      </c>
      <c r="D40" s="11" t="s">
        <v>476</v>
      </c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 x14ac:dyDescent="0.25">
      <c r="B41" s="1" t="s">
        <v>39</v>
      </c>
      <c r="C41" s="17" t="s">
        <v>400</v>
      </c>
      <c r="D41" s="11" t="s">
        <v>476</v>
      </c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 x14ac:dyDescent="0.25">
      <c r="B42" s="1" t="s">
        <v>40</v>
      </c>
      <c r="C42" s="17" t="s">
        <v>400</v>
      </c>
      <c r="D42" s="11" t="s">
        <v>476</v>
      </c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 x14ac:dyDescent="0.25">
      <c r="B43" s="1" t="s">
        <v>41</v>
      </c>
      <c r="C43" s="17" t="s">
        <v>400</v>
      </c>
      <c r="D43" s="11" t="s">
        <v>476</v>
      </c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 x14ac:dyDescent="0.25">
      <c r="B44" s="1" t="s">
        <v>42</v>
      </c>
      <c r="C44" s="17" t="s">
        <v>400</v>
      </c>
      <c r="D44" s="11" t="s">
        <v>476</v>
      </c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 x14ac:dyDescent="0.25">
      <c r="B45" s="1" t="s">
        <v>43</v>
      </c>
      <c r="C45" s="17" t="s">
        <v>400</v>
      </c>
      <c r="D45" s="11" t="s">
        <v>476</v>
      </c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 x14ac:dyDescent="0.25">
      <c r="B46" s="1" t="s">
        <v>44</v>
      </c>
      <c r="C46" s="17" t="s">
        <v>400</v>
      </c>
      <c r="D46" s="11" t="s">
        <v>476</v>
      </c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 x14ac:dyDescent="0.25">
      <c r="B47" s="1" t="s">
        <v>45</v>
      </c>
      <c r="C47" s="17" t="s">
        <v>400</v>
      </c>
      <c r="D47" s="11" t="s">
        <v>476</v>
      </c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 x14ac:dyDescent="0.25">
      <c r="B48" s="1" t="s">
        <v>46</v>
      </c>
      <c r="C48" s="17" t="s">
        <v>399</v>
      </c>
      <c r="D48" s="11">
        <v>50</v>
      </c>
      <c r="E48" s="1" t="s">
        <v>46</v>
      </c>
      <c r="F48" s="11">
        <v>10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 x14ac:dyDescent="0.25">
      <c r="B49" s="1" t="s">
        <v>47</v>
      </c>
      <c r="C49" s="17" t="s">
        <v>399</v>
      </c>
      <c r="D49" s="11">
        <v>100</v>
      </c>
      <c r="E49" s="1" t="s">
        <v>47</v>
      </c>
      <c r="F49" s="11">
        <v>65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 x14ac:dyDescent="0.25">
      <c r="B50" s="1" t="s">
        <v>48</v>
      </c>
      <c r="C50" s="17" t="s">
        <v>399</v>
      </c>
      <c r="D50" s="11">
        <v>30</v>
      </c>
      <c r="E50" s="1" t="s">
        <v>48</v>
      </c>
      <c r="F50" s="11">
        <v>16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 x14ac:dyDescent="0.25">
      <c r="B51" s="1" t="s">
        <v>49</v>
      </c>
      <c r="C51" s="17" t="s">
        <v>399</v>
      </c>
      <c r="D51" s="11">
        <v>30</v>
      </c>
      <c r="E51" s="1" t="s">
        <v>49</v>
      </c>
      <c r="F51" s="11">
        <v>20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 x14ac:dyDescent="0.25">
      <c r="B52" s="1" t="s">
        <v>50</v>
      </c>
      <c r="C52" s="17" t="s">
        <v>399</v>
      </c>
      <c r="D52" s="11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 x14ac:dyDescent="0.25">
      <c r="B53" s="1" t="s">
        <v>51</v>
      </c>
      <c r="C53" s="17" t="s">
        <v>399</v>
      </c>
      <c r="D53" s="11">
        <v>100</v>
      </c>
      <c r="E53" s="1" t="s">
        <v>51</v>
      </c>
      <c r="F53" s="11">
        <v>34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 x14ac:dyDescent="0.25">
      <c r="B54" s="1" t="s">
        <v>52</v>
      </c>
      <c r="C54" s="17" t="s">
        <v>399</v>
      </c>
      <c r="D54" s="11">
        <v>100</v>
      </c>
      <c r="E54" s="1" t="s">
        <v>52</v>
      </c>
      <c r="F54" s="11">
        <v>35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 x14ac:dyDescent="0.25">
      <c r="B55" s="1" t="s">
        <v>53</v>
      </c>
      <c r="C55" s="17" t="s">
        <v>399</v>
      </c>
      <c r="D55" s="11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 x14ac:dyDescent="0.25">
      <c r="B56" s="1" t="s">
        <v>54</v>
      </c>
      <c r="C56" s="17" t="s">
        <v>399</v>
      </c>
      <c r="D56" s="11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 x14ac:dyDescent="0.25">
      <c r="B57" s="1" t="s">
        <v>55</v>
      </c>
      <c r="C57" s="17" t="s">
        <v>399</v>
      </c>
      <c r="D57" s="11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 x14ac:dyDescent="0.25">
      <c r="B58" s="1" t="s">
        <v>56</v>
      </c>
      <c r="C58" s="17" t="s">
        <v>399</v>
      </c>
      <c r="D58" s="11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 x14ac:dyDescent="0.25">
      <c r="B59" s="1" t="s">
        <v>57</v>
      </c>
      <c r="C59" s="17" t="s">
        <v>399</v>
      </c>
      <c r="D59" s="11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 x14ac:dyDescent="0.25">
      <c r="B60" s="1" t="s">
        <v>58</v>
      </c>
      <c r="C60" s="17" t="s">
        <v>399</v>
      </c>
      <c r="D60" s="11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 x14ac:dyDescent="0.25">
      <c r="B61" s="1" t="s">
        <v>59</v>
      </c>
      <c r="C61" s="17" t="s">
        <v>399</v>
      </c>
      <c r="D61" s="11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 x14ac:dyDescent="0.25">
      <c r="B62" s="1" t="s">
        <v>60</v>
      </c>
      <c r="C62" s="17" t="s">
        <v>399</v>
      </c>
      <c r="D62" s="11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 x14ac:dyDescent="0.25">
      <c r="B63" s="1" t="s">
        <v>61</v>
      </c>
      <c r="C63" s="17" t="s">
        <v>399</v>
      </c>
      <c r="D63" s="11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 x14ac:dyDescent="0.25">
      <c r="B64" s="1" t="s">
        <v>62</v>
      </c>
      <c r="C64" s="17" t="s">
        <v>399</v>
      </c>
      <c r="D64" s="11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 x14ac:dyDescent="0.25">
      <c r="B65" s="1" t="s">
        <v>63</v>
      </c>
      <c r="C65" s="17" t="s">
        <v>399</v>
      </c>
      <c r="D65" s="11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 x14ac:dyDescent="0.25">
      <c r="B66" s="1" t="s">
        <v>64</v>
      </c>
      <c r="C66" s="17" t="s">
        <v>399</v>
      </c>
      <c r="D66" s="11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 x14ac:dyDescent="0.25">
      <c r="B67" s="1" t="s">
        <v>65</v>
      </c>
      <c r="C67" s="17" t="s">
        <v>399</v>
      </c>
      <c r="D67" s="11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 x14ac:dyDescent="0.25">
      <c r="B68" s="1" t="s">
        <v>66</v>
      </c>
      <c r="C68" s="17" t="s">
        <v>399</v>
      </c>
      <c r="D68" s="11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 x14ac:dyDescent="0.25">
      <c r="B69" s="1" t="s">
        <v>67</v>
      </c>
      <c r="C69" s="17" t="s">
        <v>399</v>
      </c>
      <c r="D69" s="11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 x14ac:dyDescent="0.25">
      <c r="B70" s="1" t="s">
        <v>68</v>
      </c>
      <c r="C70" s="17" t="s">
        <v>399</v>
      </c>
      <c r="D70" s="11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 x14ac:dyDescent="0.25">
      <c r="B71" s="1" t="s">
        <v>69</v>
      </c>
      <c r="C71" s="17" t="s">
        <v>399</v>
      </c>
      <c r="D71" s="11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 x14ac:dyDescent="0.25">
      <c r="B72" s="1" t="s">
        <v>70</v>
      </c>
      <c r="C72" s="17" t="s">
        <v>399</v>
      </c>
      <c r="D72" s="11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 x14ac:dyDescent="0.25">
      <c r="B73" s="1" t="s">
        <v>71</v>
      </c>
      <c r="C73" s="17" t="s">
        <v>399</v>
      </c>
      <c r="D73" s="11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 x14ac:dyDescent="0.25">
      <c r="B74" s="31" t="s">
        <v>86</v>
      </c>
      <c r="C74" s="31" t="s">
        <v>399</v>
      </c>
      <c r="D74" s="11">
        <v>500</v>
      </c>
      <c r="E74" s="31" t="s">
        <v>86</v>
      </c>
      <c r="F74" s="11">
        <v>85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 x14ac:dyDescent="0.25">
      <c r="B75" s="31" t="s">
        <v>436</v>
      </c>
      <c r="C75" s="31" t="s">
        <v>399</v>
      </c>
      <c r="D75" s="11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 x14ac:dyDescent="0.25">
      <c r="B76" s="31" t="s">
        <v>437</v>
      </c>
      <c r="C76" s="31" t="s">
        <v>399</v>
      </c>
      <c r="D76" s="11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 x14ac:dyDescent="0.25">
      <c r="B77" s="31" t="s">
        <v>438</v>
      </c>
      <c r="C77" s="31" t="s">
        <v>399</v>
      </c>
      <c r="D77" s="11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 x14ac:dyDescent="0.25">
      <c r="B78" s="31" t="s">
        <v>439</v>
      </c>
      <c r="C78" s="31" t="s">
        <v>399</v>
      </c>
      <c r="D78" s="11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 x14ac:dyDescent="0.25">
      <c r="B79" s="31" t="s">
        <v>440</v>
      </c>
      <c r="C79" s="31" t="s">
        <v>399</v>
      </c>
      <c r="D79" s="11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 x14ac:dyDescent="0.25">
      <c r="B80" s="31" t="s">
        <v>441</v>
      </c>
      <c r="C80" s="31" t="s">
        <v>399</v>
      </c>
      <c r="D80" s="11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 x14ac:dyDescent="0.25">
      <c r="B81" s="31" t="s">
        <v>442</v>
      </c>
      <c r="C81" s="31" t="s">
        <v>399</v>
      </c>
      <c r="D81" s="11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 x14ac:dyDescent="0.25">
      <c r="B82" s="31" t="s">
        <v>443</v>
      </c>
      <c r="C82" s="31" t="s">
        <v>399</v>
      </c>
      <c r="D82" s="11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 x14ac:dyDescent="0.25">
      <c r="B83" s="31" t="s">
        <v>444</v>
      </c>
      <c r="C83" s="31" t="s">
        <v>399</v>
      </c>
      <c r="D83" s="11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 x14ac:dyDescent="0.25">
      <c r="B84" s="31" t="s">
        <v>445</v>
      </c>
      <c r="C84" s="31" t="s">
        <v>399</v>
      </c>
      <c r="D84" s="11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 x14ac:dyDescent="0.25">
      <c r="B85" s="31" t="s">
        <v>446</v>
      </c>
      <c r="C85" s="31" t="s">
        <v>399</v>
      </c>
      <c r="D85" s="11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 x14ac:dyDescent="0.25">
      <c r="B86" s="31" t="s">
        <v>447</v>
      </c>
      <c r="C86" s="31" t="s">
        <v>399</v>
      </c>
      <c r="D86" s="11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 x14ac:dyDescent="0.25">
      <c r="B87" s="31" t="s">
        <v>448</v>
      </c>
      <c r="C87" s="31" t="s">
        <v>399</v>
      </c>
      <c r="D87" s="11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 x14ac:dyDescent="0.25">
      <c r="B88" s="31" t="s">
        <v>449</v>
      </c>
      <c r="C88" s="31" t="s">
        <v>399</v>
      </c>
      <c r="D88" s="11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 x14ac:dyDescent="0.25">
      <c r="B89" s="31" t="s">
        <v>450</v>
      </c>
      <c r="C89" s="31" t="s">
        <v>399</v>
      </c>
      <c r="D89" s="11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 x14ac:dyDescent="0.25">
      <c r="B90" s="31" t="s">
        <v>451</v>
      </c>
      <c r="C90" s="31" t="s">
        <v>399</v>
      </c>
      <c r="D90" s="11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 x14ac:dyDescent="0.25">
      <c r="B91" s="31" t="s">
        <v>452</v>
      </c>
      <c r="C91" s="31" t="s">
        <v>399</v>
      </c>
      <c r="D91" s="11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 x14ac:dyDescent="0.25">
      <c r="B92" s="31" t="s">
        <v>453</v>
      </c>
      <c r="C92" s="31" t="s">
        <v>399</v>
      </c>
      <c r="D92" s="11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 x14ac:dyDescent="0.25">
      <c r="B93" s="31" t="s">
        <v>454</v>
      </c>
      <c r="C93" s="31" t="s">
        <v>399</v>
      </c>
      <c r="D93" s="11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 x14ac:dyDescent="0.25">
      <c r="B94" s="31" t="s">
        <v>455</v>
      </c>
      <c r="C94" s="31" t="s">
        <v>399</v>
      </c>
      <c r="D94" s="11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213" priority="23" operator="equal">
      <formula>"Fail"</formula>
    </cfRule>
    <cfRule type="cellIs" dxfId="212" priority="24" operator="equal">
      <formula>"Pass"</formula>
    </cfRule>
  </conditionalFormatting>
  <conditionalFormatting sqref="M6:N7">
    <cfRule type="cellIs" dxfId="211" priority="5" operator="equal">
      <formula>"Fail"</formula>
    </cfRule>
    <cfRule type="cellIs" dxfId="210" priority="6" operator="equal">
      <formula>"Pass"</formula>
    </cfRule>
  </conditionalFormatting>
  <conditionalFormatting sqref="M8">
    <cfRule type="containsText" dxfId="209" priority="1" operator="containsText" text="Pass">
      <formula>NOT(ISERROR(SEARCH("Pass",M8)))</formula>
    </cfRule>
    <cfRule type="containsText" dxfId="208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6"/>
  <sheetViews>
    <sheetView showGridLines="0" workbookViewId="0"/>
  </sheetViews>
  <sheetFormatPr defaultRowHeight="15" x14ac:dyDescent="0.25"/>
  <cols>
    <col min="1" max="1" width="3.7109375" customWidth="1"/>
    <col min="2" max="2" width="18" bestFit="1" customWidth="1"/>
    <col min="3" max="3" width="12.85546875" customWidth="1"/>
    <col min="4" max="4" width="13.28515625" customWidth="1"/>
    <col min="5" max="5" width="18" bestFit="1" customWidth="1"/>
    <col min="6" max="6" width="13.7109375" customWidth="1"/>
    <col min="7" max="7" width="14.140625" customWidth="1"/>
    <col min="8" max="8" width="14.85546875" customWidth="1"/>
    <col min="9" max="10" width="0" hidden="1" customWidth="1"/>
    <col min="12" max="12" width="15.140625" customWidth="1"/>
    <col min="13" max="13" width="16.5703125" customWidth="1"/>
    <col min="14" max="14" width="10.42578125" bestFit="1" customWidth="1"/>
  </cols>
  <sheetData>
    <row r="1" spans="2:14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</row>
    <row r="2" spans="2:14" x14ac:dyDescent="0.25">
      <c r="B2" s="54" t="s">
        <v>83</v>
      </c>
      <c r="C2" s="54" t="s">
        <v>549</v>
      </c>
      <c r="D2" s="11">
        <v>20</v>
      </c>
      <c r="E2" s="54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4" x14ac:dyDescent="0.25">
      <c r="B3" s="54" t="s">
        <v>71</v>
      </c>
      <c r="C3" s="54" t="s">
        <v>549</v>
      </c>
      <c r="D3" s="11">
        <v>50</v>
      </c>
      <c r="E3" s="54" t="s">
        <v>71</v>
      </c>
      <c r="F3" s="11">
        <v>32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dwmemberid</v>
      </c>
      <c r="J3" s="3" t="str">
        <f t="shared" ref="J3:J26" si="3">SUBSTITUTE(E3,"_","")</f>
        <v>dwmemberid</v>
      </c>
      <c r="L3" s="19">
        <v>230786</v>
      </c>
      <c r="M3" s="19"/>
      <c r="N3" s="22">
        <f>L3-M3</f>
        <v>230786</v>
      </c>
    </row>
    <row r="4" spans="2:14" x14ac:dyDescent="0.25">
      <c r="B4" s="54" t="s">
        <v>0</v>
      </c>
      <c r="C4" s="54" t="s">
        <v>550</v>
      </c>
      <c r="D4" s="11">
        <v>50</v>
      </c>
      <c r="E4" s="54" t="s">
        <v>0</v>
      </c>
      <c r="F4" s="11">
        <v>32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mbrid</v>
      </c>
      <c r="J4" s="3" t="str">
        <f t="shared" si="3"/>
        <v>mbrid</v>
      </c>
    </row>
    <row r="5" spans="2:14" x14ac:dyDescent="0.25">
      <c r="B5" s="54" t="s">
        <v>339</v>
      </c>
      <c r="C5" s="54" t="s">
        <v>399</v>
      </c>
      <c r="D5" s="11">
        <v>30</v>
      </c>
      <c r="E5" s="54" t="s">
        <v>339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memberFirstName</v>
      </c>
      <c r="J5" s="3" t="str">
        <f t="shared" si="3"/>
        <v>memberFirstName</v>
      </c>
      <c r="L5" s="24" t="s">
        <v>403</v>
      </c>
      <c r="M5" s="55" t="s">
        <v>401</v>
      </c>
    </row>
    <row r="6" spans="2:14" x14ac:dyDescent="0.25">
      <c r="B6" s="54" t="s">
        <v>340</v>
      </c>
      <c r="C6" s="54" t="s">
        <v>399</v>
      </c>
      <c r="D6" s="11">
        <v>30</v>
      </c>
      <c r="E6" s="54" t="s">
        <v>340</v>
      </c>
      <c r="F6" s="11">
        <v>26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memberLastName</v>
      </c>
      <c r="J6" s="3" t="str">
        <f t="shared" si="3"/>
        <v>memberLastName</v>
      </c>
      <c r="L6" s="23" t="s">
        <v>81</v>
      </c>
      <c r="M6" s="11" t="str">
        <f>IF(ISERROR(VLOOKUP($O$1,$G$2:$G$15,1,)),"Pass","Fail")</f>
        <v>Pass</v>
      </c>
    </row>
    <row r="7" spans="2:14" x14ac:dyDescent="0.25">
      <c r="B7" s="54" t="s">
        <v>551</v>
      </c>
      <c r="C7" s="54" t="s">
        <v>399</v>
      </c>
      <c r="D7" s="11">
        <v>30</v>
      </c>
      <c r="E7" s="54" t="s">
        <v>551</v>
      </c>
      <c r="F7" s="1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memberMiddleName</v>
      </c>
      <c r="J7" s="3" t="str">
        <f t="shared" si="3"/>
        <v>memberMiddleName</v>
      </c>
      <c r="L7" s="23" t="s">
        <v>402</v>
      </c>
      <c r="M7" s="11" t="str">
        <f>IF(ISERROR(VLOOKUP($O$1,$H$2:$H$15,1,)),"Pass","Fail")</f>
        <v>Pass</v>
      </c>
    </row>
    <row r="8" spans="2:14" x14ac:dyDescent="0.25">
      <c r="B8" s="54" t="s">
        <v>341</v>
      </c>
      <c r="C8" s="54" t="s">
        <v>399</v>
      </c>
      <c r="D8" s="53">
        <v>7</v>
      </c>
      <c r="E8" s="54" t="s">
        <v>341</v>
      </c>
      <c r="F8" s="11">
        <v>7</v>
      </c>
      <c r="G8" s="11" t="str">
        <f t="shared" si="0"/>
        <v>Pass</v>
      </c>
      <c r="H8" s="12" t="str">
        <f t="shared" si="1"/>
        <v>Pass</v>
      </c>
      <c r="I8" s="3" t="str">
        <f t="shared" si="2"/>
        <v>memberGender</v>
      </c>
      <c r="J8" s="3" t="str">
        <f t="shared" si="3"/>
        <v>memberGender</v>
      </c>
      <c r="L8" s="23" t="s">
        <v>467</v>
      </c>
      <c r="M8" s="38">
        <f>IF(M3=0,0%,N3/M3)</f>
        <v>0</v>
      </c>
    </row>
    <row r="9" spans="2:14" x14ac:dyDescent="0.25">
      <c r="B9" s="54" t="s">
        <v>516</v>
      </c>
      <c r="C9" s="54" t="s">
        <v>399</v>
      </c>
      <c r="D9" s="11">
        <v>5</v>
      </c>
      <c r="E9" s="54" t="s">
        <v>516</v>
      </c>
      <c r="F9" s="11">
        <v>3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mbrage</v>
      </c>
      <c r="J9" s="3" t="str">
        <f t="shared" si="3"/>
        <v>mbrage</v>
      </c>
      <c r="L9" s="23" t="s">
        <v>466</v>
      </c>
      <c r="M9" s="40" t="e">
        <f>File_Size_Comparision!F6</f>
        <v>#VALUE!</v>
      </c>
    </row>
    <row r="10" spans="2:14" x14ac:dyDescent="0.25">
      <c r="B10" s="54" t="s">
        <v>342</v>
      </c>
      <c r="C10" s="54" t="s">
        <v>400</v>
      </c>
      <c r="D10" s="11"/>
      <c r="E10" s="54" t="s">
        <v>342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memberDOB</v>
      </c>
      <c r="J10" s="3" t="str">
        <f t="shared" si="3"/>
        <v>memberDOB</v>
      </c>
    </row>
    <row r="11" spans="2:14" x14ac:dyDescent="0.25">
      <c r="B11" s="54" t="s">
        <v>513</v>
      </c>
      <c r="C11" s="54" t="s">
        <v>399</v>
      </c>
      <c r="D11" s="11">
        <v>30</v>
      </c>
      <c r="E11" s="54" t="s">
        <v>513</v>
      </c>
      <c r="F11" s="11">
        <v>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mbrstatus</v>
      </c>
      <c r="J11" s="3" t="str">
        <f t="shared" si="3"/>
        <v>mbrstatus</v>
      </c>
    </row>
    <row r="12" spans="2:14" x14ac:dyDescent="0.25">
      <c r="B12" s="54" t="s">
        <v>514</v>
      </c>
      <c r="C12" s="54" t="s">
        <v>399</v>
      </c>
      <c r="D12" s="53">
        <v>42</v>
      </c>
      <c r="E12" s="54" t="s">
        <v>514</v>
      </c>
      <c r="F12" s="11">
        <v>42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mbrrelationship</v>
      </c>
      <c r="J12" s="3" t="str">
        <f t="shared" si="3"/>
        <v>mbrrelationship</v>
      </c>
    </row>
    <row r="13" spans="2:14" x14ac:dyDescent="0.25">
      <c r="B13" s="54" t="s">
        <v>515</v>
      </c>
      <c r="C13" s="54" t="s">
        <v>399</v>
      </c>
      <c r="D13" s="11">
        <v>200</v>
      </c>
      <c r="E13" s="54" t="s">
        <v>515</v>
      </c>
      <c r="F13" s="11">
        <v>70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pcpfullname</v>
      </c>
      <c r="J13" s="3" t="str">
        <f t="shared" si="3"/>
        <v>pcpfullname</v>
      </c>
    </row>
    <row r="14" spans="2:14" x14ac:dyDescent="0.25">
      <c r="B14" s="54" t="s">
        <v>343</v>
      </c>
      <c r="C14" s="54" t="s">
        <v>399</v>
      </c>
      <c r="D14" s="11">
        <v>50</v>
      </c>
      <c r="E14" s="54" t="s">
        <v>343</v>
      </c>
      <c r="F14" s="11">
        <v>4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measureId</v>
      </c>
      <c r="J14" s="3" t="str">
        <f t="shared" si="3"/>
        <v>measureId</v>
      </c>
    </row>
    <row r="15" spans="2:14" x14ac:dyDescent="0.25">
      <c r="B15" s="54" t="s">
        <v>344</v>
      </c>
      <c r="C15" s="54" t="s">
        <v>399</v>
      </c>
      <c r="D15" s="11">
        <v>200</v>
      </c>
      <c r="E15" s="54" t="s">
        <v>344</v>
      </c>
      <c r="F15" s="11">
        <v>108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measureDesc</v>
      </c>
      <c r="J15" s="3" t="str">
        <f t="shared" si="3"/>
        <v>measureDesc</v>
      </c>
    </row>
    <row r="16" spans="2:14" x14ac:dyDescent="0.25">
      <c r="B16" s="54" t="s">
        <v>345</v>
      </c>
      <c r="C16" s="54" t="s">
        <v>399</v>
      </c>
      <c r="D16" s="11">
        <v>1</v>
      </c>
      <c r="E16" s="54" t="s">
        <v>345</v>
      </c>
      <c r="F16" s="11">
        <v>1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Positive/Negative</v>
      </c>
      <c r="J16" s="3" t="str">
        <f t="shared" si="3"/>
        <v>Positive/Negative</v>
      </c>
    </row>
    <row r="17" spans="2:10" x14ac:dyDescent="0.25">
      <c r="B17" s="54" t="s">
        <v>346</v>
      </c>
      <c r="C17" s="54" t="s">
        <v>399</v>
      </c>
      <c r="D17" s="11">
        <v>100</v>
      </c>
      <c r="E17" s="54" t="s">
        <v>346</v>
      </c>
      <c r="F17" s="11">
        <v>55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measureName</v>
      </c>
      <c r="J17" s="3" t="str">
        <f t="shared" si="3"/>
        <v>measureName</v>
      </c>
    </row>
    <row r="18" spans="2:10" x14ac:dyDescent="0.25">
      <c r="B18" s="54" t="s">
        <v>347</v>
      </c>
      <c r="C18" s="54" t="s">
        <v>400</v>
      </c>
      <c r="D18" s="11"/>
      <c r="E18" s="54" t="s">
        <v>347</v>
      </c>
      <c r="F18" s="11">
        <v>10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startDate</v>
      </c>
      <c r="J18" s="3" t="str">
        <f t="shared" si="3"/>
        <v>startDate</v>
      </c>
    </row>
    <row r="19" spans="2:10" x14ac:dyDescent="0.25">
      <c r="B19" s="54" t="s">
        <v>348</v>
      </c>
      <c r="C19" s="54" t="s">
        <v>400</v>
      </c>
      <c r="D19" s="11"/>
      <c r="E19" s="54" t="s">
        <v>348</v>
      </c>
      <c r="F19" s="11">
        <v>10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EndDate</v>
      </c>
      <c r="J19" s="3" t="str">
        <f t="shared" si="3"/>
        <v>EndDate</v>
      </c>
    </row>
    <row r="20" spans="2:10" x14ac:dyDescent="0.25">
      <c r="B20" s="54" t="s">
        <v>349</v>
      </c>
      <c r="C20" s="54" t="s">
        <v>399</v>
      </c>
      <c r="D20" s="11">
        <v>1</v>
      </c>
      <c r="E20" s="54" t="s">
        <v>349</v>
      </c>
      <c r="F20" s="11">
        <v>1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numerator</v>
      </c>
      <c r="J20" s="3" t="str">
        <f t="shared" si="3"/>
        <v>numerator</v>
      </c>
    </row>
    <row r="21" spans="2:10" x14ac:dyDescent="0.25">
      <c r="B21" s="54" t="s">
        <v>552</v>
      </c>
      <c r="C21" s="54" t="s">
        <v>399</v>
      </c>
      <c r="D21" s="11">
        <v>1</v>
      </c>
      <c r="E21" s="54" t="s">
        <v>552</v>
      </c>
      <c r="F21" s="11">
        <v>1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denominator</v>
      </c>
      <c r="J21" s="3" t="str">
        <f t="shared" si="3"/>
        <v>denominator</v>
      </c>
    </row>
    <row r="22" spans="2:10" x14ac:dyDescent="0.25">
      <c r="B22" s="54" t="s">
        <v>519</v>
      </c>
      <c r="C22" s="54" t="s">
        <v>399</v>
      </c>
      <c r="D22" s="11">
        <v>30</v>
      </c>
      <c r="E22" s="54" t="s">
        <v>519</v>
      </c>
      <c r="F22" s="11">
        <v>21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carealertid</v>
      </c>
      <c r="J22" s="3" t="str">
        <f t="shared" si="3"/>
        <v>carealertid</v>
      </c>
    </row>
    <row r="23" spans="2:10" x14ac:dyDescent="0.25">
      <c r="B23" s="54" t="s">
        <v>520</v>
      </c>
      <c r="C23" s="54" t="s">
        <v>399</v>
      </c>
      <c r="D23" s="53">
        <v>70</v>
      </c>
      <c r="E23" s="54" t="s">
        <v>520</v>
      </c>
      <c r="F23" s="11">
        <v>70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carealertdesc</v>
      </c>
      <c r="J23" s="3" t="str">
        <f t="shared" si="3"/>
        <v>carealertdesc</v>
      </c>
    </row>
    <row r="24" spans="2:10" x14ac:dyDescent="0.25">
      <c r="B24" s="54" t="s">
        <v>517</v>
      </c>
      <c r="C24" s="54" t="s">
        <v>550</v>
      </c>
      <c r="D24" s="11"/>
      <c r="E24" s="54" t="s">
        <v>517</v>
      </c>
      <c r="F24" s="11">
        <v>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mbrmonths</v>
      </c>
      <c r="J24" s="3" t="str">
        <f t="shared" si="3"/>
        <v>mbrmonths</v>
      </c>
    </row>
    <row r="25" spans="2:10" x14ac:dyDescent="0.25">
      <c r="B25" s="54" t="s">
        <v>553</v>
      </c>
      <c r="C25" s="54" t="s">
        <v>399</v>
      </c>
      <c r="D25" s="11">
        <v>1</v>
      </c>
      <c r="E25" s="54" t="s">
        <v>553</v>
      </c>
      <c r="F25" s="11">
        <v>1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negativeOutcome</v>
      </c>
      <c r="J25" s="3" t="str">
        <f t="shared" si="3"/>
        <v>negativeOutcome</v>
      </c>
    </row>
    <row r="26" spans="2:10" x14ac:dyDescent="0.25">
      <c r="B26" s="54" t="s">
        <v>554</v>
      </c>
      <c r="C26" s="54" t="s">
        <v>399</v>
      </c>
      <c r="D26" s="11">
        <v>1</v>
      </c>
      <c r="E26" s="54" t="s">
        <v>554</v>
      </c>
      <c r="F26" s="11">
        <v>1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activeAlert</v>
      </c>
      <c r="J26" s="3" t="str">
        <f t="shared" si="3"/>
        <v>activeAlert</v>
      </c>
    </row>
  </sheetData>
  <conditionalFormatting sqref="M6:M7">
    <cfRule type="cellIs" dxfId="207" priority="1" operator="equal">
      <formula>"Fail"</formula>
    </cfRule>
    <cfRule type="cellIs" dxfId="206" priority="2" operator="equal">
      <formula>"Pass"</formula>
    </cfRule>
  </conditionalFormatting>
  <conditionalFormatting sqref="G2:H26">
    <cfRule type="cellIs" dxfId="205" priority="19" operator="equal">
      <formula>"Fail"</formula>
    </cfRule>
    <cfRule type="cellIs" dxfId="204" priority="20" operator="equal">
      <formula>"Pass"</formula>
    </cfRule>
  </conditionalFormatting>
  <conditionalFormatting sqref="H2:H26">
    <cfRule type="cellIs" dxfId="203" priority="17" operator="equal">
      <formula>"Fail"</formula>
    </cfRule>
    <cfRule type="cellIs" dxfId="202" priority="18" operator="equal">
      <formula>"Pass"</formula>
    </cfRule>
  </conditionalFormatting>
  <conditionalFormatting sqref="H2:H26">
    <cfRule type="cellIs" dxfId="201" priority="15" operator="equal">
      <formula>"Fail"</formula>
    </cfRule>
    <cfRule type="cellIs" dxfId="200" priority="16" operator="equal">
      <formula>"Pass"</formula>
    </cfRule>
  </conditionalFormatting>
  <conditionalFormatting sqref="H2:H26">
    <cfRule type="cellIs" dxfId="199" priority="13" operator="equal">
      <formula>"Fail"</formula>
    </cfRule>
    <cfRule type="cellIs" dxfId="198" priority="14" operator="equal">
      <formula>"Pass"</formula>
    </cfRule>
  </conditionalFormatting>
  <conditionalFormatting sqref="H2:H26">
    <cfRule type="cellIs" dxfId="197" priority="11" operator="equal">
      <formula>"Fail"</formula>
    </cfRule>
    <cfRule type="cellIs" dxfId="196" priority="12" operator="equal">
      <formula>"Pass"</formula>
    </cfRule>
  </conditionalFormatting>
  <conditionalFormatting sqref="H2:H26">
    <cfRule type="cellIs" dxfId="195" priority="9" operator="equal">
      <formula>"Fail"</formula>
    </cfRule>
    <cfRule type="cellIs" dxfId="194" priority="10" operator="equal">
      <formula>"Pass"</formula>
    </cfRule>
  </conditionalFormatting>
  <conditionalFormatting sqref="H2:H26">
    <cfRule type="cellIs" dxfId="193" priority="7" operator="equal">
      <formula>"Fail"</formula>
    </cfRule>
    <cfRule type="cellIs" dxfId="192" priority="8" operator="equal">
      <formula>"Pass"</formula>
    </cfRule>
  </conditionalFormatting>
  <conditionalFormatting sqref="H2:H26">
    <cfRule type="cellIs" dxfId="191" priority="5" operator="equal">
      <formula>"Fail"</formula>
    </cfRule>
    <cfRule type="cellIs" dxfId="190" priority="6" operator="equal">
      <formula>"Pass"</formula>
    </cfRule>
  </conditionalFormatting>
  <conditionalFormatting sqref="H2:H26">
    <cfRule type="cellIs" dxfId="189" priority="3" operator="equal">
      <formula>"Fail"</formula>
    </cfRule>
    <cfRule type="cellIs" dxfId="188" priority="4" operator="equal">
      <formula>"Pass"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7" t="s">
        <v>83</v>
      </c>
      <c r="C2" s="47" t="s">
        <v>399</v>
      </c>
      <c r="D2" s="11"/>
      <c r="E2" s="47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13235</v>
      </c>
      <c r="M2" s="19">
        <v>12801</v>
      </c>
      <c r="N2" s="22">
        <f>L2-M2</f>
        <v>434</v>
      </c>
    </row>
    <row r="3" spans="2:15" x14ac:dyDescent="0.25">
      <c r="B3" s="47" t="s">
        <v>84</v>
      </c>
      <c r="C3" s="47" t="s">
        <v>399</v>
      </c>
      <c r="D3" s="11">
        <v>50</v>
      </c>
      <c r="E3" s="47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 x14ac:dyDescent="0.25">
      <c r="B4" s="47" t="s">
        <v>85</v>
      </c>
      <c r="C4" s="47" t="s">
        <v>399</v>
      </c>
      <c r="D4" s="11">
        <v>50</v>
      </c>
      <c r="E4" s="4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9" t="s">
        <v>401</v>
      </c>
    </row>
    <row r="5" spans="2:15" x14ac:dyDescent="0.25">
      <c r="B5" s="47" t="s">
        <v>71</v>
      </c>
      <c r="C5" s="47" t="s">
        <v>399</v>
      </c>
      <c r="D5" s="11">
        <v>50</v>
      </c>
      <c r="E5" s="4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 x14ac:dyDescent="0.25">
      <c r="B6" s="47" t="s">
        <v>0</v>
      </c>
      <c r="C6" s="47" t="s">
        <v>399</v>
      </c>
      <c r="D6" s="53">
        <v>32</v>
      </c>
      <c r="E6" s="47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 x14ac:dyDescent="0.25">
      <c r="B7" s="47" t="s">
        <v>480</v>
      </c>
      <c r="C7" s="47" t="s">
        <v>399</v>
      </c>
      <c r="D7" s="11">
        <v>10</v>
      </c>
      <c r="E7" s="47" t="s">
        <v>523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3.3903601281149907E-2</v>
      </c>
    </row>
    <row r="8" spans="2:15" x14ac:dyDescent="0.25">
      <c r="B8" s="47" t="s">
        <v>481</v>
      </c>
      <c r="C8" s="47" t="s">
        <v>399</v>
      </c>
      <c r="D8" s="11">
        <v>50</v>
      </c>
      <c r="E8" s="47" t="s">
        <v>524</v>
      </c>
      <c r="F8" s="11">
        <v>23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File_Size_Comparision!F7</f>
        <v>1.9230769230769246E-2</v>
      </c>
    </row>
    <row r="9" spans="2:15" x14ac:dyDescent="0.25">
      <c r="B9" s="47" t="s">
        <v>482</v>
      </c>
      <c r="C9" s="47" t="s">
        <v>399</v>
      </c>
      <c r="D9" s="11">
        <v>50</v>
      </c>
      <c r="E9" s="47" t="s">
        <v>525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 x14ac:dyDescent="0.25">
      <c r="B10" s="47" t="s">
        <v>483</v>
      </c>
      <c r="C10" s="47" t="s">
        <v>400</v>
      </c>
      <c r="D10" s="11">
        <v>50</v>
      </c>
      <c r="E10" s="47" t="s">
        <v>526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87" priority="7" operator="equal">
      <formula>"Fail"</formula>
    </cfRule>
    <cfRule type="cellIs" dxfId="186" priority="8" operator="equal">
      <formula>"Pass"</formula>
    </cfRule>
  </conditionalFormatting>
  <conditionalFormatting sqref="M5:M6">
    <cfRule type="cellIs" dxfId="185" priority="1" operator="equal">
      <formula>"Fail"</formula>
    </cfRule>
    <cfRule type="cellIs" dxfId="184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6"/>
  <sheetViews>
    <sheetView showGridLines="0" workbookViewId="0"/>
  </sheetViews>
  <sheetFormatPr defaultRowHeight="15" x14ac:dyDescent="0.25"/>
  <cols>
    <col min="1" max="1" width="4" customWidth="1"/>
    <col min="2" max="2" width="16.7109375" customWidth="1"/>
    <col min="3" max="3" width="14.42578125" customWidth="1"/>
    <col min="4" max="4" width="14.85546875" customWidth="1"/>
    <col min="5" max="5" width="19" customWidth="1"/>
    <col min="6" max="6" width="16.28515625" customWidth="1"/>
    <col min="7" max="7" width="16.140625" customWidth="1"/>
    <col min="8" max="8" width="15.42578125" customWidth="1"/>
    <col min="9" max="10" width="0" hidden="1" customWidth="1"/>
    <col min="12" max="12" width="16.85546875" customWidth="1"/>
    <col min="13" max="13" width="16.42578125" customWidth="1"/>
    <col min="14" max="14" width="10.42578125" bestFit="1" customWidth="1"/>
  </cols>
  <sheetData>
    <row r="1" spans="2:14" ht="18" customHeight="1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</row>
    <row r="2" spans="2:14" x14ac:dyDescent="0.25">
      <c r="B2" s="50" t="s">
        <v>83</v>
      </c>
      <c r="C2" s="50" t="s">
        <v>398</v>
      </c>
      <c r="D2" s="11"/>
      <c r="E2" s="50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4" x14ac:dyDescent="0.25">
      <c r="B3" s="50" t="s">
        <v>84</v>
      </c>
      <c r="C3" s="50" t="s">
        <v>399</v>
      </c>
      <c r="D3" s="11">
        <v>50</v>
      </c>
      <c r="E3" s="50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139066</v>
      </c>
      <c r="M3" s="19">
        <v>135440</v>
      </c>
      <c r="N3" s="22">
        <f>L3-M3</f>
        <v>3626</v>
      </c>
    </row>
    <row r="4" spans="2:14" x14ac:dyDescent="0.25">
      <c r="B4" s="50" t="s">
        <v>85</v>
      </c>
      <c r="C4" s="50" t="s">
        <v>399</v>
      </c>
      <c r="D4" s="11">
        <v>50</v>
      </c>
      <c r="E4" s="5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4" x14ac:dyDescent="0.25">
      <c r="B5" s="50" t="s">
        <v>71</v>
      </c>
      <c r="C5" s="50" t="s">
        <v>399</v>
      </c>
      <c r="D5" s="11">
        <v>50</v>
      </c>
      <c r="E5" s="5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1" t="s">
        <v>401</v>
      </c>
    </row>
    <row r="6" spans="2:14" x14ac:dyDescent="0.25">
      <c r="B6" s="50" t="s">
        <v>0</v>
      </c>
      <c r="C6" s="50" t="s">
        <v>399</v>
      </c>
      <c r="D6" s="53">
        <v>25</v>
      </c>
      <c r="E6" s="50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4" x14ac:dyDescent="0.25">
      <c r="B7" s="50" t="s">
        <v>89</v>
      </c>
      <c r="C7" s="50" t="s">
        <v>399</v>
      </c>
      <c r="D7" s="11">
        <v>50</v>
      </c>
      <c r="E7" s="50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4" x14ac:dyDescent="0.25">
      <c r="B8" s="50" t="s">
        <v>90</v>
      </c>
      <c r="C8" s="50" t="s">
        <v>400</v>
      </c>
      <c r="D8" s="11"/>
      <c r="E8" s="50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2.6772002362669817E-2</v>
      </c>
    </row>
    <row r="9" spans="2:14" x14ac:dyDescent="0.25">
      <c r="B9" s="50" t="s">
        <v>91</v>
      </c>
      <c r="C9" s="50" t="s">
        <v>400</v>
      </c>
      <c r="D9" s="11"/>
      <c r="E9" s="50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File_Size_Comparision!F8</f>
        <v>2.6586620926243611E-2</v>
      </c>
    </row>
    <row r="10" spans="2:14" x14ac:dyDescent="0.25">
      <c r="B10" s="50" t="s">
        <v>92</v>
      </c>
      <c r="C10" s="50" t="s">
        <v>399</v>
      </c>
      <c r="D10" s="11">
        <v>50</v>
      </c>
      <c r="E10" s="50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4" x14ac:dyDescent="0.25">
      <c r="B11" s="50" t="s">
        <v>93</v>
      </c>
      <c r="C11" s="50" t="s">
        <v>399</v>
      </c>
      <c r="D11" s="11">
        <v>50</v>
      </c>
      <c r="E11" s="50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4" x14ac:dyDescent="0.25">
      <c r="B12" s="50" t="s">
        <v>94</v>
      </c>
      <c r="C12" s="50" t="s">
        <v>399</v>
      </c>
      <c r="D12" s="11">
        <v>50</v>
      </c>
      <c r="E12" s="50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4" x14ac:dyDescent="0.25">
      <c r="B13" s="50" t="s">
        <v>95</v>
      </c>
      <c r="C13" s="50" t="s">
        <v>399</v>
      </c>
      <c r="D13" s="11">
        <v>50</v>
      </c>
      <c r="E13" s="50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4" x14ac:dyDescent="0.25">
      <c r="B14" s="50" t="s">
        <v>96</v>
      </c>
      <c r="C14" s="50" t="s">
        <v>399</v>
      </c>
      <c r="D14" s="11">
        <v>50</v>
      </c>
      <c r="E14" s="50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4" x14ac:dyDescent="0.25">
      <c r="B15" s="50" t="s">
        <v>97</v>
      </c>
      <c r="C15" s="50" t="s">
        <v>399</v>
      </c>
      <c r="D15" s="11">
        <v>50</v>
      </c>
      <c r="E15" s="50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4" x14ac:dyDescent="0.25">
      <c r="B16" s="50" t="s">
        <v>98</v>
      </c>
      <c r="C16" s="50" t="s">
        <v>399</v>
      </c>
      <c r="D16" s="11">
        <v>50</v>
      </c>
      <c r="E16" s="50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50" t="s">
        <v>99</v>
      </c>
      <c r="C17" s="50" t="s">
        <v>399</v>
      </c>
      <c r="D17" s="11">
        <v>50</v>
      </c>
      <c r="E17" s="50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50" t="s">
        <v>100</v>
      </c>
      <c r="C18" s="50" t="s">
        <v>399</v>
      </c>
      <c r="D18" s="11">
        <v>50</v>
      </c>
      <c r="E18" s="50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50" t="s">
        <v>101</v>
      </c>
      <c r="C19" s="50" t="s">
        <v>399</v>
      </c>
      <c r="D19" s="11">
        <v>50</v>
      </c>
      <c r="E19" s="50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50" t="s">
        <v>102</v>
      </c>
      <c r="C20" s="50" t="s">
        <v>399</v>
      </c>
      <c r="D20" s="11">
        <v>50</v>
      </c>
      <c r="E20" s="50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50" t="s">
        <v>103</v>
      </c>
      <c r="C21" s="50" t="s">
        <v>399</v>
      </c>
      <c r="D21" s="11">
        <v>50</v>
      </c>
      <c r="E21" s="50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50" t="s">
        <v>104</v>
      </c>
      <c r="C22" s="50" t="s">
        <v>399</v>
      </c>
      <c r="D22" s="11">
        <v>50</v>
      </c>
      <c r="E22" s="50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50" t="s">
        <v>105</v>
      </c>
      <c r="C23" s="50" t="s">
        <v>399</v>
      </c>
      <c r="D23" s="11">
        <v>50</v>
      </c>
      <c r="E23" s="50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50" t="s">
        <v>106</v>
      </c>
      <c r="C24" s="50" t="s">
        <v>399</v>
      </c>
      <c r="D24" s="11">
        <v>50</v>
      </c>
      <c r="E24" s="50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50" t="s">
        <v>107</v>
      </c>
      <c r="C25" s="50" t="s">
        <v>399</v>
      </c>
      <c r="D25" s="11">
        <v>50</v>
      </c>
      <c r="E25" s="50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50" t="s">
        <v>108</v>
      </c>
      <c r="C26" s="50" t="s">
        <v>399</v>
      </c>
      <c r="D26" s="11">
        <v>50</v>
      </c>
      <c r="E26" s="50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83" priority="21" operator="equal">
      <formula>"Fail"</formula>
    </cfRule>
    <cfRule type="cellIs" dxfId="182" priority="22" operator="equal">
      <formula>"Pass"</formula>
    </cfRule>
  </conditionalFormatting>
  <conditionalFormatting sqref="H2:H26">
    <cfRule type="cellIs" dxfId="181" priority="19" operator="equal">
      <formula>"Fail"</formula>
    </cfRule>
    <cfRule type="cellIs" dxfId="180" priority="20" operator="equal">
      <formula>"Pass"</formula>
    </cfRule>
  </conditionalFormatting>
  <conditionalFormatting sqref="H2:H26">
    <cfRule type="cellIs" dxfId="179" priority="17" operator="equal">
      <formula>"Fail"</formula>
    </cfRule>
    <cfRule type="cellIs" dxfId="178" priority="18" operator="equal">
      <formula>"Pass"</formula>
    </cfRule>
  </conditionalFormatting>
  <conditionalFormatting sqref="H2:H26">
    <cfRule type="cellIs" dxfId="177" priority="15" operator="equal">
      <formula>"Fail"</formula>
    </cfRule>
    <cfRule type="cellIs" dxfId="176" priority="16" operator="equal">
      <formula>"Pass"</formula>
    </cfRule>
  </conditionalFormatting>
  <conditionalFormatting sqref="H2:H26">
    <cfRule type="cellIs" dxfId="175" priority="13" operator="equal">
      <formula>"Fail"</formula>
    </cfRule>
    <cfRule type="cellIs" dxfId="174" priority="14" operator="equal">
      <formula>"Pass"</formula>
    </cfRule>
  </conditionalFormatting>
  <conditionalFormatting sqref="H2:H26">
    <cfRule type="cellIs" dxfId="173" priority="11" operator="equal">
      <formula>"Fail"</formula>
    </cfRule>
    <cfRule type="cellIs" dxfId="172" priority="12" operator="equal">
      <formula>"Pass"</formula>
    </cfRule>
  </conditionalFormatting>
  <conditionalFormatting sqref="H2:H26">
    <cfRule type="cellIs" dxfId="171" priority="9" operator="equal">
      <formula>"Fail"</formula>
    </cfRule>
    <cfRule type="cellIs" dxfId="170" priority="10" operator="equal">
      <formula>"Pass"</formula>
    </cfRule>
  </conditionalFormatting>
  <conditionalFormatting sqref="H2:H26">
    <cfRule type="cellIs" dxfId="169" priority="7" operator="equal">
      <formula>"Fail"</formula>
    </cfRule>
    <cfRule type="cellIs" dxfId="168" priority="8" operator="equal">
      <formula>"Pass"</formula>
    </cfRule>
  </conditionalFormatting>
  <conditionalFormatting sqref="H2:H26">
    <cfRule type="cellIs" dxfId="167" priority="5" operator="equal">
      <formula>"Fail"</formula>
    </cfRule>
    <cfRule type="cellIs" dxfId="166" priority="6" operator="equal">
      <formula>"Pass"</formula>
    </cfRule>
  </conditionalFormatting>
  <conditionalFormatting sqref="H2:H26">
    <cfRule type="cellIs" dxfId="165" priority="3" operator="equal">
      <formula>"Fail"</formula>
    </cfRule>
    <cfRule type="cellIs" dxfId="164" priority="4" operator="equal">
      <formula>"Pass"</formula>
    </cfRule>
  </conditionalFormatting>
  <conditionalFormatting sqref="M6:M7">
    <cfRule type="cellIs" dxfId="163" priority="1" operator="equal">
      <formula>"Fail"</formula>
    </cfRule>
    <cfRule type="cellIs" dxfId="162" priority="2" operator="equal">
      <formula>"Pass"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20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56" t="s">
        <v>83</v>
      </c>
      <c r="C2" s="56" t="s">
        <v>549</v>
      </c>
      <c r="D2" s="11">
        <v>20</v>
      </c>
      <c r="E2" s="56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45720</v>
      </c>
      <c r="M2" s="19">
        <v>45720</v>
      </c>
      <c r="N2" s="22">
        <f>L2-M2</f>
        <v>0</v>
      </c>
    </row>
    <row r="3" spans="2:15" x14ac:dyDescent="0.25">
      <c r="B3" s="56" t="s">
        <v>671</v>
      </c>
      <c r="C3" s="56" t="s">
        <v>549</v>
      </c>
      <c r="D3" s="11">
        <v>20</v>
      </c>
      <c r="E3" s="56" t="s">
        <v>671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transactionid</v>
      </c>
      <c r="J3" s="3" t="str">
        <f t="shared" ref="J3:J66" si="3">SUBSTITUTE(E3,"_","")</f>
        <v>transactionid</v>
      </c>
      <c r="L3" s="20" t="s">
        <v>468</v>
      </c>
      <c r="M3" s="21"/>
      <c r="N3" s="22">
        <f>L2-M3</f>
        <v>45720</v>
      </c>
    </row>
    <row r="4" spans="2:15" x14ac:dyDescent="0.25">
      <c r="B4" s="56" t="s">
        <v>71</v>
      </c>
      <c r="C4" s="56" t="s">
        <v>550</v>
      </c>
      <c r="D4" s="11">
        <v>50</v>
      </c>
      <c r="E4" s="56" t="s">
        <v>71</v>
      </c>
      <c r="F4" s="11">
        <v>32</v>
      </c>
      <c r="G4" s="11" t="str">
        <f t="shared" si="0"/>
        <v>Pass</v>
      </c>
      <c r="H4" s="12" t="str">
        <f t="shared" si="1"/>
        <v>Pass</v>
      </c>
      <c r="I4" s="3" t="str">
        <f t="shared" si="2"/>
        <v>dwmemberid</v>
      </c>
      <c r="J4" s="3" t="str">
        <f t="shared" si="3"/>
        <v>dwmemberid</v>
      </c>
    </row>
    <row r="5" spans="2:15" x14ac:dyDescent="0.25">
      <c r="B5" s="56" t="s">
        <v>0</v>
      </c>
      <c r="C5" s="56" t="s">
        <v>549</v>
      </c>
      <c r="D5" s="11">
        <v>20</v>
      </c>
      <c r="E5" s="56" t="s">
        <v>0</v>
      </c>
      <c r="F5" s="11">
        <v>20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57" t="s">
        <v>401</v>
      </c>
      <c r="N5" s="41"/>
    </row>
    <row r="6" spans="2:15" x14ac:dyDescent="0.25">
      <c r="B6" s="56" t="s">
        <v>2</v>
      </c>
      <c r="C6" s="56" t="s">
        <v>549</v>
      </c>
      <c r="D6" s="11">
        <v>20</v>
      </c>
      <c r="E6" s="56" t="s">
        <v>2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mbrssn</v>
      </c>
      <c r="J6" s="3" t="str">
        <f t="shared" si="3"/>
        <v>mbrssn</v>
      </c>
      <c r="L6" s="23" t="s">
        <v>81</v>
      </c>
      <c r="M6" s="11" t="str">
        <f>IF(ISERROR(VLOOKUP($O$1,$G$2:$G$120,1,)),"Pass","Fail")</f>
        <v>Pass</v>
      </c>
      <c r="N6" s="37"/>
    </row>
    <row r="7" spans="2:15" x14ac:dyDescent="0.25">
      <c r="B7" s="56" t="s">
        <v>3</v>
      </c>
      <c r="C7" s="56" t="s">
        <v>549</v>
      </c>
      <c r="D7" s="11">
        <v>100</v>
      </c>
      <c r="E7" s="56" t="s">
        <v>3</v>
      </c>
      <c r="F7" s="11">
        <v>13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mbrfirstname</v>
      </c>
      <c r="J7" s="3" t="str">
        <f t="shared" si="3"/>
        <v>mbrfirstname</v>
      </c>
      <c r="L7" s="23" t="s">
        <v>402</v>
      </c>
      <c r="M7" s="11" t="str">
        <f>IF(ISERROR(VLOOKUP($O$1,$H$2:$H$120,1,)),"Pass","Fail")</f>
        <v>Pass</v>
      </c>
      <c r="N7" s="37"/>
    </row>
    <row r="8" spans="2:15" x14ac:dyDescent="0.25">
      <c r="B8" s="56" t="s">
        <v>4</v>
      </c>
      <c r="C8" s="56" t="s">
        <v>549</v>
      </c>
      <c r="D8" s="11">
        <v>100</v>
      </c>
      <c r="E8" s="56" t="s">
        <v>4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mbrmiddlename</v>
      </c>
      <c r="J8" s="3" t="str">
        <f t="shared" si="3"/>
        <v>mbrmiddlename</v>
      </c>
      <c r="L8" s="23" t="s">
        <v>465</v>
      </c>
      <c r="M8" s="39" t="str">
        <f>IF(N2=0,"Pass","Fail")</f>
        <v>Pass</v>
      </c>
    </row>
    <row r="9" spans="2:15" x14ac:dyDescent="0.25">
      <c r="B9" s="56" t="s">
        <v>5</v>
      </c>
      <c r="C9" s="56" t="s">
        <v>549</v>
      </c>
      <c r="D9" s="11">
        <v>100</v>
      </c>
      <c r="E9" s="56" t="s">
        <v>5</v>
      </c>
      <c r="F9" s="11">
        <v>18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mbrlastname</v>
      </c>
      <c r="J9" s="3" t="str">
        <f t="shared" si="3"/>
        <v>mbrlastname</v>
      </c>
      <c r="L9" s="23" t="s">
        <v>467</v>
      </c>
      <c r="M9" s="40">
        <f>IF(M3=0,0%,N3/M3)</f>
        <v>0</v>
      </c>
    </row>
    <row r="10" spans="2:15" x14ac:dyDescent="0.25">
      <c r="B10" s="56" t="s">
        <v>7</v>
      </c>
      <c r="C10" s="56" t="s">
        <v>549</v>
      </c>
      <c r="D10" s="11">
        <v>2</v>
      </c>
      <c r="E10" s="56" t="s">
        <v>7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mbrgender</v>
      </c>
      <c r="J10" s="3" t="str">
        <f t="shared" si="3"/>
        <v>mbrgender</v>
      </c>
      <c r="L10" s="23" t="s">
        <v>466</v>
      </c>
      <c r="M10" s="40" t="e">
        <f>File_Size_Comparision!F9</f>
        <v>#VALUE!</v>
      </c>
    </row>
    <row r="11" spans="2:15" x14ac:dyDescent="0.25">
      <c r="B11" s="56" t="s">
        <v>8</v>
      </c>
      <c r="C11" s="56" t="s">
        <v>400</v>
      </c>
      <c r="D11" s="11" t="s">
        <v>476</v>
      </c>
      <c r="E11" s="56" t="s">
        <v>8</v>
      </c>
      <c r="F11" s="11">
        <v>10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mbrdob</v>
      </c>
      <c r="J11" s="3" t="str">
        <f t="shared" si="3"/>
        <v>mbrdob</v>
      </c>
    </row>
    <row r="12" spans="2:15" x14ac:dyDescent="0.25">
      <c r="B12" s="56" t="s">
        <v>9</v>
      </c>
      <c r="C12" s="56" t="s">
        <v>549</v>
      </c>
      <c r="D12" s="11">
        <v>50</v>
      </c>
      <c r="E12" s="56" t="s">
        <v>9</v>
      </c>
      <c r="F12" s="11">
        <v>30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mbrstreet1</v>
      </c>
      <c r="J12" s="3" t="str">
        <f t="shared" si="3"/>
        <v>mbrstreet1</v>
      </c>
    </row>
    <row r="13" spans="2:15" x14ac:dyDescent="0.25">
      <c r="B13" s="56" t="s">
        <v>10</v>
      </c>
      <c r="C13" s="56" t="s">
        <v>549</v>
      </c>
      <c r="D13" s="11">
        <v>50</v>
      </c>
      <c r="E13" s="56" t="s">
        <v>10</v>
      </c>
      <c r="F13" s="11">
        <v>21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mbrstreet2</v>
      </c>
      <c r="J13" s="3" t="str">
        <f t="shared" si="3"/>
        <v>mbrstreet2</v>
      </c>
    </row>
    <row r="14" spans="2:15" x14ac:dyDescent="0.25">
      <c r="B14" s="56" t="s">
        <v>11</v>
      </c>
      <c r="C14" s="56" t="s">
        <v>549</v>
      </c>
      <c r="D14" s="11">
        <v>20</v>
      </c>
      <c r="E14" s="56" t="s">
        <v>11</v>
      </c>
      <c r="F14" s="11">
        <v>18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mbrcity</v>
      </c>
      <c r="J14" s="3" t="str">
        <f t="shared" si="3"/>
        <v>mbrcity</v>
      </c>
    </row>
    <row r="15" spans="2:15" x14ac:dyDescent="0.25">
      <c r="B15" s="56" t="s">
        <v>12</v>
      </c>
      <c r="C15" s="56" t="s">
        <v>549</v>
      </c>
      <c r="D15" s="11">
        <v>20</v>
      </c>
      <c r="E15" s="56" t="s">
        <v>12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mbrcounty</v>
      </c>
      <c r="J15" s="3" t="str">
        <f t="shared" si="3"/>
        <v>mbrcounty</v>
      </c>
    </row>
    <row r="16" spans="2:15" x14ac:dyDescent="0.25">
      <c r="B16" s="56" t="s">
        <v>13</v>
      </c>
      <c r="C16" s="56" t="s">
        <v>549</v>
      </c>
      <c r="D16" s="11">
        <v>2</v>
      </c>
      <c r="E16" s="56" t="s">
        <v>13</v>
      </c>
      <c r="F16" s="11">
        <v>2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mbrstate</v>
      </c>
      <c r="J16" s="3" t="str">
        <f t="shared" si="3"/>
        <v>mbrstate</v>
      </c>
    </row>
    <row r="17" spans="2:10" x14ac:dyDescent="0.25">
      <c r="B17" s="56" t="s">
        <v>14</v>
      </c>
      <c r="C17" s="56" t="s">
        <v>549</v>
      </c>
      <c r="D17" s="11">
        <v>10</v>
      </c>
      <c r="E17" s="56" t="s">
        <v>14</v>
      </c>
      <c r="F17" s="11">
        <v>5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mbrzip</v>
      </c>
      <c r="J17" s="3" t="str">
        <f t="shared" si="3"/>
        <v>mbrzip</v>
      </c>
    </row>
    <row r="18" spans="2:10" x14ac:dyDescent="0.25">
      <c r="B18" s="56" t="s">
        <v>15</v>
      </c>
      <c r="C18" s="56" t="s">
        <v>549</v>
      </c>
      <c r="D18" s="11">
        <v>15</v>
      </c>
      <c r="E18" s="56" t="s">
        <v>15</v>
      </c>
      <c r="F18" s="11">
        <v>10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mbrphone</v>
      </c>
      <c r="J18" s="3" t="str">
        <f t="shared" si="3"/>
        <v>mbrphone</v>
      </c>
    </row>
    <row r="19" spans="2:10" x14ac:dyDescent="0.25">
      <c r="B19" s="56" t="s">
        <v>672</v>
      </c>
      <c r="C19" s="56" t="s">
        <v>549</v>
      </c>
      <c r="D19" s="11">
        <v>50</v>
      </c>
      <c r="E19" s="56" t="s">
        <v>672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mbremailaddress</v>
      </c>
      <c r="J19" s="3" t="str">
        <f t="shared" si="3"/>
        <v>mbremailaddress</v>
      </c>
    </row>
    <row r="20" spans="2:10" x14ac:dyDescent="0.25">
      <c r="B20" s="56" t="s">
        <v>673</v>
      </c>
      <c r="C20" s="56" t="s">
        <v>549</v>
      </c>
      <c r="D20" s="11">
        <v>20</v>
      </c>
      <c r="E20" s="56" t="s">
        <v>673</v>
      </c>
      <c r="F20" s="11">
        <v>0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mbrmaritalstatus</v>
      </c>
      <c r="J20" s="3" t="str">
        <f t="shared" si="3"/>
        <v>mbrmaritalstatus</v>
      </c>
    </row>
    <row r="21" spans="2:10" x14ac:dyDescent="0.25">
      <c r="B21" s="56" t="s">
        <v>674</v>
      </c>
      <c r="C21" s="56" t="s">
        <v>549</v>
      </c>
      <c r="D21" s="11">
        <v>50</v>
      </c>
      <c r="E21" s="56" t="s">
        <v>674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mbrrace</v>
      </c>
      <c r="J21" s="3" t="str">
        <f t="shared" si="3"/>
        <v>mbrrace</v>
      </c>
    </row>
    <row r="22" spans="2:10" x14ac:dyDescent="0.25">
      <c r="B22" s="56" t="s">
        <v>675</v>
      </c>
      <c r="C22" s="56" t="s">
        <v>549</v>
      </c>
      <c r="D22" s="11">
        <v>50</v>
      </c>
      <c r="E22" s="56" t="s">
        <v>675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mbrethnicgroup</v>
      </c>
      <c r="J22" s="3" t="str">
        <f t="shared" si="3"/>
        <v>mbrethnicgroup</v>
      </c>
    </row>
    <row r="23" spans="2:10" x14ac:dyDescent="0.25">
      <c r="B23" s="56" t="s">
        <v>676</v>
      </c>
      <c r="C23" s="56" t="s">
        <v>549</v>
      </c>
      <c r="D23" s="11">
        <v>50</v>
      </c>
      <c r="E23" s="56" t="s">
        <v>676</v>
      </c>
      <c r="F23" s="11">
        <v>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mbredulvl</v>
      </c>
      <c r="J23" s="3" t="str">
        <f t="shared" si="3"/>
        <v>mbredulvl</v>
      </c>
    </row>
    <row r="24" spans="2:10" x14ac:dyDescent="0.25">
      <c r="B24" s="56" t="s">
        <v>18</v>
      </c>
      <c r="C24" s="56" t="s">
        <v>549</v>
      </c>
      <c r="D24" s="11">
        <v>2</v>
      </c>
      <c r="E24" s="56" t="s">
        <v>18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mbrrelationshipcode</v>
      </c>
      <c r="J24" s="3" t="str">
        <f t="shared" si="3"/>
        <v>mbrrelationshipcode</v>
      </c>
    </row>
    <row r="25" spans="2:10" x14ac:dyDescent="0.25">
      <c r="B25" s="56" t="s">
        <v>19</v>
      </c>
      <c r="C25" s="56" t="s">
        <v>549</v>
      </c>
      <c r="D25" s="11">
        <v>100</v>
      </c>
      <c r="E25" s="56" t="s">
        <v>19</v>
      </c>
      <c r="F25" s="11">
        <v>8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mbrrelationshipdesc</v>
      </c>
      <c r="J25" s="3" t="str">
        <f t="shared" si="3"/>
        <v>mbrrelationshipdesc</v>
      </c>
    </row>
    <row r="26" spans="2:10" x14ac:dyDescent="0.25">
      <c r="B26" s="56" t="s">
        <v>677</v>
      </c>
      <c r="C26" s="56" t="s">
        <v>549</v>
      </c>
      <c r="D26" s="11">
        <v>20</v>
      </c>
      <c r="E26" s="56" t="s">
        <v>677</v>
      </c>
      <c r="F26" s="11">
        <v>9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mbrrelationshipclass</v>
      </c>
      <c r="J26" s="3" t="str">
        <f t="shared" si="3"/>
        <v>mbrrelationshipclass</v>
      </c>
    </row>
    <row r="27" spans="2:10" x14ac:dyDescent="0.25">
      <c r="B27" s="56" t="s">
        <v>28</v>
      </c>
      <c r="C27" s="56" t="s">
        <v>549</v>
      </c>
      <c r="D27" s="11">
        <v>20</v>
      </c>
      <c r="E27" s="56" t="s">
        <v>28</v>
      </c>
      <c r="F27" s="11">
        <v>15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insempgroupid</v>
      </c>
      <c r="J27" s="3" t="str">
        <f t="shared" si="3"/>
        <v>insempgroupid</v>
      </c>
    </row>
    <row r="28" spans="2:10" x14ac:dyDescent="0.25">
      <c r="B28" s="56" t="s">
        <v>29</v>
      </c>
      <c r="C28" s="56" t="s">
        <v>549</v>
      </c>
      <c r="D28" s="11">
        <v>100</v>
      </c>
      <c r="E28" s="56" t="s">
        <v>29</v>
      </c>
      <c r="F28" s="11">
        <v>12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insempgroupname</v>
      </c>
      <c r="J28" s="3" t="str">
        <f t="shared" si="3"/>
        <v>insempgroupname</v>
      </c>
    </row>
    <row r="29" spans="2:10" x14ac:dyDescent="0.25">
      <c r="B29" s="56" t="s">
        <v>20</v>
      </c>
      <c r="C29" s="56" t="s">
        <v>549</v>
      </c>
      <c r="D29" s="11">
        <v>20</v>
      </c>
      <c r="E29" s="56" t="s">
        <v>20</v>
      </c>
      <c r="F29" s="11">
        <v>2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insplantypecode</v>
      </c>
      <c r="J29" s="3" t="str">
        <f t="shared" si="3"/>
        <v>insplantypecode</v>
      </c>
    </row>
    <row r="30" spans="2:10" x14ac:dyDescent="0.25">
      <c r="B30" s="56" t="s">
        <v>21</v>
      </c>
      <c r="C30" s="56" t="s">
        <v>549</v>
      </c>
      <c r="D30" s="11">
        <v>100</v>
      </c>
      <c r="E30" s="56" t="s">
        <v>21</v>
      </c>
      <c r="F30" s="11">
        <v>5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insplantypedesc</v>
      </c>
      <c r="J30" s="3" t="str">
        <f t="shared" si="3"/>
        <v>insplantypedesc</v>
      </c>
    </row>
    <row r="31" spans="2:10" x14ac:dyDescent="0.25">
      <c r="B31" s="56" t="s">
        <v>22</v>
      </c>
      <c r="C31" s="56" t="s">
        <v>549</v>
      </c>
      <c r="D31" s="11">
        <v>20</v>
      </c>
      <c r="E31" s="56" t="s">
        <v>22</v>
      </c>
      <c r="F31" s="11">
        <v>12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inscarrierid</v>
      </c>
      <c r="J31" s="3" t="str">
        <f t="shared" si="3"/>
        <v>inscarrierid</v>
      </c>
    </row>
    <row r="32" spans="2:10" x14ac:dyDescent="0.25">
      <c r="B32" s="56" t="s">
        <v>23</v>
      </c>
      <c r="C32" s="56" t="s">
        <v>549</v>
      </c>
      <c r="D32" s="11">
        <v>100</v>
      </c>
      <c r="E32" s="56" t="s">
        <v>23</v>
      </c>
      <c r="F32" s="11">
        <v>12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inscarriername</v>
      </c>
      <c r="J32" s="3" t="str">
        <f t="shared" si="3"/>
        <v>inscarriername</v>
      </c>
    </row>
    <row r="33" spans="2:11" x14ac:dyDescent="0.25">
      <c r="B33" s="56" t="s">
        <v>30</v>
      </c>
      <c r="C33" s="56" t="s">
        <v>549</v>
      </c>
      <c r="D33" s="53">
        <v>47</v>
      </c>
      <c r="E33" s="56" t="s">
        <v>30</v>
      </c>
      <c r="F33" s="11">
        <v>47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insdivisionid</v>
      </c>
      <c r="J33" s="3" t="str">
        <f t="shared" si="3"/>
        <v>insdivisionid</v>
      </c>
      <c r="K33" t="s">
        <v>746</v>
      </c>
    </row>
    <row r="34" spans="2:11" x14ac:dyDescent="0.25">
      <c r="B34" s="56" t="s">
        <v>31</v>
      </c>
      <c r="C34" s="56" t="s">
        <v>549</v>
      </c>
      <c r="D34" s="11">
        <v>100</v>
      </c>
      <c r="E34" s="56" t="s">
        <v>31</v>
      </c>
      <c r="F34" s="11">
        <v>56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insdivisionname</v>
      </c>
      <c r="J34" s="3" t="str">
        <f t="shared" si="3"/>
        <v>insdivisionname</v>
      </c>
    </row>
    <row r="35" spans="2:11" x14ac:dyDescent="0.25">
      <c r="B35" s="56" t="s">
        <v>26</v>
      </c>
      <c r="C35" s="56" t="s">
        <v>549</v>
      </c>
      <c r="D35" s="45">
        <v>66</v>
      </c>
      <c r="E35" s="56" t="s">
        <v>26</v>
      </c>
      <c r="F35" s="11">
        <v>66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insplanid</v>
      </c>
      <c r="J35" s="3" t="str">
        <f t="shared" si="3"/>
        <v>insplanid</v>
      </c>
    </row>
    <row r="36" spans="2:11" x14ac:dyDescent="0.25">
      <c r="B36" s="56" t="s">
        <v>27</v>
      </c>
      <c r="C36" s="56" t="s">
        <v>549</v>
      </c>
      <c r="D36" s="45">
        <v>100</v>
      </c>
      <c r="E36" s="56" t="s">
        <v>27</v>
      </c>
      <c r="F36" s="11">
        <v>86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insplandesc</v>
      </c>
      <c r="J36" s="3" t="str">
        <f t="shared" si="3"/>
        <v>insplandesc</v>
      </c>
    </row>
    <row r="37" spans="2:11" x14ac:dyDescent="0.25">
      <c r="B37" s="56" t="s">
        <v>678</v>
      </c>
      <c r="C37" s="56" t="s">
        <v>549</v>
      </c>
      <c r="D37" s="45">
        <v>20</v>
      </c>
      <c r="E37" s="56" t="s">
        <v>678</v>
      </c>
      <c r="F37" s="11">
        <v>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prvproviderid</v>
      </c>
      <c r="J37" s="3" t="str">
        <f t="shared" si="3"/>
        <v>prvproviderid</v>
      </c>
    </row>
    <row r="38" spans="2:11" x14ac:dyDescent="0.25">
      <c r="B38" s="56" t="s">
        <v>117</v>
      </c>
      <c r="C38" s="56" t="s">
        <v>549</v>
      </c>
      <c r="D38" s="11">
        <v>100</v>
      </c>
      <c r="E38" s="56" t="s">
        <v>117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prvfirstname</v>
      </c>
      <c r="J38" s="3" t="str">
        <f t="shared" si="3"/>
        <v>prvfirstname</v>
      </c>
    </row>
    <row r="39" spans="2:11" x14ac:dyDescent="0.25">
      <c r="B39" s="56" t="s">
        <v>118</v>
      </c>
      <c r="C39" s="56" t="s">
        <v>549</v>
      </c>
      <c r="D39" s="11">
        <v>100</v>
      </c>
      <c r="E39" s="56" t="s">
        <v>118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prvmiddlename</v>
      </c>
      <c r="J39" s="3" t="str">
        <f t="shared" si="3"/>
        <v>prvmiddlename</v>
      </c>
    </row>
    <row r="40" spans="2:11" x14ac:dyDescent="0.25">
      <c r="B40" s="56" t="s">
        <v>119</v>
      </c>
      <c r="C40" s="56" t="s">
        <v>549</v>
      </c>
      <c r="D40" s="11">
        <v>100</v>
      </c>
      <c r="E40" s="56" t="s">
        <v>119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prvlastname</v>
      </c>
      <c r="J40" s="3" t="str">
        <f t="shared" si="3"/>
        <v>prvlastname</v>
      </c>
    </row>
    <row r="41" spans="2:11" x14ac:dyDescent="0.25">
      <c r="B41" s="56" t="s">
        <v>315</v>
      </c>
      <c r="C41" s="56" t="s">
        <v>400</v>
      </c>
      <c r="D41" s="11" t="s">
        <v>476</v>
      </c>
      <c r="E41" s="56" t="s">
        <v>315</v>
      </c>
      <c r="F41" s="11">
        <v>10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svcservicedate</v>
      </c>
      <c r="J41" s="3" t="str">
        <f t="shared" si="3"/>
        <v>svcservicedate</v>
      </c>
    </row>
    <row r="42" spans="2:11" x14ac:dyDescent="0.25">
      <c r="B42" s="56" t="s">
        <v>163</v>
      </c>
      <c r="C42" s="56" t="s">
        <v>549</v>
      </c>
      <c r="D42" s="11">
        <v>15</v>
      </c>
      <c r="E42" s="56" t="s">
        <v>163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svccptcode</v>
      </c>
      <c r="J42" s="3" t="str">
        <f t="shared" si="3"/>
        <v>svccptcode</v>
      </c>
    </row>
    <row r="43" spans="2:11" x14ac:dyDescent="0.25">
      <c r="B43" s="56" t="s">
        <v>679</v>
      </c>
      <c r="C43" s="56" t="s">
        <v>549</v>
      </c>
      <c r="D43" s="11">
        <v>100</v>
      </c>
      <c r="E43" s="56" t="s">
        <v>679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svccptDesc</v>
      </c>
      <c r="J43" s="3" t="str">
        <f t="shared" si="3"/>
        <v>svccptDesc</v>
      </c>
    </row>
    <row r="44" spans="2:11" x14ac:dyDescent="0.25">
      <c r="B44" s="56" t="s">
        <v>680</v>
      </c>
      <c r="C44" s="56" t="s">
        <v>549</v>
      </c>
      <c r="D44" s="45">
        <v>15</v>
      </c>
      <c r="E44" s="56" t="s">
        <v>680</v>
      </c>
      <c r="F44" s="11">
        <v>7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svcloinccode</v>
      </c>
      <c r="J44" s="3" t="str">
        <f t="shared" si="3"/>
        <v>svcloinccode</v>
      </c>
    </row>
    <row r="45" spans="2:11" x14ac:dyDescent="0.25">
      <c r="B45" s="56" t="s">
        <v>681</v>
      </c>
      <c r="C45" s="56" t="s">
        <v>549</v>
      </c>
      <c r="D45" s="11">
        <v>100</v>
      </c>
      <c r="E45" s="56" t="s">
        <v>681</v>
      </c>
      <c r="F45" s="11">
        <v>81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svcloincdesc</v>
      </c>
      <c r="J45" s="3" t="str">
        <f t="shared" si="3"/>
        <v>svcloincdesc</v>
      </c>
    </row>
    <row r="46" spans="2:11" x14ac:dyDescent="0.25">
      <c r="B46" s="56" t="s">
        <v>682</v>
      </c>
      <c r="C46" s="56" t="s">
        <v>549</v>
      </c>
      <c r="D46" s="11">
        <v>10</v>
      </c>
      <c r="E46" s="56" t="s">
        <v>682</v>
      </c>
      <c r="F46" s="11">
        <v>6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svclabid</v>
      </c>
      <c r="J46" s="3" t="str">
        <f t="shared" si="3"/>
        <v>svclabid</v>
      </c>
    </row>
    <row r="47" spans="2:11" x14ac:dyDescent="0.25">
      <c r="B47" s="56" t="s">
        <v>683</v>
      </c>
      <c r="C47" s="56" t="s">
        <v>549</v>
      </c>
      <c r="D47" s="11">
        <v>50</v>
      </c>
      <c r="E47" s="56" t="s">
        <v>683</v>
      </c>
      <c r="F47" s="11">
        <v>27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svclabname</v>
      </c>
      <c r="J47" s="3" t="str">
        <f t="shared" si="3"/>
        <v>svclabname</v>
      </c>
    </row>
    <row r="48" spans="2:11" x14ac:dyDescent="0.25">
      <c r="B48" s="56" t="s">
        <v>684</v>
      </c>
      <c r="C48" s="56" t="s">
        <v>549</v>
      </c>
      <c r="D48" s="45">
        <v>15</v>
      </c>
      <c r="E48" s="56" t="s">
        <v>684</v>
      </c>
      <c r="F48" s="11">
        <v>10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svctestnorm</v>
      </c>
      <c r="J48" s="3" t="str">
        <f t="shared" si="3"/>
        <v>svctestnorm</v>
      </c>
    </row>
    <row r="49" spans="2:10" x14ac:dyDescent="0.25">
      <c r="B49" s="56" t="s">
        <v>685</v>
      </c>
      <c r="C49" s="56" t="s">
        <v>550</v>
      </c>
      <c r="D49" s="11">
        <v>10</v>
      </c>
      <c r="E49" s="56" t="s">
        <v>685</v>
      </c>
      <c r="F49" s="11">
        <v>4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svctestvalue</v>
      </c>
      <c r="J49" s="3" t="str">
        <f t="shared" si="3"/>
        <v>svctestvalue</v>
      </c>
    </row>
    <row r="50" spans="2:10" x14ac:dyDescent="0.25">
      <c r="B50" s="56" t="s">
        <v>686</v>
      </c>
      <c r="C50" s="56" t="s">
        <v>550</v>
      </c>
      <c r="D50" s="11">
        <v>100</v>
      </c>
      <c r="E50" s="56" t="s">
        <v>686</v>
      </c>
      <c r="F50" s="11">
        <v>13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svctestmeasure</v>
      </c>
      <c r="J50" s="3" t="str">
        <f t="shared" si="3"/>
        <v>svctestmeasure</v>
      </c>
    </row>
    <row r="51" spans="2:10" x14ac:dyDescent="0.25">
      <c r="B51" s="56" t="s">
        <v>687</v>
      </c>
      <c r="C51" s="56" t="s">
        <v>549</v>
      </c>
      <c r="D51" s="11">
        <v>100</v>
      </c>
      <c r="E51" s="56" t="s">
        <v>687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referringphysicianid</v>
      </c>
      <c r="J51" s="3" t="str">
        <f t="shared" si="3"/>
        <v>referringphysicianid</v>
      </c>
    </row>
    <row r="52" spans="2:10" x14ac:dyDescent="0.25">
      <c r="B52" s="56" t="s">
        <v>688</v>
      </c>
      <c r="C52" s="56" t="s">
        <v>549</v>
      </c>
      <c r="D52" s="11">
        <v>100</v>
      </c>
      <c r="E52" s="56" t="s">
        <v>688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referringphysicianfirstname</v>
      </c>
      <c r="J52" s="3" t="str">
        <f t="shared" si="3"/>
        <v>referringphysicianfirstname</v>
      </c>
    </row>
    <row r="53" spans="2:10" x14ac:dyDescent="0.25">
      <c r="B53" s="56" t="s">
        <v>689</v>
      </c>
      <c r="C53" s="56" t="s">
        <v>549</v>
      </c>
      <c r="D53" s="11">
        <v>100</v>
      </c>
      <c r="E53" s="56" t="s">
        <v>689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referringphysicianlastname</v>
      </c>
      <c r="J53" s="3" t="str">
        <f t="shared" si="3"/>
        <v>referringphysicianlastname</v>
      </c>
    </row>
    <row r="54" spans="2:10" x14ac:dyDescent="0.25">
      <c r="B54" s="56" t="s">
        <v>690</v>
      </c>
      <c r="C54" s="56" t="s">
        <v>549</v>
      </c>
      <c r="D54" s="11">
        <v>11</v>
      </c>
      <c r="E54" s="56" t="s">
        <v>690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referringphysiciannpi</v>
      </c>
      <c r="J54" s="3" t="str">
        <f t="shared" si="3"/>
        <v>referringphysiciannpi</v>
      </c>
    </row>
    <row r="55" spans="2:10" x14ac:dyDescent="0.25">
      <c r="B55" s="56" t="s">
        <v>691</v>
      </c>
      <c r="C55" s="56" t="s">
        <v>549</v>
      </c>
      <c r="D55" s="11">
        <v>100</v>
      </c>
      <c r="E55" s="56" t="s">
        <v>691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supervisingphysicianid</v>
      </c>
      <c r="J55" s="3" t="str">
        <f t="shared" si="3"/>
        <v>supervisingphysicianid</v>
      </c>
    </row>
    <row r="56" spans="2:10" x14ac:dyDescent="0.25">
      <c r="B56" s="56" t="s">
        <v>692</v>
      </c>
      <c r="C56" s="56" t="s">
        <v>549</v>
      </c>
      <c r="D56" s="11">
        <v>11</v>
      </c>
      <c r="E56" s="56" t="s">
        <v>692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supervisingphysiciannpi</v>
      </c>
      <c r="J56" s="3" t="str">
        <f t="shared" si="3"/>
        <v>supervisingphysiciannpi</v>
      </c>
    </row>
    <row r="57" spans="2:10" x14ac:dyDescent="0.25">
      <c r="B57" s="56" t="s">
        <v>693</v>
      </c>
      <c r="C57" s="56" t="s">
        <v>549</v>
      </c>
      <c r="D57" s="11">
        <v>100</v>
      </c>
      <c r="E57" s="56" t="s">
        <v>693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supervisingphysicianfirstname</v>
      </c>
      <c r="J57" s="3" t="str">
        <f t="shared" si="3"/>
        <v>supervisingphysicianfirstname</v>
      </c>
    </row>
    <row r="58" spans="2:10" x14ac:dyDescent="0.25">
      <c r="B58" s="56" t="s">
        <v>694</v>
      </c>
      <c r="C58" s="56" t="s">
        <v>549</v>
      </c>
      <c r="D58" s="11">
        <v>100</v>
      </c>
      <c r="E58" s="56" t="s">
        <v>694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supervisingphysicianlastname</v>
      </c>
      <c r="J58" s="3" t="str">
        <f t="shared" si="3"/>
        <v>supervisingphysicianlastname</v>
      </c>
    </row>
    <row r="59" spans="2:10" x14ac:dyDescent="0.25">
      <c r="B59" s="56" t="s">
        <v>695</v>
      </c>
      <c r="C59" s="56" t="s">
        <v>549</v>
      </c>
      <c r="D59" s="45">
        <v>20</v>
      </c>
      <c r="E59" s="56" t="s">
        <v>695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diagnosisid</v>
      </c>
      <c r="J59" s="3" t="str">
        <f t="shared" si="3"/>
        <v>diagnosisid</v>
      </c>
    </row>
    <row r="60" spans="2:10" x14ac:dyDescent="0.25">
      <c r="B60" s="56" t="s">
        <v>696</v>
      </c>
      <c r="C60" s="56" t="s">
        <v>549</v>
      </c>
      <c r="D60" s="11">
        <v>15</v>
      </c>
      <c r="E60" s="56" t="s">
        <v>696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prvtaxonomycode1</v>
      </c>
      <c r="J60" s="3" t="str">
        <f t="shared" si="3"/>
        <v>prvtaxonomycode1</v>
      </c>
    </row>
    <row r="61" spans="2:10" x14ac:dyDescent="0.25">
      <c r="B61" s="56" t="s">
        <v>697</v>
      </c>
      <c r="C61" s="56" t="s">
        <v>549</v>
      </c>
      <c r="D61" s="11">
        <v>100</v>
      </c>
      <c r="E61" s="56" t="s">
        <v>697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prvtaxonomydesc1</v>
      </c>
      <c r="J61" s="3" t="str">
        <f t="shared" si="3"/>
        <v>prvtaxonomydesc1</v>
      </c>
    </row>
    <row r="62" spans="2:10" x14ac:dyDescent="0.25">
      <c r="B62" s="56" t="s">
        <v>698</v>
      </c>
      <c r="C62" s="56" t="s">
        <v>549</v>
      </c>
      <c r="D62" s="11">
        <v>100</v>
      </c>
      <c r="E62" s="56" t="s">
        <v>698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prvtaxonomysubdesc1</v>
      </c>
      <c r="J62" s="3" t="str">
        <f t="shared" si="3"/>
        <v>prvtaxonomysubdesc1</v>
      </c>
    </row>
    <row r="63" spans="2:10" x14ac:dyDescent="0.25">
      <c r="B63" s="56" t="s">
        <v>699</v>
      </c>
      <c r="C63" s="56" t="s">
        <v>549</v>
      </c>
      <c r="D63" s="11">
        <v>15</v>
      </c>
      <c r="E63" s="56" t="s">
        <v>699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prvtaxonomycode2</v>
      </c>
      <c r="J63" s="3" t="str">
        <f t="shared" si="3"/>
        <v>prvtaxonomycode2</v>
      </c>
    </row>
    <row r="64" spans="2:10" x14ac:dyDescent="0.25">
      <c r="B64" s="56" t="s">
        <v>700</v>
      </c>
      <c r="C64" s="56" t="s">
        <v>549</v>
      </c>
      <c r="D64" s="11">
        <v>100</v>
      </c>
      <c r="E64" s="56" t="s">
        <v>700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prvtaxonomydesc2</v>
      </c>
      <c r="J64" s="3" t="str">
        <f t="shared" si="3"/>
        <v>prvtaxonomydesc2</v>
      </c>
    </row>
    <row r="65" spans="2:10" x14ac:dyDescent="0.25">
      <c r="B65" s="56" t="s">
        <v>701</v>
      </c>
      <c r="C65" s="56" t="s">
        <v>549</v>
      </c>
      <c r="D65" s="11">
        <v>100</v>
      </c>
      <c r="E65" s="56" t="s">
        <v>701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prvtaxonomysubdesc2</v>
      </c>
      <c r="J65" s="3" t="str">
        <f t="shared" si="3"/>
        <v>prvtaxonomysubdesc2</v>
      </c>
    </row>
    <row r="66" spans="2:10" x14ac:dyDescent="0.25">
      <c r="B66" s="56" t="s">
        <v>702</v>
      </c>
      <c r="C66" s="56" t="s">
        <v>549</v>
      </c>
      <c r="D66" s="11" t="s">
        <v>476</v>
      </c>
      <c r="E66" s="56" t="s">
        <v>702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labid</v>
      </c>
      <c r="J66" s="3" t="str">
        <f t="shared" si="3"/>
        <v>labid</v>
      </c>
    </row>
    <row r="67" spans="2:10" x14ac:dyDescent="0.25">
      <c r="B67" s="56" t="s">
        <v>703</v>
      </c>
      <c r="C67" s="56" t="s">
        <v>745</v>
      </c>
      <c r="D67" s="11" t="s">
        <v>476</v>
      </c>
      <c r="E67" s="56" t="s">
        <v>703</v>
      </c>
      <c r="F67" s="11">
        <v>0</v>
      </c>
      <c r="G67" s="11" t="str">
        <f t="shared" ref="G67:G120" si="4">IF(I67=J67,"Pass","Fail")</f>
        <v>Pass</v>
      </c>
      <c r="H67" s="12" t="str">
        <f t="shared" ref="H67:H120" si="5">IF(AND(ISBLANK(D67),F67&gt;=0),"Pass",IF(F67&lt;=D67,"Pass","Fail"))</f>
        <v>Pass</v>
      </c>
      <c r="I67" s="3" t="str">
        <f t="shared" ref="I67:I120" si="6">SUBSTITUTE(B67,"_","")</f>
        <v>svcfloattestvalue</v>
      </c>
      <c r="J67" s="3" t="str">
        <f t="shared" ref="J67:J120" si="7">SUBSTITUTE(E67,"_","")</f>
        <v>svcfloattestvalue</v>
      </c>
    </row>
    <row r="68" spans="2:10" x14ac:dyDescent="0.25">
      <c r="B68" s="56" t="s">
        <v>704</v>
      </c>
      <c r="C68" s="56" t="s">
        <v>549</v>
      </c>
      <c r="D68" s="11">
        <v>100</v>
      </c>
      <c r="E68" s="56" t="s">
        <v>704</v>
      </c>
      <c r="F68" s="11">
        <v>0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udf1lab</v>
      </c>
      <c r="J68" s="3" t="str">
        <f t="shared" si="7"/>
        <v>udf1lab</v>
      </c>
    </row>
    <row r="69" spans="2:10" x14ac:dyDescent="0.25">
      <c r="B69" s="56" t="s">
        <v>705</v>
      </c>
      <c r="C69" s="56" t="s">
        <v>549</v>
      </c>
      <c r="D69" s="11">
        <v>100</v>
      </c>
      <c r="E69" s="56" t="s">
        <v>705</v>
      </c>
      <c r="F69" s="11">
        <v>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udf2lab</v>
      </c>
      <c r="J69" s="3" t="str">
        <f t="shared" si="7"/>
        <v>udf2lab</v>
      </c>
    </row>
    <row r="70" spans="2:10" x14ac:dyDescent="0.25">
      <c r="B70" s="56" t="s">
        <v>706</v>
      </c>
      <c r="C70" s="56" t="s">
        <v>549</v>
      </c>
      <c r="D70" s="11">
        <v>100</v>
      </c>
      <c r="E70" s="56" t="s">
        <v>706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udf3lab</v>
      </c>
      <c r="J70" s="3" t="str">
        <f t="shared" si="7"/>
        <v>udf3lab</v>
      </c>
    </row>
    <row r="71" spans="2:10" x14ac:dyDescent="0.25">
      <c r="B71" s="56" t="s">
        <v>707</v>
      </c>
      <c r="C71" s="56" t="s">
        <v>549</v>
      </c>
      <c r="D71" s="11">
        <v>100</v>
      </c>
      <c r="E71" s="56" t="s">
        <v>707</v>
      </c>
      <c r="F71" s="1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udf4lab</v>
      </c>
      <c r="J71" s="3" t="str">
        <f t="shared" si="7"/>
        <v>udf4lab</v>
      </c>
    </row>
    <row r="72" spans="2:10" x14ac:dyDescent="0.25">
      <c r="B72" s="56" t="s">
        <v>708</v>
      </c>
      <c r="C72" s="56" t="s">
        <v>549</v>
      </c>
      <c r="D72" s="11">
        <v>100</v>
      </c>
      <c r="E72" s="56" t="s">
        <v>708</v>
      </c>
      <c r="F72" s="11">
        <v>2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udf5lab</v>
      </c>
      <c r="J72" s="3" t="str">
        <f t="shared" si="7"/>
        <v>udf5lab</v>
      </c>
    </row>
    <row r="73" spans="2:10" x14ac:dyDescent="0.25">
      <c r="B73" s="56" t="s">
        <v>709</v>
      </c>
      <c r="C73" s="56" t="s">
        <v>549</v>
      </c>
      <c r="D73" s="11">
        <v>100</v>
      </c>
      <c r="E73" s="56" t="s">
        <v>709</v>
      </c>
      <c r="F73" s="11">
        <v>26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udf6lab</v>
      </c>
      <c r="J73" s="3" t="str">
        <f t="shared" si="7"/>
        <v>udf6lab</v>
      </c>
    </row>
    <row r="74" spans="2:10" x14ac:dyDescent="0.25">
      <c r="B74" s="56" t="s">
        <v>710</v>
      </c>
      <c r="C74" s="56" t="s">
        <v>549</v>
      </c>
      <c r="D74" s="11">
        <v>100</v>
      </c>
      <c r="E74" s="56" t="s">
        <v>710</v>
      </c>
      <c r="F74" s="1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udf7lab</v>
      </c>
      <c r="J74" s="3" t="str">
        <f t="shared" si="7"/>
        <v>udf7lab</v>
      </c>
    </row>
    <row r="75" spans="2:10" x14ac:dyDescent="0.25">
      <c r="B75" s="56" t="s">
        <v>711</v>
      </c>
      <c r="C75" s="56" t="s">
        <v>549</v>
      </c>
      <c r="D75" s="11">
        <v>100</v>
      </c>
      <c r="E75" s="56" t="s">
        <v>711</v>
      </c>
      <c r="F75" s="1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udf8lab</v>
      </c>
      <c r="J75" s="3" t="str">
        <f t="shared" si="7"/>
        <v>udf8lab</v>
      </c>
    </row>
    <row r="76" spans="2:10" x14ac:dyDescent="0.25">
      <c r="B76" s="56" t="s">
        <v>712</v>
      </c>
      <c r="C76" s="56" t="s">
        <v>549</v>
      </c>
      <c r="D76" s="11">
        <v>100</v>
      </c>
      <c r="E76" s="56" t="s">
        <v>712</v>
      </c>
      <c r="F76" s="1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udf9lab</v>
      </c>
      <c r="J76" s="3" t="str">
        <f t="shared" si="7"/>
        <v>udf9lab</v>
      </c>
    </row>
    <row r="77" spans="2:10" x14ac:dyDescent="0.25">
      <c r="B77" s="56" t="s">
        <v>713</v>
      </c>
      <c r="C77" s="56" t="s">
        <v>549</v>
      </c>
      <c r="D77" s="11">
        <v>100</v>
      </c>
      <c r="E77" s="56" t="s">
        <v>713</v>
      </c>
      <c r="F77" s="1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udf10lab</v>
      </c>
      <c r="J77" s="3" t="str">
        <f t="shared" si="7"/>
        <v>udf10lab</v>
      </c>
    </row>
    <row r="78" spans="2:10" x14ac:dyDescent="0.25">
      <c r="B78" s="56" t="s">
        <v>714</v>
      </c>
      <c r="C78" s="56" t="s">
        <v>549</v>
      </c>
      <c r="D78" s="11">
        <v>100</v>
      </c>
      <c r="E78" s="56" t="s">
        <v>714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udf11lab</v>
      </c>
      <c r="J78" s="3" t="str">
        <f t="shared" si="7"/>
        <v>udf11lab</v>
      </c>
    </row>
    <row r="79" spans="2:10" x14ac:dyDescent="0.25">
      <c r="B79" s="56" t="s">
        <v>715</v>
      </c>
      <c r="C79" s="56" t="s">
        <v>549</v>
      </c>
      <c r="D79" s="11">
        <v>100</v>
      </c>
      <c r="E79" s="56" t="s">
        <v>715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udf12lab</v>
      </c>
      <c r="J79" s="3" t="str">
        <f t="shared" si="7"/>
        <v>udf12lab</v>
      </c>
    </row>
    <row r="80" spans="2:10" x14ac:dyDescent="0.25">
      <c r="B80" s="56" t="s">
        <v>716</v>
      </c>
      <c r="C80" s="56" t="s">
        <v>549</v>
      </c>
      <c r="D80" s="11">
        <v>100</v>
      </c>
      <c r="E80" s="56" t="s">
        <v>716</v>
      </c>
      <c r="F80" s="11">
        <v>3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udf13lab</v>
      </c>
      <c r="J80" s="3" t="str">
        <f t="shared" si="7"/>
        <v>udf13lab</v>
      </c>
    </row>
    <row r="81" spans="2:10" x14ac:dyDescent="0.25">
      <c r="B81" s="56" t="s">
        <v>717</v>
      </c>
      <c r="C81" s="56" t="s">
        <v>549</v>
      </c>
      <c r="D81" s="11">
        <v>100</v>
      </c>
      <c r="E81" s="56" t="s">
        <v>717</v>
      </c>
      <c r="F81" s="11">
        <v>1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udf14lab</v>
      </c>
      <c r="J81" s="3" t="str">
        <f t="shared" si="7"/>
        <v>udf14lab</v>
      </c>
    </row>
    <row r="82" spans="2:10" x14ac:dyDescent="0.25">
      <c r="B82" s="56" t="s">
        <v>718</v>
      </c>
      <c r="C82" s="56" t="s">
        <v>549</v>
      </c>
      <c r="D82" s="11">
        <v>100</v>
      </c>
      <c r="E82" s="56" t="s">
        <v>718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udf15lab</v>
      </c>
      <c r="J82" s="3" t="str">
        <f t="shared" si="7"/>
        <v>udf15lab</v>
      </c>
    </row>
    <row r="83" spans="2:10" x14ac:dyDescent="0.25">
      <c r="B83" s="56" t="s">
        <v>66</v>
      </c>
      <c r="C83" s="56" t="s">
        <v>549</v>
      </c>
      <c r="D83" s="11">
        <v>100</v>
      </c>
      <c r="E83" s="56" t="s">
        <v>66</v>
      </c>
      <c r="F83" s="11">
        <v>8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udf16</v>
      </c>
      <c r="J83" s="3" t="str">
        <f t="shared" si="7"/>
        <v>udf16</v>
      </c>
    </row>
    <row r="84" spans="2:10" x14ac:dyDescent="0.25">
      <c r="B84" s="56" t="s">
        <v>67</v>
      </c>
      <c r="C84" s="56" t="s">
        <v>549</v>
      </c>
      <c r="D84" s="11">
        <v>100</v>
      </c>
      <c r="E84" s="56" t="s">
        <v>67</v>
      </c>
      <c r="F84" s="11">
        <v>14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udf17</v>
      </c>
      <c r="J84" s="3" t="str">
        <f t="shared" si="7"/>
        <v>udf17</v>
      </c>
    </row>
    <row r="85" spans="2:10" x14ac:dyDescent="0.25">
      <c r="B85" s="56" t="s">
        <v>68</v>
      </c>
      <c r="C85" s="56" t="s">
        <v>549</v>
      </c>
      <c r="D85" s="11">
        <v>100</v>
      </c>
      <c r="E85" s="56" t="s">
        <v>68</v>
      </c>
      <c r="F85" s="11">
        <v>8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udf18</v>
      </c>
      <c r="J85" s="3" t="str">
        <f t="shared" si="7"/>
        <v>udf18</v>
      </c>
    </row>
    <row r="86" spans="2:10" x14ac:dyDescent="0.25">
      <c r="B86" s="56" t="s">
        <v>69</v>
      </c>
      <c r="C86" s="56" t="s">
        <v>549</v>
      </c>
      <c r="D86" s="11">
        <v>100</v>
      </c>
      <c r="E86" s="56" t="s">
        <v>69</v>
      </c>
      <c r="F86" s="11">
        <v>14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udf19</v>
      </c>
      <c r="J86" s="3" t="str">
        <f t="shared" si="7"/>
        <v>udf19</v>
      </c>
    </row>
    <row r="87" spans="2:10" x14ac:dyDescent="0.25">
      <c r="B87" s="56" t="s">
        <v>70</v>
      </c>
      <c r="C87" s="56" t="s">
        <v>549</v>
      </c>
      <c r="D87" s="11">
        <v>100</v>
      </c>
      <c r="E87" s="56" t="s">
        <v>70</v>
      </c>
      <c r="F87" s="11">
        <v>8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udf20</v>
      </c>
      <c r="J87" s="3" t="str">
        <f t="shared" si="7"/>
        <v>udf20</v>
      </c>
    </row>
    <row r="88" spans="2:10" x14ac:dyDescent="0.25">
      <c r="B88" s="56" t="s">
        <v>436</v>
      </c>
      <c r="C88" s="56" t="s">
        <v>549</v>
      </c>
      <c r="D88" s="11">
        <v>100</v>
      </c>
      <c r="E88" s="56" t="s">
        <v>436</v>
      </c>
      <c r="F88" s="11">
        <v>14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udf21</v>
      </c>
      <c r="J88" s="3" t="str">
        <f t="shared" si="7"/>
        <v>udf21</v>
      </c>
    </row>
    <row r="89" spans="2:10" x14ac:dyDescent="0.25">
      <c r="B89" s="56" t="s">
        <v>437</v>
      </c>
      <c r="C89" s="56" t="s">
        <v>549</v>
      </c>
      <c r="D89" s="11">
        <v>100</v>
      </c>
      <c r="E89" s="56" t="s">
        <v>437</v>
      </c>
      <c r="F89" s="11">
        <v>5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udf22</v>
      </c>
      <c r="J89" s="3" t="str">
        <f t="shared" si="7"/>
        <v>udf22</v>
      </c>
    </row>
    <row r="90" spans="2:10" x14ac:dyDescent="0.25">
      <c r="B90" s="56" t="s">
        <v>438</v>
      </c>
      <c r="C90" s="56" t="s">
        <v>549</v>
      </c>
      <c r="D90" s="11">
        <v>100</v>
      </c>
      <c r="E90" s="56" t="s">
        <v>438</v>
      </c>
      <c r="F90" s="11">
        <v>5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udf23</v>
      </c>
      <c r="J90" s="3" t="str">
        <f t="shared" si="7"/>
        <v>udf23</v>
      </c>
    </row>
    <row r="91" spans="2:10" x14ac:dyDescent="0.25">
      <c r="B91" s="56" t="s">
        <v>439</v>
      </c>
      <c r="C91" s="56" t="s">
        <v>549</v>
      </c>
      <c r="D91" s="11">
        <v>100</v>
      </c>
      <c r="E91" s="56" t="s">
        <v>439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udf24</v>
      </c>
      <c r="J91" s="3" t="str">
        <f t="shared" si="7"/>
        <v>udf24</v>
      </c>
    </row>
    <row r="92" spans="2:10" x14ac:dyDescent="0.25">
      <c r="B92" s="56" t="s">
        <v>440</v>
      </c>
      <c r="C92" s="56" t="s">
        <v>549</v>
      </c>
      <c r="D92" s="11">
        <v>100</v>
      </c>
      <c r="E92" s="56" t="s">
        <v>440</v>
      </c>
      <c r="F92" s="11">
        <v>5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udf25</v>
      </c>
      <c r="J92" s="3" t="str">
        <f t="shared" si="7"/>
        <v>udf25</v>
      </c>
    </row>
    <row r="93" spans="2:10" x14ac:dyDescent="0.25">
      <c r="B93" s="56" t="s">
        <v>719</v>
      </c>
      <c r="C93" s="56" t="s">
        <v>549</v>
      </c>
      <c r="D93" s="11">
        <v>100</v>
      </c>
      <c r="E93" s="56" t="s">
        <v>719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udf26lab</v>
      </c>
      <c r="J93" s="3" t="str">
        <f t="shared" si="7"/>
        <v>udf26lab</v>
      </c>
    </row>
    <row r="94" spans="2:10" x14ac:dyDescent="0.25">
      <c r="B94" s="56" t="s">
        <v>720</v>
      </c>
      <c r="C94" s="56" t="s">
        <v>549</v>
      </c>
      <c r="D94" s="11">
        <v>100</v>
      </c>
      <c r="E94" s="56" t="s">
        <v>720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udf27lab</v>
      </c>
      <c r="J94" s="3" t="str">
        <f t="shared" si="7"/>
        <v>udf27lab</v>
      </c>
    </row>
    <row r="95" spans="2:10" x14ac:dyDescent="0.25">
      <c r="B95" s="56" t="s">
        <v>721</v>
      </c>
      <c r="C95" s="56" t="s">
        <v>549</v>
      </c>
      <c r="D95" s="45">
        <v>100</v>
      </c>
      <c r="E95" s="56" t="s">
        <v>721</v>
      </c>
      <c r="F95" s="11">
        <v>0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udf28lab</v>
      </c>
      <c r="J95" s="3" t="str">
        <f t="shared" si="7"/>
        <v>udf28lab</v>
      </c>
    </row>
    <row r="96" spans="2:10" x14ac:dyDescent="0.25">
      <c r="B96" s="56" t="s">
        <v>722</v>
      </c>
      <c r="C96" s="56" t="s">
        <v>549</v>
      </c>
      <c r="D96" s="11">
        <v>100</v>
      </c>
      <c r="E96" s="56" t="s">
        <v>722</v>
      </c>
      <c r="F96" s="11">
        <v>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udf29lab</v>
      </c>
      <c r="J96" s="3" t="str">
        <f t="shared" si="7"/>
        <v>udf29lab</v>
      </c>
    </row>
    <row r="97" spans="2:10" x14ac:dyDescent="0.25">
      <c r="B97" s="56" t="s">
        <v>723</v>
      </c>
      <c r="C97" s="56" t="s">
        <v>549</v>
      </c>
      <c r="D97" s="11">
        <v>100</v>
      </c>
      <c r="E97" s="56" t="s">
        <v>723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udf30lab</v>
      </c>
      <c r="J97" s="3" t="str">
        <f t="shared" si="7"/>
        <v>udf30lab</v>
      </c>
    </row>
    <row r="98" spans="2:10" x14ac:dyDescent="0.25">
      <c r="B98" s="56" t="s">
        <v>724</v>
      </c>
      <c r="C98" s="56" t="s">
        <v>745</v>
      </c>
      <c r="D98" s="11">
        <v>100</v>
      </c>
      <c r="E98" s="56" t="s">
        <v>724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udf31lab</v>
      </c>
      <c r="J98" s="3" t="str">
        <f t="shared" si="7"/>
        <v>udf31lab</v>
      </c>
    </row>
    <row r="99" spans="2:10" x14ac:dyDescent="0.25">
      <c r="B99" s="56" t="s">
        <v>725</v>
      </c>
      <c r="C99" s="56" t="s">
        <v>745</v>
      </c>
      <c r="D99" s="11">
        <v>100</v>
      </c>
      <c r="E99" s="56" t="s">
        <v>725</v>
      </c>
      <c r="F99" s="1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udf32lab</v>
      </c>
      <c r="J99" s="3" t="str">
        <f t="shared" si="7"/>
        <v>udf32lab</v>
      </c>
    </row>
    <row r="100" spans="2:10" x14ac:dyDescent="0.25">
      <c r="B100" s="56" t="s">
        <v>726</v>
      </c>
      <c r="C100" s="56" t="s">
        <v>745</v>
      </c>
      <c r="D100" s="11">
        <v>100</v>
      </c>
      <c r="E100" s="56" t="s">
        <v>726</v>
      </c>
      <c r="F100" s="1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udf33lab</v>
      </c>
      <c r="J100" s="3" t="str">
        <f t="shared" si="7"/>
        <v>udf33lab</v>
      </c>
    </row>
    <row r="101" spans="2:10" x14ac:dyDescent="0.25">
      <c r="B101" s="56" t="s">
        <v>727</v>
      </c>
      <c r="C101" s="56" t="s">
        <v>745</v>
      </c>
      <c r="D101" s="11">
        <v>100</v>
      </c>
      <c r="E101" s="56" t="s">
        <v>727</v>
      </c>
      <c r="F101" s="1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udf34lab</v>
      </c>
      <c r="J101" s="3" t="str">
        <f t="shared" si="7"/>
        <v>udf34lab</v>
      </c>
    </row>
    <row r="102" spans="2:10" x14ac:dyDescent="0.25">
      <c r="B102" s="56" t="s">
        <v>728</v>
      </c>
      <c r="C102" s="56" t="s">
        <v>745</v>
      </c>
      <c r="D102" s="45">
        <v>100</v>
      </c>
      <c r="E102" s="56" t="s">
        <v>728</v>
      </c>
      <c r="F102" s="1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udf35lab</v>
      </c>
      <c r="J102" s="3" t="str">
        <f t="shared" si="7"/>
        <v>udf35lab</v>
      </c>
    </row>
    <row r="103" spans="2:10" x14ac:dyDescent="0.25">
      <c r="B103" s="56" t="s">
        <v>729</v>
      </c>
      <c r="C103" s="56" t="s">
        <v>745</v>
      </c>
      <c r="D103" s="11">
        <v>100</v>
      </c>
      <c r="E103" s="56" t="s">
        <v>729</v>
      </c>
      <c r="F103" s="1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udf36lab</v>
      </c>
      <c r="J103" s="3" t="str">
        <f t="shared" si="7"/>
        <v>udf36lab</v>
      </c>
    </row>
    <row r="104" spans="2:10" x14ac:dyDescent="0.25">
      <c r="B104" s="56" t="s">
        <v>730</v>
      </c>
      <c r="C104" s="56" t="s">
        <v>745</v>
      </c>
      <c r="D104" s="11">
        <v>100</v>
      </c>
      <c r="E104" s="56" t="s">
        <v>730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udf37lab</v>
      </c>
      <c r="J104" s="3" t="str">
        <f t="shared" si="7"/>
        <v>udf37lab</v>
      </c>
    </row>
    <row r="105" spans="2:10" x14ac:dyDescent="0.25">
      <c r="B105" s="56" t="s">
        <v>731</v>
      </c>
      <c r="C105" s="56" t="s">
        <v>745</v>
      </c>
      <c r="D105" s="11">
        <v>100</v>
      </c>
      <c r="E105" s="56" t="s">
        <v>731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udf38lab</v>
      </c>
      <c r="J105" s="3" t="str">
        <f t="shared" si="7"/>
        <v>udf38lab</v>
      </c>
    </row>
    <row r="106" spans="2:10" x14ac:dyDescent="0.25">
      <c r="B106" s="56" t="s">
        <v>732</v>
      </c>
      <c r="C106" s="56" t="s">
        <v>745</v>
      </c>
      <c r="D106" s="11">
        <v>100</v>
      </c>
      <c r="E106" s="56" t="s">
        <v>732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udf39lab</v>
      </c>
      <c r="J106" s="3" t="str">
        <f t="shared" si="7"/>
        <v>udf39lab</v>
      </c>
    </row>
    <row r="107" spans="2:10" x14ac:dyDescent="0.25">
      <c r="B107" s="56" t="s">
        <v>733</v>
      </c>
      <c r="C107" s="56" t="s">
        <v>745</v>
      </c>
      <c r="D107" s="11">
        <v>100</v>
      </c>
      <c r="E107" s="56" t="s">
        <v>733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udf40lab</v>
      </c>
      <c r="J107" s="3" t="str">
        <f t="shared" si="7"/>
        <v>udf40lab</v>
      </c>
    </row>
    <row r="108" spans="2:10" x14ac:dyDescent="0.25">
      <c r="B108" s="56" t="s">
        <v>734</v>
      </c>
      <c r="C108" s="56" t="s">
        <v>400</v>
      </c>
      <c r="D108" s="11" t="s">
        <v>476</v>
      </c>
      <c r="E108" s="56" t="s">
        <v>734</v>
      </c>
      <c r="F108" s="11">
        <v>10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udf41lab</v>
      </c>
      <c r="J108" s="3" t="str">
        <f t="shared" si="7"/>
        <v>udf41lab</v>
      </c>
    </row>
    <row r="109" spans="2:10" x14ac:dyDescent="0.25">
      <c r="B109" s="56" t="s">
        <v>735</v>
      </c>
      <c r="C109" s="56" t="s">
        <v>400</v>
      </c>
      <c r="D109" s="11" t="s">
        <v>476</v>
      </c>
      <c r="E109" s="56" t="s">
        <v>735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udf42lab</v>
      </c>
      <c r="J109" s="3" t="str">
        <f t="shared" si="7"/>
        <v>udf42lab</v>
      </c>
    </row>
    <row r="110" spans="2:10" x14ac:dyDescent="0.25">
      <c r="B110" s="56" t="s">
        <v>736</v>
      </c>
      <c r="C110" s="56" t="s">
        <v>400</v>
      </c>
      <c r="D110" s="11" t="s">
        <v>476</v>
      </c>
      <c r="E110" s="56" t="s">
        <v>736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udf43lab</v>
      </c>
      <c r="J110" s="3" t="str">
        <f t="shared" si="7"/>
        <v>udf43lab</v>
      </c>
    </row>
    <row r="111" spans="2:10" x14ac:dyDescent="0.25">
      <c r="B111" s="56" t="s">
        <v>737</v>
      </c>
      <c r="C111" s="56" t="s">
        <v>400</v>
      </c>
      <c r="D111" s="11" t="s">
        <v>476</v>
      </c>
      <c r="E111" s="56" t="s">
        <v>737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udf44lab</v>
      </c>
      <c r="J111" s="3" t="str">
        <f t="shared" si="7"/>
        <v>udf44lab</v>
      </c>
    </row>
    <row r="112" spans="2:10" x14ac:dyDescent="0.25">
      <c r="B112" s="56" t="s">
        <v>738</v>
      </c>
      <c r="C112" s="56" t="s">
        <v>400</v>
      </c>
      <c r="D112" s="45" t="s">
        <v>476</v>
      </c>
      <c r="E112" s="56" t="s">
        <v>738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udf45lab</v>
      </c>
      <c r="J112" s="3" t="str">
        <f t="shared" si="7"/>
        <v>udf45lab</v>
      </c>
    </row>
    <row r="113" spans="2:11" x14ac:dyDescent="0.25">
      <c r="B113" s="56" t="s">
        <v>739</v>
      </c>
      <c r="C113" s="56" t="s">
        <v>400</v>
      </c>
      <c r="D113" s="11" t="s">
        <v>476</v>
      </c>
      <c r="E113" s="56" t="s">
        <v>739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udf46lab</v>
      </c>
      <c r="J113" s="3" t="str">
        <f t="shared" si="7"/>
        <v>udf46lab</v>
      </c>
    </row>
    <row r="114" spans="2:11" x14ac:dyDescent="0.25">
      <c r="B114" s="56" t="s">
        <v>740</v>
      </c>
      <c r="C114" s="56" t="s">
        <v>400</v>
      </c>
      <c r="D114" s="11" t="s">
        <v>476</v>
      </c>
      <c r="E114" s="56" t="s">
        <v>740</v>
      </c>
      <c r="F114" s="11">
        <v>0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udf47lab</v>
      </c>
      <c r="J114" s="3" t="str">
        <f t="shared" si="7"/>
        <v>udf47lab</v>
      </c>
    </row>
    <row r="115" spans="2:11" x14ac:dyDescent="0.25">
      <c r="B115" s="56" t="s">
        <v>741</v>
      </c>
      <c r="C115" s="56" t="s">
        <v>400</v>
      </c>
      <c r="D115" s="11" t="s">
        <v>476</v>
      </c>
      <c r="E115" s="56" t="s">
        <v>741</v>
      </c>
      <c r="F115" s="11">
        <v>0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udf48lab</v>
      </c>
      <c r="J115" s="3" t="str">
        <f t="shared" si="7"/>
        <v>udf48lab</v>
      </c>
    </row>
    <row r="116" spans="2:11" x14ac:dyDescent="0.25">
      <c r="B116" s="56" t="s">
        <v>742</v>
      </c>
      <c r="C116" s="56" t="s">
        <v>400</v>
      </c>
      <c r="D116" s="45" t="s">
        <v>476</v>
      </c>
      <c r="E116" s="56" t="s">
        <v>742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udf49lab</v>
      </c>
      <c r="J116" s="3" t="str">
        <f t="shared" si="7"/>
        <v>udf49lab</v>
      </c>
    </row>
    <row r="117" spans="2:11" x14ac:dyDescent="0.25">
      <c r="B117" s="56" t="s">
        <v>743</v>
      </c>
      <c r="C117" s="56" t="s">
        <v>400</v>
      </c>
      <c r="D117" s="11" t="s">
        <v>476</v>
      </c>
      <c r="E117" s="56" t="s">
        <v>743</v>
      </c>
      <c r="F117" s="11">
        <v>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udf50lab</v>
      </c>
      <c r="J117" s="3" t="str">
        <f t="shared" si="7"/>
        <v>udf50lab</v>
      </c>
    </row>
    <row r="118" spans="2:11" x14ac:dyDescent="0.25">
      <c r="B118" s="56" t="s">
        <v>86</v>
      </c>
      <c r="C118" s="56" t="s">
        <v>549</v>
      </c>
      <c r="D118" s="11">
        <v>255</v>
      </c>
      <c r="E118" s="56" t="s">
        <v>86</v>
      </c>
      <c r="F118" s="11">
        <v>62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dwrawfilename</v>
      </c>
      <c r="J118" s="3" t="str">
        <f t="shared" si="7"/>
        <v>dwrawfilename</v>
      </c>
    </row>
    <row r="119" spans="2:11" x14ac:dyDescent="0.25">
      <c r="B119" s="56" t="s">
        <v>744</v>
      </c>
      <c r="C119" s="56" t="s">
        <v>549</v>
      </c>
      <c r="D119" s="53">
        <v>10</v>
      </c>
      <c r="E119" s="56" t="s">
        <v>744</v>
      </c>
      <c r="F119" s="11">
        <v>10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dwreceivedmonth</v>
      </c>
      <c r="J119" s="3" t="str">
        <f t="shared" si="7"/>
        <v>dwreceivedmonth</v>
      </c>
      <c r="K119" t="s">
        <v>747</v>
      </c>
    </row>
    <row r="120" spans="2:11" x14ac:dyDescent="0.25">
      <c r="B120" s="56" t="s">
        <v>88</v>
      </c>
      <c r="C120" s="56" t="s">
        <v>549</v>
      </c>
      <c r="D120" s="11">
        <v>20</v>
      </c>
      <c r="E120" s="56" t="s">
        <v>88</v>
      </c>
      <c r="F120" s="11">
        <v>17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dwvendorname</v>
      </c>
      <c r="J120" s="3" t="str">
        <f t="shared" si="7"/>
        <v>dwvendorname</v>
      </c>
    </row>
  </sheetData>
  <conditionalFormatting sqref="G2:H120">
    <cfRule type="cellIs" dxfId="161" priority="5" operator="equal">
      <formula>"Fail"</formula>
    </cfRule>
    <cfRule type="cellIs" dxfId="160" priority="6" operator="equal">
      <formula>"Pass"</formula>
    </cfRule>
  </conditionalFormatting>
  <conditionalFormatting sqref="M6:N7">
    <cfRule type="cellIs" dxfId="159" priority="3" operator="equal">
      <formula>"Fail"</formula>
    </cfRule>
    <cfRule type="cellIs" dxfId="158" priority="4" operator="equal">
      <formula>"Pass"</formula>
    </cfRule>
  </conditionalFormatting>
  <conditionalFormatting sqref="M8">
    <cfRule type="containsText" dxfId="157" priority="1" operator="containsText" text="Pass">
      <formula>NOT(ISERROR(SEARCH("Pass",M8)))</formula>
    </cfRule>
    <cfRule type="containsText" dxfId="156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109</v>
      </c>
      <c r="C2" s="17" t="s">
        <v>399</v>
      </c>
      <c r="D2" s="53">
        <v>42</v>
      </c>
      <c r="E2" s="1" t="s">
        <v>109</v>
      </c>
      <c r="F2" s="11">
        <v>42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620644</v>
      </c>
      <c r="M2" s="19">
        <v>620644</v>
      </c>
      <c r="N2" s="22">
        <f>L2-M2</f>
        <v>0</v>
      </c>
    </row>
    <row r="3" spans="2:15" x14ac:dyDescent="0.25">
      <c r="B3" s="1" t="s">
        <v>110</v>
      </c>
      <c r="C3" s="17" t="s">
        <v>399</v>
      </c>
      <c r="D3" s="11">
        <v>25</v>
      </c>
      <c r="E3" s="1" t="s">
        <v>110</v>
      </c>
      <c r="F3" s="11">
        <v>8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610060</v>
      </c>
      <c r="N3" s="22">
        <f>L2-M3</f>
        <v>10584</v>
      </c>
    </row>
    <row r="4" spans="2:15" x14ac:dyDescent="0.25">
      <c r="B4" s="1" t="s">
        <v>111</v>
      </c>
      <c r="C4" s="17" t="s">
        <v>399</v>
      </c>
      <c r="D4" s="11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 x14ac:dyDescent="0.25">
      <c r="B5" s="1" t="s">
        <v>112</v>
      </c>
      <c r="C5" s="17" t="s">
        <v>404</v>
      </c>
      <c r="D5" s="11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 x14ac:dyDescent="0.25">
      <c r="B6" s="1" t="s">
        <v>20</v>
      </c>
      <c r="C6" s="17" t="s">
        <v>399</v>
      </c>
      <c r="D6" s="11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1" t="s">
        <v>21</v>
      </c>
      <c r="C7" s="17" t="s">
        <v>399</v>
      </c>
      <c r="D7" s="11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1" t="s">
        <v>22</v>
      </c>
      <c r="C8" s="17" t="s">
        <v>399</v>
      </c>
      <c r="D8" s="11">
        <v>20</v>
      </c>
      <c r="E8" s="1" t="s">
        <v>22</v>
      </c>
      <c r="F8" s="11">
        <v>17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23</v>
      </c>
      <c r="C9" s="17" t="s">
        <v>399</v>
      </c>
      <c r="D9" s="11">
        <v>50</v>
      </c>
      <c r="E9" s="1" t="s">
        <v>23</v>
      </c>
      <c r="F9" s="11">
        <v>43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1.7349113201980133E-2</v>
      </c>
    </row>
    <row r="10" spans="2:15" x14ac:dyDescent="0.25">
      <c r="B10" s="1" t="s">
        <v>24</v>
      </c>
      <c r="C10" s="17" t="s">
        <v>399</v>
      </c>
      <c r="D10" s="11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File_Size_Comparision!F10</f>
        <v>1.709401709401711E-2</v>
      </c>
    </row>
    <row r="11" spans="2:15" x14ac:dyDescent="0.25">
      <c r="B11" s="1" t="s">
        <v>25</v>
      </c>
      <c r="C11" s="17" t="s">
        <v>399</v>
      </c>
      <c r="D11" s="11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 x14ac:dyDescent="0.25">
      <c r="B12" s="1" t="s">
        <v>26</v>
      </c>
      <c r="C12" s="17" t="s">
        <v>399</v>
      </c>
      <c r="D12" s="53">
        <v>66</v>
      </c>
      <c r="E12" s="1" t="s">
        <v>26</v>
      </c>
      <c r="F12" s="11">
        <v>66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 x14ac:dyDescent="0.25">
      <c r="B13" s="1" t="s">
        <v>28</v>
      </c>
      <c r="C13" s="17" t="s">
        <v>399</v>
      </c>
      <c r="D13" s="11">
        <v>20</v>
      </c>
      <c r="E13" s="1" t="s">
        <v>28</v>
      </c>
      <c r="F13" s="11">
        <v>15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 x14ac:dyDescent="0.25">
      <c r="B14" s="1" t="s">
        <v>29</v>
      </c>
      <c r="C14" s="17" t="s">
        <v>399</v>
      </c>
      <c r="D14" s="11">
        <v>50</v>
      </c>
      <c r="E14" s="1" t="s">
        <v>29</v>
      </c>
      <c r="F14" s="11">
        <v>15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 x14ac:dyDescent="0.25">
      <c r="B15" s="1" t="s">
        <v>30</v>
      </c>
      <c r="C15" s="17" t="s">
        <v>399</v>
      </c>
      <c r="D15" s="53">
        <v>53</v>
      </c>
      <c r="E15" s="1" t="s">
        <v>30</v>
      </c>
      <c r="F15" s="11">
        <v>53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 x14ac:dyDescent="0.25">
      <c r="B16" s="1" t="s">
        <v>31</v>
      </c>
      <c r="C16" s="17" t="s">
        <v>399</v>
      </c>
      <c r="D16" s="11">
        <v>100</v>
      </c>
      <c r="E16" s="1" t="s">
        <v>31</v>
      </c>
      <c r="F16" s="11">
        <v>68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 x14ac:dyDescent="0.25">
      <c r="B17" s="1" t="s">
        <v>32</v>
      </c>
      <c r="C17" s="17" t="s">
        <v>399</v>
      </c>
      <c r="D17" s="11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 x14ac:dyDescent="0.25">
      <c r="B18" s="1" t="s">
        <v>33</v>
      </c>
      <c r="C18" s="17" t="s">
        <v>399</v>
      </c>
      <c r="D18" s="11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 x14ac:dyDescent="0.25">
      <c r="B19" s="1" t="s">
        <v>0</v>
      </c>
      <c r="C19" s="17" t="s">
        <v>399</v>
      </c>
      <c r="D19" s="53">
        <v>25</v>
      </c>
      <c r="E19" s="1" t="s">
        <v>0</v>
      </c>
      <c r="F19" s="11">
        <v>25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 x14ac:dyDescent="0.25">
      <c r="B20" s="1" t="s">
        <v>2</v>
      </c>
      <c r="C20" s="17" t="s">
        <v>399</v>
      </c>
      <c r="D20" s="53">
        <v>22</v>
      </c>
      <c r="E20" s="1" t="s">
        <v>2</v>
      </c>
      <c r="F20" s="11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 x14ac:dyDescent="0.25">
      <c r="B21" s="1" t="s">
        <v>3</v>
      </c>
      <c r="C21" s="17" t="s">
        <v>399</v>
      </c>
      <c r="D21" s="11">
        <v>30</v>
      </c>
      <c r="E21" s="1" t="s">
        <v>3</v>
      </c>
      <c r="F21" s="11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 x14ac:dyDescent="0.25">
      <c r="B22" s="1" t="s">
        <v>4</v>
      </c>
      <c r="C22" s="17" t="s">
        <v>399</v>
      </c>
      <c r="D22" s="11">
        <v>30</v>
      </c>
      <c r="E22" s="1" t="s">
        <v>4</v>
      </c>
      <c r="F22" s="11">
        <v>1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 x14ac:dyDescent="0.25">
      <c r="B23" s="1" t="s">
        <v>5</v>
      </c>
      <c r="C23" s="17" t="s">
        <v>399</v>
      </c>
      <c r="D23" s="11">
        <v>30</v>
      </c>
      <c r="E23" s="1" t="s">
        <v>5</v>
      </c>
      <c r="F23" s="11">
        <v>26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 x14ac:dyDescent="0.25">
      <c r="B24" s="1" t="s">
        <v>7</v>
      </c>
      <c r="C24" s="17" t="s">
        <v>399</v>
      </c>
      <c r="D24" s="11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 x14ac:dyDescent="0.25">
      <c r="B25" s="1" t="s">
        <v>8</v>
      </c>
      <c r="C25" s="17" t="s">
        <v>400</v>
      </c>
      <c r="D25" s="11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 x14ac:dyDescent="0.25">
      <c r="B26" s="1" t="s">
        <v>9</v>
      </c>
      <c r="C26" s="17" t="s">
        <v>399</v>
      </c>
      <c r="D26" s="11">
        <v>50</v>
      </c>
      <c r="E26" s="1" t="s">
        <v>9</v>
      </c>
      <c r="F26" s="11">
        <v>30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 x14ac:dyDescent="0.25">
      <c r="B27" s="1" t="s">
        <v>10</v>
      </c>
      <c r="C27" s="17" t="s">
        <v>399</v>
      </c>
      <c r="D27" s="11">
        <v>50</v>
      </c>
      <c r="E27" s="1" t="s">
        <v>10</v>
      </c>
      <c r="F27" s="11">
        <v>22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 x14ac:dyDescent="0.25">
      <c r="B28" s="1" t="s">
        <v>11</v>
      </c>
      <c r="C28" s="17" t="s">
        <v>399</v>
      </c>
      <c r="D28" s="11">
        <v>50</v>
      </c>
      <c r="E28" s="1" t="s">
        <v>11</v>
      </c>
      <c r="F28" s="11">
        <v>20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 x14ac:dyDescent="0.25">
      <c r="B29" s="1" t="s">
        <v>12</v>
      </c>
      <c r="C29" s="17" t="s">
        <v>399</v>
      </c>
      <c r="D29" s="11">
        <v>20</v>
      </c>
      <c r="E29" s="1" t="s">
        <v>12</v>
      </c>
      <c r="F29" s="11">
        <v>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 x14ac:dyDescent="0.25">
      <c r="B30" s="1" t="s">
        <v>13</v>
      </c>
      <c r="C30" s="17" t="s">
        <v>399</v>
      </c>
      <c r="D30" s="11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 x14ac:dyDescent="0.25">
      <c r="B31" s="1" t="s">
        <v>14</v>
      </c>
      <c r="C31" s="17" t="s">
        <v>399</v>
      </c>
      <c r="D31" s="11">
        <v>10</v>
      </c>
      <c r="E31" s="1" t="s">
        <v>14</v>
      </c>
      <c r="F31" s="11">
        <v>9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 x14ac:dyDescent="0.25">
      <c r="B32" s="1" t="s">
        <v>15</v>
      </c>
      <c r="C32" s="17" t="s">
        <v>399</v>
      </c>
      <c r="D32" s="11">
        <v>15</v>
      </c>
      <c r="E32" s="1" t="s">
        <v>15</v>
      </c>
      <c r="F32" s="11">
        <v>12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 x14ac:dyDescent="0.25">
      <c r="B33" s="1" t="s">
        <v>16</v>
      </c>
      <c r="C33" s="17" t="s">
        <v>399</v>
      </c>
      <c r="D33" s="11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 x14ac:dyDescent="0.25">
      <c r="B34" s="1" t="s">
        <v>17</v>
      </c>
      <c r="C34" s="17" t="s">
        <v>399</v>
      </c>
      <c r="D34" s="11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 x14ac:dyDescent="0.25">
      <c r="B35" s="1" t="s">
        <v>18</v>
      </c>
      <c r="C35" s="17" t="s">
        <v>399</v>
      </c>
      <c r="D35" s="11">
        <v>10</v>
      </c>
      <c r="E35" s="1" t="s">
        <v>18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 x14ac:dyDescent="0.25">
      <c r="B36" s="1" t="s">
        <v>19</v>
      </c>
      <c r="C36" s="17" t="s">
        <v>399</v>
      </c>
      <c r="D36" s="53">
        <v>42</v>
      </c>
      <c r="E36" s="1" t="s">
        <v>19</v>
      </c>
      <c r="F36" s="11">
        <v>42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 x14ac:dyDescent="0.25">
      <c r="B37" s="1" t="s">
        <v>113</v>
      </c>
      <c r="C37" s="17" t="s">
        <v>399</v>
      </c>
      <c r="D37" s="53">
        <v>37</v>
      </c>
      <c r="E37" s="1" t="s">
        <v>113</v>
      </c>
      <c r="F37" s="11">
        <v>37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 x14ac:dyDescent="0.25">
      <c r="B38" s="1" t="s">
        <v>114</v>
      </c>
      <c r="C38" s="17" t="s">
        <v>399</v>
      </c>
      <c r="D38" s="11">
        <v>30</v>
      </c>
      <c r="E38" s="1" t="s">
        <v>114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 x14ac:dyDescent="0.25">
      <c r="B39" s="1" t="s">
        <v>115</v>
      </c>
      <c r="C39" s="17" t="s">
        <v>399</v>
      </c>
      <c r="D39" s="11">
        <v>30</v>
      </c>
      <c r="E39" s="1" t="s">
        <v>115</v>
      </c>
      <c r="F39" s="11">
        <v>9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 x14ac:dyDescent="0.25">
      <c r="B40" s="1" t="s">
        <v>116</v>
      </c>
      <c r="C40" s="17" t="s">
        <v>399</v>
      </c>
      <c r="D40" s="11">
        <v>70</v>
      </c>
      <c r="E40" s="1" t="s">
        <v>116</v>
      </c>
      <c r="F40" s="11">
        <v>40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 x14ac:dyDescent="0.25">
      <c r="B41" s="1" t="s">
        <v>117</v>
      </c>
      <c r="C41" s="17" t="s">
        <v>399</v>
      </c>
      <c r="D41" s="11">
        <v>100</v>
      </c>
      <c r="E41" s="1" t="s">
        <v>117</v>
      </c>
      <c r="F41" s="11">
        <v>70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 x14ac:dyDescent="0.25">
      <c r="B42" s="1" t="s">
        <v>118</v>
      </c>
      <c r="C42" s="17" t="s">
        <v>399</v>
      </c>
      <c r="D42" s="11">
        <v>30</v>
      </c>
      <c r="E42" s="1" t="s">
        <v>118</v>
      </c>
      <c r="F42" s="11">
        <v>16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 x14ac:dyDescent="0.25">
      <c r="B43" s="1" t="s">
        <v>119</v>
      </c>
      <c r="C43" s="17" t="s">
        <v>399</v>
      </c>
      <c r="D43" s="11">
        <v>40</v>
      </c>
      <c r="E43" s="1" t="s">
        <v>119</v>
      </c>
      <c r="F43" s="11">
        <v>22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 x14ac:dyDescent="0.25">
      <c r="B44" s="1" t="s">
        <v>120</v>
      </c>
      <c r="C44" s="17" t="s">
        <v>399</v>
      </c>
      <c r="D44" s="45">
        <v>2</v>
      </c>
      <c r="E44" s="1" t="s">
        <v>120</v>
      </c>
      <c r="F44" s="11">
        <v>1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 x14ac:dyDescent="0.25">
      <c r="B45" s="1" t="s">
        <v>121</v>
      </c>
      <c r="C45" s="17" t="s">
        <v>399</v>
      </c>
      <c r="D45" s="11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 x14ac:dyDescent="0.25">
      <c r="B46" s="1" t="s">
        <v>122</v>
      </c>
      <c r="C46" s="17" t="s">
        <v>399</v>
      </c>
      <c r="D46" s="11">
        <v>10</v>
      </c>
      <c r="E46" s="1" t="s">
        <v>122</v>
      </c>
      <c r="F46" s="11">
        <v>5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 x14ac:dyDescent="0.25">
      <c r="B47" s="1" t="s">
        <v>123</v>
      </c>
      <c r="C47" s="17" t="s">
        <v>399</v>
      </c>
      <c r="D47" s="11">
        <v>50</v>
      </c>
      <c r="E47" s="1" t="s">
        <v>123</v>
      </c>
      <c r="F47" s="11">
        <v>25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 x14ac:dyDescent="0.25">
      <c r="B48" s="1" t="s">
        <v>124</v>
      </c>
      <c r="C48" s="17" t="s">
        <v>399</v>
      </c>
      <c r="D48" s="45">
        <v>20</v>
      </c>
      <c r="E48" s="1" t="s">
        <v>124</v>
      </c>
      <c r="F48" s="11">
        <v>15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 x14ac:dyDescent="0.25">
      <c r="B49" s="1" t="s">
        <v>125</v>
      </c>
      <c r="C49" s="17" t="s">
        <v>399</v>
      </c>
      <c r="D49" s="11">
        <v>10</v>
      </c>
      <c r="E49" s="1" t="s">
        <v>125</v>
      </c>
      <c r="F49" s="11">
        <v>8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 x14ac:dyDescent="0.25">
      <c r="B50" s="1" t="s">
        <v>126</v>
      </c>
      <c r="C50" s="17" t="s">
        <v>399</v>
      </c>
      <c r="D50" s="11">
        <v>100</v>
      </c>
      <c r="E50" s="1" t="s">
        <v>126</v>
      </c>
      <c r="F50" s="11">
        <v>76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 x14ac:dyDescent="0.25">
      <c r="B51" s="1" t="s">
        <v>127</v>
      </c>
      <c r="C51" s="17" t="s">
        <v>399</v>
      </c>
      <c r="D51" s="11">
        <v>10</v>
      </c>
      <c r="E51" s="1" t="s">
        <v>127</v>
      </c>
      <c r="F51" s="11">
        <v>9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 x14ac:dyDescent="0.25">
      <c r="B52" s="1" t="s">
        <v>128</v>
      </c>
      <c r="C52" s="17" t="s">
        <v>399</v>
      </c>
      <c r="D52" s="11">
        <v>100</v>
      </c>
      <c r="E52" s="1" t="s">
        <v>128</v>
      </c>
      <c r="F52" s="11">
        <v>64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 x14ac:dyDescent="0.25">
      <c r="B53" s="1" t="s">
        <v>129</v>
      </c>
      <c r="C53" s="17" t="s">
        <v>399</v>
      </c>
      <c r="D53" s="11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 x14ac:dyDescent="0.25">
      <c r="B54" s="1" t="s">
        <v>130</v>
      </c>
      <c r="C54" s="17" t="s">
        <v>399</v>
      </c>
      <c r="D54" s="11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 x14ac:dyDescent="0.25">
      <c r="B55" s="1" t="s">
        <v>131</v>
      </c>
      <c r="C55" s="17" t="s">
        <v>399</v>
      </c>
      <c r="D55" s="11">
        <v>128</v>
      </c>
      <c r="E55" s="1" t="s">
        <v>131</v>
      </c>
      <c r="F55" s="11">
        <v>54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 x14ac:dyDescent="0.25">
      <c r="B56" s="1" t="s">
        <v>132</v>
      </c>
      <c r="C56" s="17" t="s">
        <v>399</v>
      </c>
      <c r="D56" s="11">
        <v>128</v>
      </c>
      <c r="E56" s="1" t="s">
        <v>132</v>
      </c>
      <c r="F56" s="11">
        <v>55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 x14ac:dyDescent="0.25">
      <c r="B57" s="1" t="s">
        <v>133</v>
      </c>
      <c r="C57" s="17" t="s">
        <v>399</v>
      </c>
      <c r="D57" s="11">
        <v>32</v>
      </c>
      <c r="E57" s="1" t="s">
        <v>133</v>
      </c>
      <c r="F57" s="11">
        <v>22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 x14ac:dyDescent="0.25">
      <c r="B58" s="1" t="s">
        <v>134</v>
      </c>
      <c r="C58" s="17" t="s">
        <v>399</v>
      </c>
      <c r="D58" s="11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 x14ac:dyDescent="0.25">
      <c r="B59" s="1" t="s">
        <v>135</v>
      </c>
      <c r="C59" s="17" t="s">
        <v>399</v>
      </c>
      <c r="D59" s="53">
        <v>13</v>
      </c>
      <c r="E59" s="1" t="s">
        <v>135</v>
      </c>
      <c r="F59" s="11">
        <v>13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 x14ac:dyDescent="0.25">
      <c r="B60" s="1" t="s">
        <v>136</v>
      </c>
      <c r="C60" s="17" t="s">
        <v>399</v>
      </c>
      <c r="D60" s="11">
        <v>10</v>
      </c>
      <c r="E60" s="1" t="s">
        <v>136</v>
      </c>
      <c r="F60" s="11">
        <v>5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 x14ac:dyDescent="0.25">
      <c r="B61" s="1" t="s">
        <v>137</v>
      </c>
      <c r="C61" s="17" t="s">
        <v>404</v>
      </c>
      <c r="D61" s="11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 x14ac:dyDescent="0.25">
      <c r="B62" s="1" t="s">
        <v>46</v>
      </c>
      <c r="C62" s="17" t="s">
        <v>399</v>
      </c>
      <c r="D62" s="11">
        <v>30</v>
      </c>
      <c r="E62" s="1" t="s">
        <v>46</v>
      </c>
      <c r="F62" s="11">
        <v>9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 x14ac:dyDescent="0.25">
      <c r="B63" s="1" t="s">
        <v>47</v>
      </c>
      <c r="C63" s="17" t="s">
        <v>399</v>
      </c>
      <c r="D63" s="11">
        <v>100</v>
      </c>
      <c r="E63" s="1" t="s">
        <v>47</v>
      </c>
      <c r="F63" s="11">
        <v>33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 x14ac:dyDescent="0.25">
      <c r="B64" s="1" t="s">
        <v>48</v>
      </c>
      <c r="C64" s="17" t="s">
        <v>399</v>
      </c>
      <c r="D64" s="11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 x14ac:dyDescent="0.25">
      <c r="B65" s="1" t="s">
        <v>49</v>
      </c>
      <c r="C65" s="17" t="s">
        <v>399</v>
      </c>
      <c r="D65" s="11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 x14ac:dyDescent="0.25">
      <c r="B66" s="1" t="s">
        <v>138</v>
      </c>
      <c r="C66" s="17" t="s">
        <v>399</v>
      </c>
      <c r="D66" s="11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 x14ac:dyDescent="0.25">
      <c r="B67" s="1" t="s">
        <v>139</v>
      </c>
      <c r="C67" s="17" t="s">
        <v>399</v>
      </c>
      <c r="D67" s="11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 x14ac:dyDescent="0.25">
      <c r="B68" s="1" t="s">
        <v>140</v>
      </c>
      <c r="C68" s="17" t="s">
        <v>399</v>
      </c>
      <c r="D68" s="11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 x14ac:dyDescent="0.25">
      <c r="B69" s="1" t="s">
        <v>141</v>
      </c>
      <c r="C69" s="17" t="s">
        <v>399</v>
      </c>
      <c r="D69" s="11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 x14ac:dyDescent="0.25">
      <c r="B70" s="1" t="s">
        <v>142</v>
      </c>
      <c r="C70" s="17" t="s">
        <v>399</v>
      </c>
      <c r="D70" s="11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 x14ac:dyDescent="0.25">
      <c r="B71" s="1" t="s">
        <v>143</v>
      </c>
      <c r="C71" s="17" t="s">
        <v>399</v>
      </c>
      <c r="D71" s="11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 x14ac:dyDescent="0.25">
      <c r="B72" s="1" t="s">
        <v>144</v>
      </c>
      <c r="C72" s="17" t="s">
        <v>399</v>
      </c>
      <c r="D72" s="11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 x14ac:dyDescent="0.25">
      <c r="B73" s="1" t="s">
        <v>145</v>
      </c>
      <c r="C73" s="17" t="s">
        <v>399</v>
      </c>
      <c r="D73" s="11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 x14ac:dyDescent="0.25">
      <c r="B74" s="1" t="s">
        <v>146</v>
      </c>
      <c r="C74" s="17" t="s">
        <v>399</v>
      </c>
      <c r="D74" s="11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 x14ac:dyDescent="0.25">
      <c r="B75" s="1" t="s">
        <v>147</v>
      </c>
      <c r="C75" s="17" t="s">
        <v>399</v>
      </c>
      <c r="D75" s="11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 x14ac:dyDescent="0.25">
      <c r="B76" s="1" t="s">
        <v>148</v>
      </c>
      <c r="C76" s="17" t="s">
        <v>399</v>
      </c>
      <c r="D76" s="11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 x14ac:dyDescent="0.25">
      <c r="B77" s="1" t="s">
        <v>149</v>
      </c>
      <c r="C77" s="17" t="s">
        <v>399</v>
      </c>
      <c r="D77" s="11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 x14ac:dyDescent="0.25">
      <c r="B78" s="1" t="s">
        <v>150</v>
      </c>
      <c r="C78" s="17" t="s">
        <v>399</v>
      </c>
      <c r="D78" s="11">
        <v>30</v>
      </c>
      <c r="E78" s="1" t="s">
        <v>150</v>
      </c>
      <c r="F78" s="11">
        <v>8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 x14ac:dyDescent="0.25">
      <c r="B79" s="1" t="s">
        <v>151</v>
      </c>
      <c r="C79" s="17" t="s">
        <v>399</v>
      </c>
      <c r="D79" s="11">
        <v>100</v>
      </c>
      <c r="E79" s="1" t="s">
        <v>151</v>
      </c>
      <c r="F79" s="11">
        <v>60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 x14ac:dyDescent="0.25">
      <c r="B80" s="1" t="s">
        <v>152</v>
      </c>
      <c r="C80" s="17" t="s">
        <v>399</v>
      </c>
      <c r="D80" s="11">
        <v>30</v>
      </c>
      <c r="E80" s="1" t="s">
        <v>152</v>
      </c>
      <c r="F80" s="11">
        <v>8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 x14ac:dyDescent="0.25">
      <c r="B81" s="1" t="s">
        <v>153</v>
      </c>
      <c r="C81" s="17" t="s">
        <v>399</v>
      </c>
      <c r="D81" s="11">
        <v>100</v>
      </c>
      <c r="E81" s="1" t="s">
        <v>153</v>
      </c>
      <c r="F81" s="11">
        <v>60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 x14ac:dyDescent="0.25">
      <c r="B82" s="1" t="s">
        <v>154</v>
      </c>
      <c r="C82" s="17" t="s">
        <v>399</v>
      </c>
      <c r="D82" s="11">
        <v>30</v>
      </c>
      <c r="E82" s="1" t="s">
        <v>154</v>
      </c>
      <c r="F82" s="11">
        <v>8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 x14ac:dyDescent="0.25">
      <c r="B83" s="1" t="s">
        <v>155</v>
      </c>
      <c r="C83" s="17" t="s">
        <v>399</v>
      </c>
      <c r="D83" s="11">
        <v>100</v>
      </c>
      <c r="E83" s="1" t="s">
        <v>155</v>
      </c>
      <c r="F83" s="11">
        <v>60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 x14ac:dyDescent="0.25">
      <c r="B84" s="1" t="s">
        <v>156</v>
      </c>
      <c r="C84" s="17" t="s">
        <v>399</v>
      </c>
      <c r="D84" s="11">
        <v>30</v>
      </c>
      <c r="E84" s="1" t="s">
        <v>156</v>
      </c>
      <c r="F84" s="11">
        <v>8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 x14ac:dyDescent="0.25">
      <c r="B85" s="1" t="s">
        <v>157</v>
      </c>
      <c r="C85" s="17" t="s">
        <v>399</v>
      </c>
      <c r="D85" s="11">
        <v>100</v>
      </c>
      <c r="E85" s="1" t="s">
        <v>157</v>
      </c>
      <c r="F85" s="11">
        <v>60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 x14ac:dyDescent="0.25">
      <c r="B86" s="1" t="s">
        <v>158</v>
      </c>
      <c r="C86" s="17" t="s">
        <v>399</v>
      </c>
      <c r="D86" s="11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 x14ac:dyDescent="0.25">
      <c r="B87" s="1" t="s">
        <v>159</v>
      </c>
      <c r="C87" s="17" t="s">
        <v>399</v>
      </c>
      <c r="D87" s="11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 x14ac:dyDescent="0.25">
      <c r="B88" s="1" t="s">
        <v>160</v>
      </c>
      <c r="C88" s="17" t="s">
        <v>399</v>
      </c>
      <c r="D88" s="11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 x14ac:dyDescent="0.25">
      <c r="B89" s="1" t="s">
        <v>161</v>
      </c>
      <c r="C89" s="17" t="s">
        <v>399</v>
      </c>
      <c r="D89" s="11">
        <v>5</v>
      </c>
      <c r="E89" s="1" t="s">
        <v>161</v>
      </c>
      <c r="F89" s="11">
        <v>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 x14ac:dyDescent="0.25">
      <c r="B90" s="1" t="s">
        <v>162</v>
      </c>
      <c r="C90" s="17" t="s">
        <v>399</v>
      </c>
      <c r="D90" s="11">
        <v>100</v>
      </c>
      <c r="E90" s="1" t="s">
        <v>162</v>
      </c>
      <c r="F90" s="11">
        <v>67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 x14ac:dyDescent="0.25">
      <c r="B91" s="1" t="s">
        <v>163</v>
      </c>
      <c r="C91" s="17" t="s">
        <v>399</v>
      </c>
      <c r="D91" s="11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 x14ac:dyDescent="0.25">
      <c r="B92" s="1" t="s">
        <v>164</v>
      </c>
      <c r="C92" s="17" t="s">
        <v>399</v>
      </c>
      <c r="D92" s="11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 x14ac:dyDescent="0.25">
      <c r="B93" s="1" t="s">
        <v>165</v>
      </c>
      <c r="C93" s="17" t="s">
        <v>399</v>
      </c>
      <c r="D93" s="11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 x14ac:dyDescent="0.25">
      <c r="B94" s="1" t="s">
        <v>166</v>
      </c>
      <c r="C94" s="17" t="s">
        <v>399</v>
      </c>
      <c r="D94" s="11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 x14ac:dyDescent="0.25">
      <c r="B95" s="1" t="s">
        <v>167</v>
      </c>
      <c r="C95" s="17" t="s">
        <v>399</v>
      </c>
      <c r="D95" s="53">
        <v>7</v>
      </c>
      <c r="E95" s="1" t="s">
        <v>167</v>
      </c>
      <c r="F95" s="11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 x14ac:dyDescent="0.25">
      <c r="B96" s="1" t="s">
        <v>168</v>
      </c>
      <c r="C96" s="17" t="s">
        <v>399</v>
      </c>
      <c r="D96" s="11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 x14ac:dyDescent="0.25">
      <c r="B97" s="1" t="s">
        <v>169</v>
      </c>
      <c r="C97" s="17" t="s">
        <v>399</v>
      </c>
      <c r="D97" s="11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 x14ac:dyDescent="0.25">
      <c r="B98" s="1" t="s">
        <v>170</v>
      </c>
      <c r="C98" s="17" t="s">
        <v>399</v>
      </c>
      <c r="D98" s="11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 x14ac:dyDescent="0.25">
      <c r="B99" s="1" t="s">
        <v>171</v>
      </c>
      <c r="C99" s="17" t="s">
        <v>399</v>
      </c>
      <c r="D99" s="11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 x14ac:dyDescent="0.25">
      <c r="B100" s="1" t="s">
        <v>172</v>
      </c>
      <c r="C100" s="17" t="s">
        <v>399</v>
      </c>
      <c r="D100" s="11">
        <v>100</v>
      </c>
      <c r="E100" s="1" t="s">
        <v>172</v>
      </c>
      <c r="F100" s="11">
        <v>68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 x14ac:dyDescent="0.25">
      <c r="B101" s="1" t="s">
        <v>173</v>
      </c>
      <c r="C101" s="17" t="s">
        <v>399</v>
      </c>
      <c r="D101" s="11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 x14ac:dyDescent="0.25">
      <c r="B102" s="1" t="s">
        <v>174</v>
      </c>
      <c r="C102" s="17" t="s">
        <v>399</v>
      </c>
      <c r="D102" s="53">
        <v>200</v>
      </c>
      <c r="E102" s="1" t="s">
        <v>174</v>
      </c>
      <c r="F102" s="11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 x14ac:dyDescent="0.25">
      <c r="B103" s="1" t="s">
        <v>175</v>
      </c>
      <c r="C103" s="17" t="s">
        <v>399</v>
      </c>
      <c r="D103" s="11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 x14ac:dyDescent="0.25">
      <c r="B104" s="1" t="s">
        <v>176</v>
      </c>
      <c r="C104" s="17" t="s">
        <v>399</v>
      </c>
      <c r="D104" s="11">
        <v>100</v>
      </c>
      <c r="E104" s="1" t="s">
        <v>176</v>
      </c>
      <c r="F104" s="11">
        <v>5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 x14ac:dyDescent="0.25">
      <c r="B105" s="1" t="s">
        <v>177</v>
      </c>
      <c r="C105" s="17" t="s">
        <v>399</v>
      </c>
      <c r="D105" s="11">
        <v>8</v>
      </c>
      <c r="E105" s="1" t="s">
        <v>177</v>
      </c>
      <c r="F105" s="11">
        <v>2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 x14ac:dyDescent="0.25">
      <c r="B106" s="1" t="s">
        <v>178</v>
      </c>
      <c r="C106" s="17" t="s">
        <v>399</v>
      </c>
      <c r="D106" s="11">
        <v>100</v>
      </c>
      <c r="E106" s="1" t="s">
        <v>178</v>
      </c>
      <c r="F106" s="11">
        <v>2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 x14ac:dyDescent="0.25">
      <c r="B107" s="1" t="s">
        <v>179</v>
      </c>
      <c r="C107" s="17" t="s">
        <v>399</v>
      </c>
      <c r="D107" s="11">
        <v>8</v>
      </c>
      <c r="E107" s="1" t="s">
        <v>179</v>
      </c>
      <c r="F107" s="11">
        <v>2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 x14ac:dyDescent="0.25">
      <c r="B108" s="1" t="s">
        <v>180</v>
      </c>
      <c r="C108" s="17" t="s">
        <v>399</v>
      </c>
      <c r="D108" s="11">
        <v>100</v>
      </c>
      <c r="E108" s="1" t="s">
        <v>180</v>
      </c>
      <c r="F108" s="11">
        <v>2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 x14ac:dyDescent="0.25">
      <c r="B109" s="1" t="s">
        <v>181</v>
      </c>
      <c r="C109" s="17" t="s">
        <v>399</v>
      </c>
      <c r="D109" s="11">
        <v>5</v>
      </c>
      <c r="E109" s="33" t="s">
        <v>181</v>
      </c>
      <c r="F109" s="11">
        <v>2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 x14ac:dyDescent="0.25">
      <c r="B110" s="1" t="s">
        <v>182</v>
      </c>
      <c r="C110" s="17" t="s">
        <v>399</v>
      </c>
      <c r="D110" s="11">
        <v>100</v>
      </c>
      <c r="E110" s="1" t="s">
        <v>182</v>
      </c>
      <c r="F110" s="11">
        <v>62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 x14ac:dyDescent="0.25">
      <c r="B111" s="1" t="s">
        <v>183</v>
      </c>
      <c r="C111" s="17" t="s">
        <v>399</v>
      </c>
      <c r="D111" s="11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 x14ac:dyDescent="0.25">
      <c r="B112" s="31" t="s">
        <v>184</v>
      </c>
      <c r="C112" s="17" t="s">
        <v>399</v>
      </c>
      <c r="D112" s="53">
        <v>119</v>
      </c>
      <c r="E112" s="31" t="s">
        <v>184</v>
      </c>
      <c r="F112" s="11">
        <v>119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 x14ac:dyDescent="0.25">
      <c r="B113" s="1" t="s">
        <v>185</v>
      </c>
      <c r="C113" s="17" t="s">
        <v>398</v>
      </c>
      <c r="D113" s="11"/>
      <c r="E113" s="1" t="s">
        <v>185</v>
      </c>
      <c r="F113" s="11">
        <v>4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 x14ac:dyDescent="0.25">
      <c r="B114" s="1" t="s">
        <v>186</v>
      </c>
      <c r="C114" s="17" t="s">
        <v>398</v>
      </c>
      <c r="D114" s="11"/>
      <c r="E114" s="1" t="s">
        <v>186</v>
      </c>
      <c r="F114" s="11">
        <v>3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 x14ac:dyDescent="0.25">
      <c r="B115" s="1" t="s">
        <v>187</v>
      </c>
      <c r="C115" s="17" t="s">
        <v>398</v>
      </c>
      <c r="D115" s="11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 x14ac:dyDescent="0.25">
      <c r="B116" s="1" t="s">
        <v>188</v>
      </c>
      <c r="C116" s="17" t="s">
        <v>399</v>
      </c>
      <c r="D116" s="53">
        <v>13</v>
      </c>
      <c r="E116" s="1" t="s">
        <v>188</v>
      </c>
      <c r="F116" s="11">
        <v>13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 x14ac:dyDescent="0.25">
      <c r="B117" s="1" t="s">
        <v>189</v>
      </c>
      <c r="C117" s="17" t="s">
        <v>400</v>
      </c>
      <c r="D117" s="11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 x14ac:dyDescent="0.25">
      <c r="B118" s="1" t="s">
        <v>190</v>
      </c>
      <c r="C118" s="17" t="s">
        <v>400</v>
      </c>
      <c r="D118" s="11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 x14ac:dyDescent="0.25">
      <c r="B119" s="1" t="s">
        <v>191</v>
      </c>
      <c r="C119" s="17" t="s">
        <v>400</v>
      </c>
      <c r="D119" s="11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 x14ac:dyDescent="0.25">
      <c r="B120" s="1" t="s">
        <v>192</v>
      </c>
      <c r="C120" s="17" t="s">
        <v>400</v>
      </c>
      <c r="D120" s="11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 x14ac:dyDescent="0.25">
      <c r="B121" s="1" t="s">
        <v>193</v>
      </c>
      <c r="C121" s="17" t="s">
        <v>399</v>
      </c>
      <c r="D121" s="11">
        <v>10</v>
      </c>
      <c r="E121" s="1" t="s">
        <v>193</v>
      </c>
      <c r="F121" s="11">
        <v>7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 x14ac:dyDescent="0.25">
      <c r="B122" s="1" t="s">
        <v>194</v>
      </c>
      <c r="C122" s="17" t="s">
        <v>399</v>
      </c>
      <c r="D122" s="11">
        <v>100</v>
      </c>
      <c r="E122" s="1" t="s">
        <v>194</v>
      </c>
      <c r="F122" s="11">
        <v>57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 x14ac:dyDescent="0.25">
      <c r="B123" s="1" t="s">
        <v>195</v>
      </c>
      <c r="C123" s="17" t="s">
        <v>405</v>
      </c>
      <c r="D123" s="11" t="s">
        <v>456</v>
      </c>
      <c r="E123" s="1" t="s">
        <v>195</v>
      </c>
      <c r="F123" s="11">
        <v>20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 x14ac:dyDescent="0.25">
      <c r="B124" s="1" t="s">
        <v>196</v>
      </c>
      <c r="C124" s="17" t="s">
        <v>405</v>
      </c>
      <c r="D124" s="11" t="s">
        <v>456</v>
      </c>
      <c r="E124" s="1" t="s">
        <v>196</v>
      </c>
      <c r="F124" s="11">
        <v>9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 x14ac:dyDescent="0.25">
      <c r="B125" s="1" t="s">
        <v>197</v>
      </c>
      <c r="C125" s="17" t="s">
        <v>405</v>
      </c>
      <c r="D125" s="11" t="s">
        <v>456</v>
      </c>
      <c r="E125" s="1" t="s">
        <v>197</v>
      </c>
      <c r="F125" s="11">
        <v>9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 x14ac:dyDescent="0.25">
      <c r="B126" s="1" t="s">
        <v>198</v>
      </c>
      <c r="C126" s="17" t="s">
        <v>405</v>
      </c>
      <c r="D126" s="11" t="s">
        <v>456</v>
      </c>
      <c r="E126" s="1" t="s">
        <v>198</v>
      </c>
      <c r="F126" s="11">
        <v>8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 x14ac:dyDescent="0.25">
      <c r="B127" s="1" t="s">
        <v>199</v>
      </c>
      <c r="C127" s="17" t="s">
        <v>405</v>
      </c>
      <c r="D127" s="11" t="s">
        <v>457</v>
      </c>
      <c r="E127" s="1" t="s">
        <v>199</v>
      </c>
      <c r="F127" s="11">
        <v>7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 x14ac:dyDescent="0.25">
      <c r="B128" s="1" t="s">
        <v>200</v>
      </c>
      <c r="C128" s="17" t="s">
        <v>405</v>
      </c>
      <c r="D128" s="11" t="s">
        <v>456</v>
      </c>
      <c r="E128" s="1" t="s">
        <v>200</v>
      </c>
      <c r="F128" s="11">
        <v>9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 x14ac:dyDescent="0.25">
      <c r="B129" s="1" t="s">
        <v>201</v>
      </c>
      <c r="C129" s="17" t="s">
        <v>405</v>
      </c>
      <c r="D129" s="11" t="s">
        <v>456</v>
      </c>
      <c r="E129" s="1" t="s">
        <v>201</v>
      </c>
      <c r="F129" s="11">
        <v>8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 x14ac:dyDescent="0.25">
      <c r="B130" s="1" t="s">
        <v>202</v>
      </c>
      <c r="C130" s="17" t="s">
        <v>405</v>
      </c>
      <c r="D130" s="11" t="s">
        <v>298</v>
      </c>
      <c r="E130" s="1" t="s">
        <v>202</v>
      </c>
      <c r="F130" s="11">
        <v>9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 x14ac:dyDescent="0.25">
      <c r="B131" s="1" t="s">
        <v>203</v>
      </c>
      <c r="C131" s="17" t="s">
        <v>405</v>
      </c>
      <c r="D131" s="11" t="s">
        <v>456</v>
      </c>
      <c r="E131" s="1" t="s">
        <v>203</v>
      </c>
      <c r="F131" s="11">
        <v>7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 x14ac:dyDescent="0.25">
      <c r="B132" s="1" t="s">
        <v>204</v>
      </c>
      <c r="C132" s="17" t="s">
        <v>405</v>
      </c>
      <c r="D132" s="11" t="s">
        <v>456</v>
      </c>
      <c r="E132" s="1" t="s">
        <v>204</v>
      </c>
      <c r="F132" s="11">
        <v>20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 x14ac:dyDescent="0.25">
      <c r="B133" s="1" t="s">
        <v>205</v>
      </c>
      <c r="C133" s="17" t="s">
        <v>405</v>
      </c>
      <c r="D133" s="11" t="s">
        <v>456</v>
      </c>
      <c r="E133" s="1" t="s">
        <v>205</v>
      </c>
      <c r="F133" s="11">
        <v>9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 x14ac:dyDescent="0.25">
      <c r="B134" s="1" t="s">
        <v>206</v>
      </c>
      <c r="C134" s="17" t="s">
        <v>399</v>
      </c>
      <c r="D134" s="11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 x14ac:dyDescent="0.25">
      <c r="B135" s="1" t="s">
        <v>207</v>
      </c>
      <c r="C135" s="17" t="s">
        <v>399</v>
      </c>
      <c r="D135" s="11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 x14ac:dyDescent="0.25">
      <c r="B136" s="1" t="s">
        <v>208</v>
      </c>
      <c r="C136" s="17" t="s">
        <v>399</v>
      </c>
      <c r="D136" s="11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 x14ac:dyDescent="0.25">
      <c r="B137" s="1" t="s">
        <v>209</v>
      </c>
      <c r="C137" s="17" t="s">
        <v>399</v>
      </c>
      <c r="D137" s="11">
        <v>8</v>
      </c>
      <c r="E137" s="1" t="s">
        <v>209</v>
      </c>
      <c r="F137" s="11">
        <v>1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 x14ac:dyDescent="0.25">
      <c r="B138" s="1" t="s">
        <v>210</v>
      </c>
      <c r="C138" s="17" t="s">
        <v>399</v>
      </c>
      <c r="D138" s="11">
        <v>50</v>
      </c>
      <c r="E138" s="1" t="s">
        <v>210</v>
      </c>
      <c r="F138" s="11">
        <v>8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 x14ac:dyDescent="0.25">
      <c r="B139" s="1" t="s">
        <v>406</v>
      </c>
      <c r="C139" s="17" t="s">
        <v>399</v>
      </c>
      <c r="D139" s="11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 x14ac:dyDescent="0.25">
      <c r="B140" s="1" t="s">
        <v>407</v>
      </c>
      <c r="C140" s="17" t="s">
        <v>399</v>
      </c>
      <c r="D140" s="11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 x14ac:dyDescent="0.25">
      <c r="B141" s="1" t="s">
        <v>211</v>
      </c>
      <c r="C141" s="17" t="s">
        <v>399</v>
      </c>
      <c r="D141" s="45">
        <v>3</v>
      </c>
      <c r="E141" s="1" t="s">
        <v>211</v>
      </c>
      <c r="F141" s="11">
        <v>3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 x14ac:dyDescent="0.25">
      <c r="B142" s="1" t="s">
        <v>212</v>
      </c>
      <c r="C142" s="17" t="s">
        <v>399</v>
      </c>
      <c r="D142" s="11">
        <v>100</v>
      </c>
      <c r="E142" s="1" t="s">
        <v>212</v>
      </c>
      <c r="F142" s="11">
        <v>97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 x14ac:dyDescent="0.25">
      <c r="B143" s="1" t="s">
        <v>51</v>
      </c>
      <c r="C143" s="17" t="s">
        <v>399</v>
      </c>
      <c r="D143" s="11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 x14ac:dyDescent="0.25">
      <c r="B144" s="1" t="s">
        <v>52</v>
      </c>
      <c r="C144" s="17" t="s">
        <v>399</v>
      </c>
      <c r="D144" s="11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 x14ac:dyDescent="0.25">
      <c r="B145" s="1" t="s">
        <v>53</v>
      </c>
      <c r="C145" s="17" t="s">
        <v>399</v>
      </c>
      <c r="D145" s="11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 x14ac:dyDescent="0.25">
      <c r="B146" s="1" t="s">
        <v>54</v>
      </c>
      <c r="C146" s="17" t="s">
        <v>399</v>
      </c>
      <c r="D146" s="11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 x14ac:dyDescent="0.25">
      <c r="B147" s="1" t="s">
        <v>55</v>
      </c>
      <c r="C147" s="17" t="s">
        <v>399</v>
      </c>
      <c r="D147" s="11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 x14ac:dyDescent="0.25">
      <c r="B148" s="1" t="s">
        <v>56</v>
      </c>
      <c r="C148" s="17" t="s">
        <v>399</v>
      </c>
      <c r="D148" s="11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 x14ac:dyDescent="0.25">
      <c r="B149" s="1" t="s">
        <v>57</v>
      </c>
      <c r="C149" s="17" t="s">
        <v>399</v>
      </c>
      <c r="D149" s="11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 x14ac:dyDescent="0.25">
      <c r="B150" s="1" t="s">
        <v>58</v>
      </c>
      <c r="C150" s="17" t="s">
        <v>399</v>
      </c>
      <c r="D150" s="11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 x14ac:dyDescent="0.25">
      <c r="B151" s="1" t="s">
        <v>59</v>
      </c>
      <c r="C151" s="17" t="s">
        <v>399</v>
      </c>
      <c r="D151" s="11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 x14ac:dyDescent="0.25">
      <c r="B152" s="1" t="s">
        <v>60</v>
      </c>
      <c r="C152" s="17" t="s">
        <v>399</v>
      </c>
      <c r="D152" s="11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 x14ac:dyDescent="0.25">
      <c r="B153" s="1" t="s">
        <v>61</v>
      </c>
      <c r="C153" s="17" t="s">
        <v>399</v>
      </c>
      <c r="D153" s="11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 x14ac:dyDescent="0.25">
      <c r="B154" s="1" t="s">
        <v>62</v>
      </c>
      <c r="C154" s="17" t="s">
        <v>399</v>
      </c>
      <c r="D154" s="11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 x14ac:dyDescent="0.25">
      <c r="B155" s="1" t="s">
        <v>63</v>
      </c>
      <c r="C155" s="17" t="s">
        <v>399</v>
      </c>
      <c r="D155" s="11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 x14ac:dyDescent="0.25">
      <c r="B156" s="1" t="s">
        <v>64</v>
      </c>
      <c r="C156" s="17" t="s">
        <v>399</v>
      </c>
      <c r="D156" s="11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 x14ac:dyDescent="0.25">
      <c r="B157" s="1" t="s">
        <v>65</v>
      </c>
      <c r="C157" s="17" t="s">
        <v>399</v>
      </c>
      <c r="D157" s="11">
        <v>100</v>
      </c>
      <c r="E157" s="1" t="s">
        <v>65</v>
      </c>
      <c r="F157" s="11">
        <v>7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 x14ac:dyDescent="0.25">
      <c r="B158" s="1" t="s">
        <v>66</v>
      </c>
      <c r="C158" s="17" t="s">
        <v>399</v>
      </c>
      <c r="D158" s="11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 x14ac:dyDescent="0.25">
      <c r="B159" s="1" t="s">
        <v>67</v>
      </c>
      <c r="C159" s="17" t="s">
        <v>399</v>
      </c>
      <c r="D159" s="11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 x14ac:dyDescent="0.25">
      <c r="B160" s="1" t="s">
        <v>68</v>
      </c>
      <c r="C160" s="17" t="s">
        <v>399</v>
      </c>
      <c r="D160" s="11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 x14ac:dyDescent="0.25">
      <c r="B161" s="1" t="s">
        <v>69</v>
      </c>
      <c r="C161" s="17" t="s">
        <v>399</v>
      </c>
      <c r="D161" s="11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 x14ac:dyDescent="0.25">
      <c r="B162" s="1" t="s">
        <v>70</v>
      </c>
      <c r="C162" s="17" t="s">
        <v>399</v>
      </c>
      <c r="D162" s="11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 x14ac:dyDescent="0.25">
      <c r="B163" s="1" t="s">
        <v>88</v>
      </c>
      <c r="C163" s="17" t="s">
        <v>399</v>
      </c>
      <c r="D163" s="11">
        <v>20</v>
      </c>
      <c r="E163" s="1" t="s">
        <v>88</v>
      </c>
      <c r="F163" s="11">
        <v>10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 x14ac:dyDescent="0.25">
      <c r="B164" s="1" t="s">
        <v>213</v>
      </c>
      <c r="C164" s="17" t="s">
        <v>399</v>
      </c>
      <c r="D164" s="11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 x14ac:dyDescent="0.25">
      <c r="B165" s="1" t="s">
        <v>214</v>
      </c>
      <c r="C165" s="17" t="s">
        <v>399</v>
      </c>
      <c r="D165" s="11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 x14ac:dyDescent="0.25">
      <c r="B166" s="1" t="s">
        <v>408</v>
      </c>
      <c r="C166" s="17" t="s">
        <v>399</v>
      </c>
      <c r="D166" s="11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 x14ac:dyDescent="0.25">
      <c r="B167" s="1" t="s">
        <v>409</v>
      </c>
      <c r="C167" s="17" t="s">
        <v>399</v>
      </c>
      <c r="D167" s="11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 x14ac:dyDescent="0.25">
      <c r="B168" s="1" t="s">
        <v>215</v>
      </c>
      <c r="C168" s="17" t="s">
        <v>399</v>
      </c>
      <c r="D168" s="11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 x14ac:dyDescent="0.25">
      <c r="B169" s="1" t="s">
        <v>216</v>
      </c>
      <c r="C169" s="17" t="s">
        <v>399</v>
      </c>
      <c r="D169" s="11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 x14ac:dyDescent="0.25">
      <c r="B170" s="1" t="s">
        <v>217</v>
      </c>
      <c r="C170" s="17" t="s">
        <v>399</v>
      </c>
      <c r="D170" s="11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 x14ac:dyDescent="0.25">
      <c r="B171" s="1" t="s">
        <v>218</v>
      </c>
      <c r="C171" s="17" t="s">
        <v>399</v>
      </c>
      <c r="D171" s="11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 x14ac:dyDescent="0.25">
      <c r="B172" s="1" t="s">
        <v>219</v>
      </c>
      <c r="C172" s="17" t="s">
        <v>399</v>
      </c>
      <c r="D172" s="11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 x14ac:dyDescent="0.25">
      <c r="B173" s="1" t="s">
        <v>220</v>
      </c>
      <c r="C173" s="17" t="s">
        <v>399</v>
      </c>
      <c r="D173" s="11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 x14ac:dyDescent="0.25">
      <c r="B174" s="1" t="s">
        <v>221</v>
      </c>
      <c r="C174" s="17" t="s">
        <v>399</v>
      </c>
      <c r="D174" s="11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 x14ac:dyDescent="0.25">
      <c r="B175" s="1" t="s">
        <v>222</v>
      </c>
      <c r="C175" s="17" t="s">
        <v>399</v>
      </c>
      <c r="D175" s="11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 x14ac:dyDescent="0.25">
      <c r="B176" s="1" t="s">
        <v>223</v>
      </c>
      <c r="C176" s="17" t="s">
        <v>399</v>
      </c>
      <c r="D176" s="11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 x14ac:dyDescent="0.25">
      <c r="B177" s="1" t="s">
        <v>224</v>
      </c>
      <c r="C177" s="17" t="s">
        <v>399</v>
      </c>
      <c r="D177" s="11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 x14ac:dyDescent="0.25">
      <c r="B178" s="1" t="s">
        <v>225</v>
      </c>
      <c r="C178" s="17" t="s">
        <v>399</v>
      </c>
      <c r="D178" s="11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 x14ac:dyDescent="0.25">
      <c r="B179" s="1" t="s">
        <v>226</v>
      </c>
      <c r="C179" s="17" t="s">
        <v>399</v>
      </c>
      <c r="D179" s="11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 x14ac:dyDescent="0.25">
      <c r="B180" s="1" t="s">
        <v>227</v>
      </c>
      <c r="C180" s="17" t="s">
        <v>399</v>
      </c>
      <c r="D180" s="11">
        <v>100</v>
      </c>
      <c r="E180" s="1" t="s">
        <v>227</v>
      </c>
      <c r="F180" s="11">
        <v>45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 x14ac:dyDescent="0.25">
      <c r="B181" s="1" t="s">
        <v>228</v>
      </c>
      <c r="C181" s="17" t="s">
        <v>399</v>
      </c>
      <c r="D181" s="11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 x14ac:dyDescent="0.25">
      <c r="B182" s="1" t="s">
        <v>229</v>
      </c>
      <c r="C182" s="17" t="s">
        <v>399</v>
      </c>
      <c r="D182" s="11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 x14ac:dyDescent="0.25">
      <c r="B183" s="1" t="s">
        <v>230</v>
      </c>
      <c r="C183" s="17" t="s">
        <v>399</v>
      </c>
      <c r="D183" s="11">
        <v>100</v>
      </c>
      <c r="E183" s="1" t="s">
        <v>230</v>
      </c>
      <c r="F183" s="11">
        <v>44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 x14ac:dyDescent="0.25">
      <c r="B184" s="1" t="s">
        <v>231</v>
      </c>
      <c r="C184" s="17" t="s">
        <v>399</v>
      </c>
      <c r="D184" s="11">
        <v>100</v>
      </c>
      <c r="E184" s="1" t="s">
        <v>231</v>
      </c>
      <c r="F184" s="11">
        <v>44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 x14ac:dyDescent="0.25">
      <c r="B185" s="1" t="s">
        <v>232</v>
      </c>
      <c r="C185" s="17" t="s">
        <v>399</v>
      </c>
      <c r="D185" s="11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 x14ac:dyDescent="0.25">
      <c r="B186" s="1" t="s">
        <v>233</v>
      </c>
      <c r="C186" s="17" t="s">
        <v>399</v>
      </c>
      <c r="D186" s="11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 x14ac:dyDescent="0.25">
      <c r="B187" s="1" t="s">
        <v>234</v>
      </c>
      <c r="C187" s="17" t="s">
        <v>399</v>
      </c>
      <c r="D187" s="11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 x14ac:dyDescent="0.25">
      <c r="B188" s="1" t="s">
        <v>235</v>
      </c>
      <c r="C188" s="17" t="s">
        <v>399</v>
      </c>
      <c r="D188" s="11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 x14ac:dyDescent="0.25">
      <c r="B189" s="1" t="s">
        <v>236</v>
      </c>
      <c r="C189" s="17" t="s">
        <v>399</v>
      </c>
      <c r="D189" s="11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 x14ac:dyDescent="0.25">
      <c r="B190" s="1" t="s">
        <v>237</v>
      </c>
      <c r="C190" s="17" t="s">
        <v>399</v>
      </c>
      <c r="D190" s="11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 x14ac:dyDescent="0.25">
      <c r="B191" s="1" t="s">
        <v>238</v>
      </c>
      <c r="C191" s="17" t="s">
        <v>399</v>
      </c>
      <c r="D191" s="11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 x14ac:dyDescent="0.25">
      <c r="B192" s="1" t="s">
        <v>239</v>
      </c>
      <c r="C192" s="17" t="s">
        <v>399</v>
      </c>
      <c r="D192" s="11">
        <v>100</v>
      </c>
      <c r="E192" s="1" t="s">
        <v>239</v>
      </c>
      <c r="F192" s="11">
        <v>43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 x14ac:dyDescent="0.25">
      <c r="B193" s="1" t="s">
        <v>240</v>
      </c>
      <c r="C193" s="17" t="s">
        <v>399</v>
      </c>
      <c r="D193" s="11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 x14ac:dyDescent="0.25">
      <c r="B194" s="1" t="s">
        <v>241</v>
      </c>
      <c r="C194" s="17" t="s">
        <v>399</v>
      </c>
      <c r="D194" s="11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 x14ac:dyDescent="0.25">
      <c r="B195" s="1" t="s">
        <v>242</v>
      </c>
      <c r="C195" s="17" t="s">
        <v>399</v>
      </c>
      <c r="D195" s="11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 x14ac:dyDescent="0.25">
      <c r="B196" s="1" t="s">
        <v>243</v>
      </c>
      <c r="C196" s="17" t="s">
        <v>399</v>
      </c>
      <c r="D196" s="11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 x14ac:dyDescent="0.25">
      <c r="B197" s="1" t="s">
        <v>244</v>
      </c>
      <c r="C197" s="17" t="s">
        <v>399</v>
      </c>
      <c r="D197" s="11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 x14ac:dyDescent="0.25">
      <c r="B198" s="1" t="s">
        <v>245</v>
      </c>
      <c r="C198" s="17" t="s">
        <v>399</v>
      </c>
      <c r="D198" s="11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 x14ac:dyDescent="0.25">
      <c r="B199" s="1" t="s">
        <v>246</v>
      </c>
      <c r="C199" s="17" t="s">
        <v>399</v>
      </c>
      <c r="D199" s="11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 x14ac:dyDescent="0.25">
      <c r="B200" s="1" t="s">
        <v>247</v>
      </c>
      <c r="C200" s="17" t="s">
        <v>399</v>
      </c>
      <c r="D200" s="11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 x14ac:dyDescent="0.25">
      <c r="B201" s="1" t="s">
        <v>248</v>
      </c>
      <c r="C201" s="17" t="s">
        <v>399</v>
      </c>
      <c r="D201" s="11">
        <v>100</v>
      </c>
      <c r="E201" s="1" t="s">
        <v>248</v>
      </c>
      <c r="F201" s="11">
        <v>11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 x14ac:dyDescent="0.25">
      <c r="B202" s="1" t="s">
        <v>249</v>
      </c>
      <c r="C202" s="17" t="s">
        <v>399</v>
      </c>
      <c r="D202" s="11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 x14ac:dyDescent="0.25">
      <c r="B203" s="1" t="s">
        <v>250</v>
      </c>
      <c r="C203" s="17" t="s">
        <v>399</v>
      </c>
      <c r="D203" s="11">
        <v>100</v>
      </c>
      <c r="E203" s="1" t="s">
        <v>250</v>
      </c>
      <c r="F203" s="11">
        <v>11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 x14ac:dyDescent="0.25">
      <c r="B204" s="1" t="s">
        <v>251</v>
      </c>
      <c r="C204" s="17" t="s">
        <v>399</v>
      </c>
      <c r="D204" s="11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 x14ac:dyDescent="0.25">
      <c r="B205" s="1" t="s">
        <v>252</v>
      </c>
      <c r="C205" s="17" t="s">
        <v>399</v>
      </c>
      <c r="D205" s="11">
        <v>100</v>
      </c>
      <c r="E205" s="1" t="s">
        <v>252</v>
      </c>
      <c r="F205" s="11">
        <v>11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 x14ac:dyDescent="0.25">
      <c r="B206" s="1" t="s">
        <v>253</v>
      </c>
      <c r="C206" s="17" t="s">
        <v>399</v>
      </c>
      <c r="D206" s="11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 x14ac:dyDescent="0.25">
      <c r="B207" s="1" t="s">
        <v>254</v>
      </c>
      <c r="C207" s="17" t="s">
        <v>399</v>
      </c>
      <c r="D207" s="11">
        <v>100</v>
      </c>
      <c r="E207" s="1" t="s">
        <v>254</v>
      </c>
      <c r="F207" s="11">
        <v>11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 x14ac:dyDescent="0.25">
      <c r="B208" s="1" t="s">
        <v>255</v>
      </c>
      <c r="C208" s="17" t="s">
        <v>399</v>
      </c>
      <c r="D208" s="11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 x14ac:dyDescent="0.25">
      <c r="B209" s="1" t="s">
        <v>256</v>
      </c>
      <c r="C209" s="17" t="s">
        <v>399</v>
      </c>
      <c r="D209" s="11">
        <v>100</v>
      </c>
      <c r="E209" s="1" t="s">
        <v>256</v>
      </c>
      <c r="F209" s="11">
        <v>11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 x14ac:dyDescent="0.25">
      <c r="B210" s="1" t="s">
        <v>257</v>
      </c>
      <c r="C210" s="17" t="s">
        <v>399</v>
      </c>
      <c r="D210" s="11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 x14ac:dyDescent="0.25">
      <c r="B211" s="1" t="s">
        <v>258</v>
      </c>
      <c r="C211" s="17" t="s">
        <v>399</v>
      </c>
      <c r="D211" s="11">
        <v>100</v>
      </c>
      <c r="E211" s="1" t="s">
        <v>258</v>
      </c>
      <c r="F211" s="11">
        <v>11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 x14ac:dyDescent="0.25">
      <c r="B212" s="1" t="s">
        <v>259</v>
      </c>
      <c r="C212" s="17" t="s">
        <v>399</v>
      </c>
      <c r="D212" s="11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 x14ac:dyDescent="0.25">
      <c r="B213" s="1" t="s">
        <v>260</v>
      </c>
      <c r="C213" s="17" t="s">
        <v>399</v>
      </c>
      <c r="D213" s="11">
        <v>100</v>
      </c>
      <c r="E213" s="1" t="s">
        <v>260</v>
      </c>
      <c r="F213" s="11">
        <v>11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 x14ac:dyDescent="0.25">
      <c r="B214" s="1" t="s">
        <v>261</v>
      </c>
      <c r="C214" s="17" t="s">
        <v>399</v>
      </c>
      <c r="D214" s="11">
        <v>100</v>
      </c>
      <c r="E214" s="1" t="s">
        <v>261</v>
      </c>
      <c r="F214" s="11">
        <v>40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 x14ac:dyDescent="0.25">
      <c r="B215" s="1" t="s">
        <v>262</v>
      </c>
      <c r="C215" s="17" t="s">
        <v>399</v>
      </c>
      <c r="D215" s="11">
        <v>100</v>
      </c>
      <c r="E215" s="1" t="s">
        <v>262</v>
      </c>
      <c r="F215" s="11">
        <v>11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 x14ac:dyDescent="0.25">
      <c r="B216" s="1" t="s">
        <v>263</v>
      </c>
      <c r="C216" s="17" t="s">
        <v>399</v>
      </c>
      <c r="D216" s="11">
        <v>100</v>
      </c>
      <c r="E216" s="1" t="s">
        <v>263</v>
      </c>
      <c r="F216" s="11">
        <v>29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 x14ac:dyDescent="0.25">
      <c r="B217" s="1" t="s">
        <v>264</v>
      </c>
      <c r="C217" s="17" t="s">
        <v>399</v>
      </c>
      <c r="D217" s="11">
        <v>100</v>
      </c>
      <c r="E217" s="1" t="s">
        <v>264</v>
      </c>
      <c r="F217" s="11">
        <v>11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 x14ac:dyDescent="0.25">
      <c r="B218" s="1" t="s">
        <v>265</v>
      </c>
      <c r="C218" s="17" t="s">
        <v>399</v>
      </c>
      <c r="D218" s="11">
        <v>100</v>
      </c>
      <c r="E218" s="1" t="s">
        <v>265</v>
      </c>
      <c r="F218" s="11">
        <v>40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 x14ac:dyDescent="0.25">
      <c r="B219" s="1" t="s">
        <v>266</v>
      </c>
      <c r="C219" s="17" t="s">
        <v>399</v>
      </c>
      <c r="D219" s="11">
        <v>100</v>
      </c>
      <c r="E219" s="1" t="s">
        <v>266</v>
      </c>
      <c r="F219" s="11">
        <v>11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 x14ac:dyDescent="0.25">
      <c r="B220" s="1" t="s">
        <v>267</v>
      </c>
      <c r="C220" s="17" t="s">
        <v>399</v>
      </c>
      <c r="D220" s="11">
        <v>100</v>
      </c>
      <c r="E220" s="1" t="s">
        <v>267</v>
      </c>
      <c r="F220" s="11">
        <v>29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 x14ac:dyDescent="0.25">
      <c r="B221" s="1" t="s">
        <v>268</v>
      </c>
      <c r="C221" s="17" t="s">
        <v>399</v>
      </c>
      <c r="D221" s="11">
        <v>100</v>
      </c>
      <c r="E221" s="1" t="s">
        <v>268</v>
      </c>
      <c r="F221" s="11">
        <v>11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 x14ac:dyDescent="0.25">
      <c r="B222" s="1" t="s">
        <v>269</v>
      </c>
      <c r="C222" s="17" t="s">
        <v>399</v>
      </c>
      <c r="D222" s="11">
        <v>100</v>
      </c>
      <c r="E222" s="1" t="s">
        <v>269</v>
      </c>
      <c r="F222" s="11">
        <v>40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 x14ac:dyDescent="0.25">
      <c r="B223" s="1" t="s">
        <v>270</v>
      </c>
      <c r="C223" s="17" t="s">
        <v>399</v>
      </c>
      <c r="D223" s="11">
        <v>100</v>
      </c>
      <c r="E223" s="1" t="s">
        <v>270</v>
      </c>
      <c r="F223" s="11">
        <v>11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 x14ac:dyDescent="0.25">
      <c r="B224" s="1" t="s">
        <v>271</v>
      </c>
      <c r="C224" s="17" t="s">
        <v>399</v>
      </c>
      <c r="D224" s="11">
        <v>100</v>
      </c>
      <c r="E224" s="1" t="s">
        <v>271</v>
      </c>
      <c r="F224" s="11">
        <v>29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 x14ac:dyDescent="0.25">
      <c r="B225" s="1" t="s">
        <v>272</v>
      </c>
      <c r="C225" s="17" t="s">
        <v>399</v>
      </c>
      <c r="D225" s="11">
        <v>100</v>
      </c>
      <c r="E225" s="1" t="s">
        <v>272</v>
      </c>
      <c r="F225" s="11">
        <v>11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 x14ac:dyDescent="0.25">
      <c r="B226" s="1" t="s">
        <v>273</v>
      </c>
      <c r="C226" s="17" t="s">
        <v>399</v>
      </c>
      <c r="D226" s="11">
        <v>100</v>
      </c>
      <c r="E226" s="1" t="s">
        <v>273</v>
      </c>
      <c r="F226" s="11">
        <v>40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 x14ac:dyDescent="0.25">
      <c r="B227" s="1" t="s">
        <v>274</v>
      </c>
      <c r="C227" s="17" t="s">
        <v>399</v>
      </c>
      <c r="D227" s="11">
        <v>100</v>
      </c>
      <c r="E227" s="1" t="s">
        <v>274</v>
      </c>
      <c r="F227" s="11">
        <v>11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 x14ac:dyDescent="0.25">
      <c r="B228" s="1" t="s">
        <v>275</v>
      </c>
      <c r="C228" s="17" t="s">
        <v>399</v>
      </c>
      <c r="D228" s="11">
        <v>100</v>
      </c>
      <c r="E228" s="1" t="s">
        <v>275</v>
      </c>
      <c r="F228" s="11">
        <v>29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 x14ac:dyDescent="0.25">
      <c r="B229" s="1" t="s">
        <v>279</v>
      </c>
      <c r="C229" s="17" t="s">
        <v>399</v>
      </c>
      <c r="D229" s="53">
        <v>11</v>
      </c>
      <c r="E229" s="1" t="s">
        <v>279</v>
      </c>
      <c r="F229" s="11">
        <v>11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 x14ac:dyDescent="0.25">
      <c r="B230" s="1" t="s">
        <v>280</v>
      </c>
      <c r="C230" s="17" t="s">
        <v>399</v>
      </c>
      <c r="D230" s="11">
        <v>100</v>
      </c>
      <c r="E230" s="1" t="s">
        <v>280</v>
      </c>
      <c r="F230" s="11">
        <v>25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 x14ac:dyDescent="0.25">
      <c r="B231" s="1" t="s">
        <v>281</v>
      </c>
      <c r="C231" s="17" t="s">
        <v>399</v>
      </c>
      <c r="D231" s="11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 x14ac:dyDescent="0.25">
      <c r="B232" s="1" t="s">
        <v>291</v>
      </c>
      <c r="C232" s="17" t="s">
        <v>399</v>
      </c>
      <c r="D232" s="11">
        <v>100</v>
      </c>
      <c r="E232" s="1" t="s">
        <v>291</v>
      </c>
      <c r="F232" s="11">
        <v>11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 x14ac:dyDescent="0.25">
      <c r="B233" s="1" t="s">
        <v>292</v>
      </c>
      <c r="C233" s="17" t="s">
        <v>399</v>
      </c>
      <c r="D233" s="11">
        <v>100</v>
      </c>
      <c r="E233" s="1" t="s">
        <v>292</v>
      </c>
      <c r="F233" s="11">
        <v>12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 x14ac:dyDescent="0.25">
      <c r="B234" s="1" t="s">
        <v>293</v>
      </c>
      <c r="C234" s="17" t="s">
        <v>399</v>
      </c>
      <c r="D234" s="11">
        <v>100</v>
      </c>
      <c r="E234" s="1" t="s">
        <v>293</v>
      </c>
      <c r="F234" s="11">
        <v>60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 x14ac:dyDescent="0.25">
      <c r="B235" s="1" t="s">
        <v>276</v>
      </c>
      <c r="C235" s="17" t="s">
        <v>399</v>
      </c>
      <c r="D235" s="11">
        <v>100</v>
      </c>
      <c r="E235" s="1" t="s">
        <v>276</v>
      </c>
      <c r="F235" s="11">
        <v>11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 x14ac:dyDescent="0.25">
      <c r="B236" s="1" t="s">
        <v>277</v>
      </c>
      <c r="C236" s="17" t="s">
        <v>399</v>
      </c>
      <c r="D236" s="11">
        <v>100</v>
      </c>
      <c r="E236" s="1" t="s">
        <v>277</v>
      </c>
      <c r="F236" s="11">
        <v>25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 x14ac:dyDescent="0.25">
      <c r="B237" s="1" t="s">
        <v>278</v>
      </c>
      <c r="C237" s="17" t="s">
        <v>399</v>
      </c>
      <c r="D237" s="11">
        <v>100</v>
      </c>
      <c r="E237" s="1" t="s">
        <v>278</v>
      </c>
      <c r="F237" s="11">
        <v>52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 x14ac:dyDescent="0.25">
      <c r="B238" s="1" t="s">
        <v>282</v>
      </c>
      <c r="C238" s="17" t="s">
        <v>399</v>
      </c>
      <c r="D238" s="11">
        <v>100</v>
      </c>
      <c r="E238" s="1" t="s">
        <v>282</v>
      </c>
      <c r="F238" s="11">
        <v>11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 x14ac:dyDescent="0.25">
      <c r="B239" s="1" t="s">
        <v>283</v>
      </c>
      <c r="C239" s="17" t="s">
        <v>399</v>
      </c>
      <c r="D239" s="11">
        <v>100</v>
      </c>
      <c r="E239" s="1" t="s">
        <v>283</v>
      </c>
      <c r="F239" s="11">
        <v>11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 x14ac:dyDescent="0.25">
      <c r="B240" s="1" t="s">
        <v>284</v>
      </c>
      <c r="C240" s="17" t="s">
        <v>399</v>
      </c>
      <c r="D240" s="11">
        <v>100</v>
      </c>
      <c r="E240" s="1" t="s">
        <v>284</v>
      </c>
      <c r="F240" s="11">
        <v>11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 x14ac:dyDescent="0.25">
      <c r="B241" s="1" t="s">
        <v>285</v>
      </c>
      <c r="C241" s="17" t="s">
        <v>399</v>
      </c>
      <c r="D241" s="11">
        <v>100</v>
      </c>
      <c r="E241" s="1" t="s">
        <v>285</v>
      </c>
      <c r="F241" s="11">
        <v>11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 x14ac:dyDescent="0.25">
      <c r="B242" s="1" t="s">
        <v>286</v>
      </c>
      <c r="C242" s="17" t="s">
        <v>399</v>
      </c>
      <c r="D242" s="11">
        <v>100</v>
      </c>
      <c r="E242" s="1" t="s">
        <v>286</v>
      </c>
      <c r="F242" s="11">
        <v>11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 x14ac:dyDescent="0.25">
      <c r="B243" s="1" t="s">
        <v>287</v>
      </c>
      <c r="C243" s="17" t="s">
        <v>399</v>
      </c>
      <c r="D243" s="11">
        <v>100</v>
      </c>
      <c r="E243" s="1" t="s">
        <v>287</v>
      </c>
      <c r="F243" s="11">
        <v>11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 x14ac:dyDescent="0.25">
      <c r="B244" s="1" t="s">
        <v>288</v>
      </c>
      <c r="C244" s="17" t="s">
        <v>399</v>
      </c>
      <c r="D244" s="11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 x14ac:dyDescent="0.25">
      <c r="B245" s="1" t="s">
        <v>289</v>
      </c>
      <c r="C245" s="17" t="s">
        <v>399</v>
      </c>
      <c r="D245" s="11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 x14ac:dyDescent="0.25">
      <c r="B246" s="1" t="s">
        <v>290</v>
      </c>
      <c r="C246" s="17" t="s">
        <v>399</v>
      </c>
      <c r="D246" s="11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 x14ac:dyDescent="0.25">
      <c r="B247" s="1" t="s">
        <v>410</v>
      </c>
      <c r="C247" s="17" t="s">
        <v>399</v>
      </c>
      <c r="D247" s="11">
        <v>100</v>
      </c>
      <c r="E247" s="1" t="s">
        <v>410</v>
      </c>
      <c r="F247" s="11">
        <v>11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 x14ac:dyDescent="0.25">
      <c r="B248" s="1" t="s">
        <v>411</v>
      </c>
      <c r="C248" s="17" t="s">
        <v>399</v>
      </c>
      <c r="D248" s="11">
        <v>100</v>
      </c>
      <c r="E248" s="1" t="s">
        <v>411</v>
      </c>
      <c r="F248" s="11">
        <v>11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 x14ac:dyDescent="0.25">
      <c r="B249" s="1" t="s">
        <v>412</v>
      </c>
      <c r="C249" s="17" t="s">
        <v>399</v>
      </c>
      <c r="D249" s="11">
        <v>100</v>
      </c>
      <c r="E249" s="1" t="s">
        <v>412</v>
      </c>
      <c r="F249" s="11">
        <v>11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 x14ac:dyDescent="0.25">
      <c r="B250" s="1" t="s">
        <v>294</v>
      </c>
      <c r="C250" s="17" t="s">
        <v>400</v>
      </c>
      <c r="D250" s="11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 x14ac:dyDescent="0.25">
      <c r="B251" s="1" t="s">
        <v>295</v>
      </c>
      <c r="C251" s="17" t="s">
        <v>400</v>
      </c>
      <c r="D251" s="11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 x14ac:dyDescent="0.25">
      <c r="B252" s="1" t="s">
        <v>86</v>
      </c>
      <c r="C252" s="17" t="s">
        <v>399</v>
      </c>
      <c r="D252" s="11">
        <v>255</v>
      </c>
      <c r="E252" s="1" t="s">
        <v>86</v>
      </c>
      <c r="F252" s="11">
        <v>81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 x14ac:dyDescent="0.25">
      <c r="B253" s="1" t="s">
        <v>87</v>
      </c>
      <c r="C253" s="17" t="s">
        <v>399</v>
      </c>
      <c r="D253" s="11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 x14ac:dyDescent="0.25">
      <c r="B254" s="1" t="s">
        <v>296</v>
      </c>
      <c r="C254" s="17" t="s">
        <v>398</v>
      </c>
      <c r="D254" s="11"/>
      <c r="E254" s="1" t="s">
        <v>296</v>
      </c>
      <c r="F254" s="11">
        <v>6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 x14ac:dyDescent="0.25">
      <c r="B255" s="1" t="s">
        <v>71</v>
      </c>
      <c r="C255" s="17" t="s">
        <v>399</v>
      </c>
      <c r="D255" s="11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 x14ac:dyDescent="0.25">
      <c r="B256" s="1" t="s">
        <v>297</v>
      </c>
      <c r="C256" s="17" t="s">
        <v>399</v>
      </c>
      <c r="D256" s="11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 x14ac:dyDescent="0.25">
      <c r="B257" s="30" t="s">
        <v>436</v>
      </c>
      <c r="C257" s="30" t="s">
        <v>458</v>
      </c>
      <c r="D257" s="11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 x14ac:dyDescent="0.25">
      <c r="B258" s="30" t="s">
        <v>437</v>
      </c>
      <c r="C258" s="30" t="s">
        <v>458</v>
      </c>
      <c r="D258" s="11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30" t="s">
        <v>438</v>
      </c>
      <c r="C259" s="30" t="s">
        <v>458</v>
      </c>
      <c r="D259" s="11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30" t="s">
        <v>439</v>
      </c>
      <c r="C260" s="30" t="s">
        <v>458</v>
      </c>
      <c r="D260" s="11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30" t="s">
        <v>440</v>
      </c>
      <c r="C261" s="30" t="s">
        <v>458</v>
      </c>
      <c r="D261" s="11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30" t="s">
        <v>441</v>
      </c>
      <c r="C262" s="30" t="s">
        <v>458</v>
      </c>
      <c r="D262" s="11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30" t="s">
        <v>442</v>
      </c>
      <c r="C263" s="30" t="s">
        <v>458</v>
      </c>
      <c r="D263" s="11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30" t="s">
        <v>443</v>
      </c>
      <c r="C264" s="30" t="s">
        <v>458</v>
      </c>
      <c r="D264" s="11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30" t="s">
        <v>444</v>
      </c>
      <c r="C265" s="30" t="s">
        <v>458</v>
      </c>
      <c r="D265" s="11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30" t="s">
        <v>445</v>
      </c>
      <c r="C266" s="30" t="s">
        <v>458</v>
      </c>
      <c r="D266" s="11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30" t="s">
        <v>446</v>
      </c>
      <c r="C267" s="30" t="s">
        <v>458</v>
      </c>
      <c r="D267" s="11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30" t="s">
        <v>447</v>
      </c>
      <c r="C268" s="30" t="s">
        <v>458</v>
      </c>
      <c r="D268" s="11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30" t="s">
        <v>448</v>
      </c>
      <c r="C269" s="30" t="s">
        <v>458</v>
      </c>
      <c r="D269" s="11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30" t="s">
        <v>449</v>
      </c>
      <c r="C270" s="30" t="s">
        <v>458</v>
      </c>
      <c r="D270" s="11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30" t="s">
        <v>450</v>
      </c>
      <c r="C271" s="30" t="s">
        <v>458</v>
      </c>
      <c r="D271" s="11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30" t="s">
        <v>451</v>
      </c>
      <c r="C272" s="30" t="s">
        <v>458</v>
      </c>
      <c r="D272" s="11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30" t="s">
        <v>452</v>
      </c>
      <c r="C273" s="30" t="s">
        <v>458</v>
      </c>
      <c r="D273" s="11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30" t="s">
        <v>453</v>
      </c>
      <c r="C274" s="30" t="s">
        <v>458</v>
      </c>
      <c r="D274" s="11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30" t="s">
        <v>454</v>
      </c>
      <c r="C275" s="30" t="s">
        <v>458</v>
      </c>
      <c r="D275" s="11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30" t="s">
        <v>455</v>
      </c>
      <c r="C276" s="30" t="s">
        <v>458</v>
      </c>
      <c r="D276" s="11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55" priority="121" operator="equal">
      <formula>"Fail"</formula>
    </cfRule>
    <cfRule type="cellIs" dxfId="154" priority="122" operator="equal">
      <formula>"Pass"</formula>
    </cfRule>
  </conditionalFormatting>
  <conditionalFormatting sqref="M6:N7">
    <cfRule type="cellIs" dxfId="153" priority="7" operator="equal">
      <formula>"Fail"</formula>
    </cfRule>
    <cfRule type="cellIs" dxfId="152" priority="8" operator="equal">
      <formula>"Pass"</formula>
    </cfRule>
  </conditionalFormatting>
  <conditionalFormatting sqref="M8">
    <cfRule type="containsText" dxfId="151" priority="1" operator="containsText" text="Pass">
      <formula>NOT(ISERROR(SEARCH("Pass",M8)))</formula>
    </cfRule>
    <cfRule type="containsText" dxfId="150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7" t="s">
        <v>83</v>
      </c>
      <c r="C2" s="47" t="s">
        <v>398</v>
      </c>
      <c r="D2" s="11" t="s">
        <v>476</v>
      </c>
      <c r="E2" s="47"/>
      <c r="F2" s="11"/>
      <c r="G2" s="11" t="str">
        <f>IF(I2=J2,"Pass","Fail")</f>
        <v>Fail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/>
      </c>
      <c r="L2" s="20" t="s">
        <v>394</v>
      </c>
      <c r="M2" s="20" t="s">
        <v>395</v>
      </c>
      <c r="N2" s="20" t="s">
        <v>396</v>
      </c>
    </row>
    <row r="3" spans="2:15" x14ac:dyDescent="0.25">
      <c r="B3" s="47" t="s">
        <v>84</v>
      </c>
      <c r="C3" s="47" t="s">
        <v>399</v>
      </c>
      <c r="D3" s="11">
        <v>50</v>
      </c>
      <c r="E3" s="47"/>
      <c r="F3" s="11"/>
      <c r="G3" s="11" t="str">
        <f t="shared" ref="G3:G10" si="0">IF(I3=J3,"Pass","Fail")</f>
        <v>Fail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/>
      </c>
      <c r="L3" s="19"/>
      <c r="M3" s="19"/>
      <c r="N3" s="22">
        <f>L3-M3</f>
        <v>0</v>
      </c>
    </row>
    <row r="4" spans="2:15" x14ac:dyDescent="0.25">
      <c r="B4" s="47" t="s">
        <v>85</v>
      </c>
      <c r="C4" s="47" t="s">
        <v>399</v>
      </c>
      <c r="D4" s="11">
        <v>50</v>
      </c>
      <c r="E4" s="47"/>
      <c r="F4" s="11"/>
      <c r="G4" s="11" t="str">
        <f t="shared" si="0"/>
        <v>Fail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/>
      </c>
      <c r="L4" s="20" t="s">
        <v>468</v>
      </c>
      <c r="M4" s="19"/>
      <c r="N4" s="22">
        <f>L3-M4</f>
        <v>0</v>
      </c>
    </row>
    <row r="5" spans="2:15" x14ac:dyDescent="0.25">
      <c r="B5" s="47" t="s">
        <v>71</v>
      </c>
      <c r="C5" s="47" t="s">
        <v>399</v>
      </c>
      <c r="D5" s="11">
        <v>50</v>
      </c>
      <c r="E5" s="47"/>
      <c r="F5" s="11"/>
      <c r="G5" s="11" t="str">
        <f t="shared" si="0"/>
        <v>Fail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/>
      </c>
    </row>
    <row r="6" spans="2:15" x14ac:dyDescent="0.25">
      <c r="B6" s="47" t="s">
        <v>0</v>
      </c>
      <c r="C6" s="47" t="s">
        <v>399</v>
      </c>
      <c r="D6" s="11">
        <v>20</v>
      </c>
      <c r="E6" s="47"/>
      <c r="F6" s="11"/>
      <c r="G6" s="11" t="str">
        <f t="shared" si="0"/>
        <v>Fail</v>
      </c>
      <c r="H6" s="12" t="str">
        <f t="shared" si="1"/>
        <v>Pass</v>
      </c>
      <c r="I6" s="3" t="str">
        <f t="shared" si="2"/>
        <v>mbrid</v>
      </c>
      <c r="J6" s="3" t="str">
        <f t="shared" si="3"/>
        <v/>
      </c>
      <c r="L6" s="24" t="s">
        <v>403</v>
      </c>
      <c r="M6" s="48" t="s">
        <v>401</v>
      </c>
      <c r="N6" s="41"/>
    </row>
    <row r="7" spans="2:15" x14ac:dyDescent="0.25">
      <c r="B7" s="47" t="s">
        <v>492</v>
      </c>
      <c r="C7" s="47" t="s">
        <v>399</v>
      </c>
      <c r="D7" s="11">
        <v>50</v>
      </c>
      <c r="E7" s="47"/>
      <c r="F7" s="11"/>
      <c r="G7" s="11" t="str">
        <f t="shared" si="0"/>
        <v>Fail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/>
      </c>
      <c r="L7" s="23" t="s">
        <v>81</v>
      </c>
      <c r="M7" s="11" t="str">
        <f>IF(ISERROR(VLOOKUP($O$1,$G$2:$G$12,1,)),"Pass","Fail")</f>
        <v>Fail</v>
      </c>
      <c r="N7" s="37"/>
    </row>
    <row r="8" spans="2:15" x14ac:dyDescent="0.25">
      <c r="B8" s="47" t="s">
        <v>493</v>
      </c>
      <c r="C8" s="47" t="s">
        <v>399</v>
      </c>
      <c r="D8" s="11">
        <v>20</v>
      </c>
      <c r="E8" s="47"/>
      <c r="F8" s="11"/>
      <c r="G8" s="11" t="str">
        <f t="shared" si="0"/>
        <v>Fail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/>
      </c>
      <c r="L8" s="23" t="s">
        <v>402</v>
      </c>
      <c r="M8" s="11" t="str">
        <f>IF(ISERROR(VLOOKUP($O$1,$H$2:$H$12,1,)),"Pass","Fail")</f>
        <v>Pass</v>
      </c>
      <c r="N8" s="37"/>
    </row>
    <row r="9" spans="2:15" x14ac:dyDescent="0.25">
      <c r="B9" s="47" t="s">
        <v>494</v>
      </c>
      <c r="C9" s="47" t="s">
        <v>400</v>
      </c>
      <c r="D9" s="11">
        <v>50</v>
      </c>
      <c r="E9" s="47"/>
      <c r="F9" s="11"/>
      <c r="G9" s="11" t="str">
        <f t="shared" si="0"/>
        <v>Fail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/>
      </c>
      <c r="L9" s="23" t="s">
        <v>465</v>
      </c>
      <c r="M9" s="39" t="str">
        <f>IF(N3=0,"Pass","Fail")</f>
        <v>Pass</v>
      </c>
    </row>
    <row r="10" spans="2:15" x14ac:dyDescent="0.25">
      <c r="B10" s="47" t="s">
        <v>495</v>
      </c>
      <c r="C10" s="47" t="s">
        <v>400</v>
      </c>
      <c r="D10" s="11">
        <v>20</v>
      </c>
      <c r="E10" s="47"/>
      <c r="F10" s="11"/>
      <c r="G10" s="11" t="str">
        <f t="shared" si="0"/>
        <v>Fail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/>
      </c>
      <c r="L10" s="23" t="s">
        <v>467</v>
      </c>
      <c r="M10" s="40">
        <f>IF(M4=0,0%,N4/M4)</f>
        <v>0</v>
      </c>
    </row>
    <row r="11" spans="2:15" x14ac:dyDescent="0.25">
      <c r="B11" s="47" t="s">
        <v>496</v>
      </c>
      <c r="C11" s="47"/>
      <c r="D11" s="47" t="s">
        <v>476</v>
      </c>
      <c r="E11" s="47"/>
      <c r="F11" s="11"/>
      <c r="G11" s="11" t="str">
        <f t="shared" ref="G11:G12" si="4">IF(I11=J11,"Pass","Fail")</f>
        <v>Fail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/>
      </c>
      <c r="L11" s="23" t="s">
        <v>466</v>
      </c>
      <c r="M11" s="40">
        <f>File_Size_Comparision!F10</f>
        <v>1.709401709401711E-2</v>
      </c>
    </row>
    <row r="12" spans="2:15" x14ac:dyDescent="0.25">
      <c r="B12" s="47" t="s">
        <v>497</v>
      </c>
      <c r="C12" s="47"/>
      <c r="D12" s="47" t="s">
        <v>476</v>
      </c>
      <c r="E12" s="47"/>
      <c r="F12" s="11"/>
      <c r="G12" s="11" t="str">
        <f t="shared" si="4"/>
        <v>Fail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/>
      </c>
    </row>
    <row r="13" spans="2:15" x14ac:dyDescent="0.25">
      <c r="N13" s="43"/>
    </row>
  </sheetData>
  <conditionalFormatting sqref="G2:H12">
    <cfRule type="cellIs" dxfId="149" priority="19" operator="equal">
      <formula>"Fail"</formula>
    </cfRule>
    <cfRule type="cellIs" dxfId="148" priority="20" operator="equal">
      <formula>"Pass"</formula>
    </cfRule>
  </conditionalFormatting>
  <conditionalFormatting sqref="H2:H12">
    <cfRule type="cellIs" dxfId="147" priority="17" operator="equal">
      <formula>"Fail"</formula>
    </cfRule>
    <cfRule type="cellIs" dxfId="146" priority="18" operator="equal">
      <formula>"Pass"</formula>
    </cfRule>
  </conditionalFormatting>
  <conditionalFormatting sqref="H2:H12">
    <cfRule type="cellIs" dxfId="145" priority="15" operator="equal">
      <formula>"Fail"</formula>
    </cfRule>
    <cfRule type="cellIs" dxfId="144" priority="16" operator="equal">
      <formula>"Pass"</formula>
    </cfRule>
  </conditionalFormatting>
  <conditionalFormatting sqref="H2:H12">
    <cfRule type="cellIs" dxfId="143" priority="13" operator="equal">
      <formula>"Fail"</formula>
    </cfRule>
    <cfRule type="cellIs" dxfId="142" priority="14" operator="equal">
      <formula>"Pass"</formula>
    </cfRule>
  </conditionalFormatting>
  <conditionalFormatting sqref="H2:H12">
    <cfRule type="cellIs" dxfId="141" priority="11" operator="equal">
      <formula>"Fail"</formula>
    </cfRule>
    <cfRule type="cellIs" dxfId="140" priority="12" operator="equal">
      <formula>"Pass"</formula>
    </cfRule>
  </conditionalFormatting>
  <conditionalFormatting sqref="H2:H12">
    <cfRule type="cellIs" dxfId="139" priority="9" operator="equal">
      <formula>"Fail"</formula>
    </cfRule>
    <cfRule type="cellIs" dxfId="138" priority="10" operator="equal">
      <formula>"Pass"</formula>
    </cfRule>
  </conditionalFormatting>
  <conditionalFormatting sqref="H2:H12">
    <cfRule type="cellIs" dxfId="137" priority="7" operator="equal">
      <formula>"Fail"</formula>
    </cfRule>
    <cfRule type="cellIs" dxfId="136" priority="8" operator="equal">
      <formula>"Pass"</formula>
    </cfRule>
  </conditionalFormatting>
  <conditionalFormatting sqref="M7:N8">
    <cfRule type="cellIs" dxfId="135" priority="3" operator="equal">
      <formula>"Fail"</formula>
    </cfRule>
    <cfRule type="cellIs" dxfId="134" priority="4" operator="equal">
      <formula>"Pass"</formula>
    </cfRule>
  </conditionalFormatting>
  <conditionalFormatting sqref="M9">
    <cfRule type="containsText" dxfId="133" priority="1" operator="containsText" text="Pass">
      <formula>NOT(ISERROR(SEARCH("Pass",M9)))</formula>
    </cfRule>
    <cfRule type="containsText" dxfId="132" priority="2" operator="containsText" text="Fail">
      <formula>NOT(ISERROR(SEARCH("Fail",M9)))</formula>
    </cfRule>
  </conditionalFormatting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56" t="s">
        <v>83</v>
      </c>
      <c r="C2" s="56" t="s">
        <v>399</v>
      </c>
      <c r="D2" s="45">
        <v>20</v>
      </c>
      <c r="E2" s="56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13235</v>
      </c>
      <c r="M2" s="19">
        <v>13235</v>
      </c>
      <c r="N2" s="22">
        <f>L2-M2</f>
        <v>0</v>
      </c>
    </row>
    <row r="3" spans="2:15" x14ac:dyDescent="0.25">
      <c r="B3" s="56" t="s">
        <v>84</v>
      </c>
      <c r="C3" s="56" t="s">
        <v>399</v>
      </c>
      <c r="D3" s="11">
        <v>20</v>
      </c>
      <c r="E3" s="56" t="s">
        <v>84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dwaccountid</v>
      </c>
      <c r="J3" s="3" t="str">
        <f t="shared" ref="J3:J66" si="3">SUBSTITUTE(E3,"_","")</f>
        <v>dwaccountid</v>
      </c>
      <c r="L3" s="20" t="s">
        <v>468</v>
      </c>
      <c r="M3" s="21"/>
      <c r="N3" s="22">
        <f>L2-M3</f>
        <v>13235</v>
      </c>
    </row>
    <row r="4" spans="2:15" x14ac:dyDescent="0.25">
      <c r="B4" s="56" t="s">
        <v>85</v>
      </c>
      <c r="C4" s="56" t="s">
        <v>399</v>
      </c>
      <c r="D4" s="11">
        <v>20</v>
      </c>
      <c r="E4" s="56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56" t="s">
        <v>71</v>
      </c>
      <c r="C5" s="56" t="s">
        <v>399</v>
      </c>
      <c r="D5" s="11">
        <v>200</v>
      </c>
      <c r="E5" s="56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7" t="s">
        <v>401</v>
      </c>
      <c r="N5" s="41"/>
    </row>
    <row r="6" spans="2:15" x14ac:dyDescent="0.25">
      <c r="B6" s="56" t="s">
        <v>555</v>
      </c>
      <c r="C6" s="56" t="s">
        <v>399</v>
      </c>
      <c r="D6" s="11">
        <v>200</v>
      </c>
      <c r="E6" s="56" t="s">
        <v>555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56" t="s">
        <v>556</v>
      </c>
      <c r="C7" s="56" t="s">
        <v>399</v>
      </c>
      <c r="D7" s="11">
        <v>200</v>
      </c>
      <c r="E7" s="56" t="s">
        <v>556</v>
      </c>
      <c r="F7" s="11">
        <v>13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56" t="s">
        <v>748</v>
      </c>
      <c r="C8" s="56" t="s">
        <v>399</v>
      </c>
      <c r="D8" s="53">
        <v>22</v>
      </c>
      <c r="E8" s="56" t="s">
        <v>748</v>
      </c>
      <c r="F8" s="11">
        <v>22</v>
      </c>
      <c r="G8" s="11" t="str">
        <f t="shared" si="0"/>
        <v>Pass</v>
      </c>
      <c r="H8" s="12" t="str">
        <f t="shared" si="1"/>
        <v>Pass</v>
      </c>
      <c r="I8" s="3" t="str">
        <f t="shared" si="2"/>
        <v>memberSSN</v>
      </c>
      <c r="J8" s="3" t="str">
        <f t="shared" si="3"/>
        <v>memberSSN</v>
      </c>
      <c r="K8" t="s">
        <v>959</v>
      </c>
      <c r="L8" s="23" t="s">
        <v>465</v>
      </c>
      <c r="M8" s="39" t="str">
        <f>IF(N2=0,"Pass","Fail")</f>
        <v>Pass</v>
      </c>
    </row>
    <row r="9" spans="2:15" x14ac:dyDescent="0.25">
      <c r="B9" s="56" t="s">
        <v>339</v>
      </c>
      <c r="C9" s="56" t="s">
        <v>399</v>
      </c>
      <c r="D9" s="11">
        <v>30</v>
      </c>
      <c r="E9" s="56" t="s">
        <v>339</v>
      </c>
      <c r="F9" s="11">
        <v>15</v>
      </c>
      <c r="G9" s="11" t="str">
        <f t="shared" si="0"/>
        <v>Pass</v>
      </c>
      <c r="H9" s="12" t="str">
        <f t="shared" si="1"/>
        <v>Pass</v>
      </c>
      <c r="I9" s="3" t="str">
        <f t="shared" si="2"/>
        <v>memberFirstName</v>
      </c>
      <c r="J9" s="3" t="str">
        <f t="shared" si="3"/>
        <v>memberFirstName</v>
      </c>
      <c r="L9" s="23" t="s">
        <v>467</v>
      </c>
      <c r="M9" s="40">
        <f>IF(M3=0,0%,N3/M3)</f>
        <v>0</v>
      </c>
    </row>
    <row r="10" spans="2:15" x14ac:dyDescent="0.25">
      <c r="B10" s="56" t="s">
        <v>551</v>
      </c>
      <c r="C10" s="56" t="s">
        <v>399</v>
      </c>
      <c r="D10" s="11">
        <v>30</v>
      </c>
      <c r="E10" s="56" t="s">
        <v>551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memberMiddleName</v>
      </c>
      <c r="J10" s="3" t="str">
        <f t="shared" si="3"/>
        <v>memberMiddleName</v>
      </c>
      <c r="L10" s="23" t="s">
        <v>466</v>
      </c>
      <c r="M10" s="40" t="e">
        <f>File_Size_Comparision!F11</f>
        <v>#VALUE!</v>
      </c>
    </row>
    <row r="11" spans="2:15" x14ac:dyDescent="0.25">
      <c r="B11" s="56" t="s">
        <v>340</v>
      </c>
      <c r="C11" s="56" t="s">
        <v>399</v>
      </c>
      <c r="D11" s="11">
        <v>30</v>
      </c>
      <c r="E11" s="56" t="s">
        <v>340</v>
      </c>
      <c r="F11" s="11">
        <v>26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memberLastName</v>
      </c>
      <c r="J11" s="3" t="str">
        <f t="shared" si="3"/>
        <v>memberLastName</v>
      </c>
    </row>
    <row r="12" spans="2:15" x14ac:dyDescent="0.25">
      <c r="B12" s="56" t="s">
        <v>749</v>
      </c>
      <c r="C12" s="56" t="s">
        <v>399</v>
      </c>
      <c r="D12" s="45">
        <v>200</v>
      </c>
      <c r="E12" s="56" t="s">
        <v>749</v>
      </c>
      <c r="F12" s="11">
        <v>35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memberFullName</v>
      </c>
      <c r="J12" s="3" t="str">
        <f t="shared" si="3"/>
        <v>memberFullName</v>
      </c>
    </row>
    <row r="13" spans="2:15" x14ac:dyDescent="0.25">
      <c r="B13" s="56" t="s">
        <v>341</v>
      </c>
      <c r="C13" s="56" t="s">
        <v>399</v>
      </c>
      <c r="D13" s="11">
        <v>5</v>
      </c>
      <c r="E13" s="56" t="s">
        <v>341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memberGender</v>
      </c>
      <c r="J13" s="3" t="str">
        <f t="shared" si="3"/>
        <v>memberGender</v>
      </c>
    </row>
    <row r="14" spans="2:15" x14ac:dyDescent="0.25">
      <c r="B14" s="56" t="s">
        <v>342</v>
      </c>
      <c r="C14" s="56" t="s">
        <v>400</v>
      </c>
      <c r="D14" s="11"/>
      <c r="E14" s="56" t="s">
        <v>342</v>
      </c>
      <c r="F14" s="11">
        <v>10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memberDOB</v>
      </c>
      <c r="J14" s="3" t="str">
        <f t="shared" si="3"/>
        <v>memberDOB</v>
      </c>
    </row>
    <row r="15" spans="2:15" x14ac:dyDescent="0.25">
      <c r="B15" s="56" t="s">
        <v>750</v>
      </c>
      <c r="C15" s="56" t="s">
        <v>399</v>
      </c>
      <c r="D15" s="45">
        <v>5</v>
      </c>
      <c r="E15" s="56" t="s">
        <v>750</v>
      </c>
      <c r="F15" s="11">
        <v>3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memberAge</v>
      </c>
      <c r="J15" s="3" t="str">
        <f t="shared" si="3"/>
        <v>memberAge</v>
      </c>
    </row>
    <row r="16" spans="2:15" x14ac:dyDescent="0.25">
      <c r="B16" s="56" t="s">
        <v>597</v>
      </c>
      <c r="C16" s="56" t="s">
        <v>399</v>
      </c>
      <c r="D16" s="11">
        <v>12</v>
      </c>
      <c r="E16" s="56" t="s">
        <v>597</v>
      </c>
      <c r="F16" s="11">
        <v>9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memberZip</v>
      </c>
      <c r="J16" s="3" t="str">
        <f t="shared" si="3"/>
        <v>memberZip</v>
      </c>
    </row>
    <row r="17" spans="2:10" x14ac:dyDescent="0.25">
      <c r="B17" s="56" t="s">
        <v>751</v>
      </c>
      <c r="C17" s="56" t="s">
        <v>399</v>
      </c>
      <c r="D17" s="11">
        <v>50</v>
      </c>
      <c r="E17" s="56" t="s">
        <v>751</v>
      </c>
      <c r="F17" s="11">
        <v>30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memberStreetAddr1</v>
      </c>
      <c r="J17" s="3" t="str">
        <f t="shared" si="3"/>
        <v>memberStreetAddr1</v>
      </c>
    </row>
    <row r="18" spans="2:10" x14ac:dyDescent="0.25">
      <c r="B18" s="56" t="s">
        <v>752</v>
      </c>
      <c r="C18" s="56" t="s">
        <v>399</v>
      </c>
      <c r="D18" s="11">
        <v>100</v>
      </c>
      <c r="E18" s="56" t="s">
        <v>752</v>
      </c>
      <c r="F18" s="11">
        <v>20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memberCity</v>
      </c>
      <c r="J18" s="3" t="str">
        <f t="shared" si="3"/>
        <v>memberCity</v>
      </c>
    </row>
    <row r="19" spans="2:10" x14ac:dyDescent="0.25">
      <c r="B19" s="56" t="s">
        <v>596</v>
      </c>
      <c r="C19" s="56" t="s">
        <v>399</v>
      </c>
      <c r="D19" s="45">
        <v>2</v>
      </c>
      <c r="E19" s="56" t="s">
        <v>596</v>
      </c>
      <c r="F19" s="11">
        <v>2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memberState</v>
      </c>
      <c r="J19" s="3" t="str">
        <f t="shared" si="3"/>
        <v>memberState</v>
      </c>
    </row>
    <row r="20" spans="2:10" x14ac:dyDescent="0.25">
      <c r="B20" s="56" t="s">
        <v>753</v>
      </c>
      <c r="C20" s="56" t="s">
        <v>399</v>
      </c>
      <c r="D20" s="45">
        <v>15</v>
      </c>
      <c r="E20" s="56" t="s">
        <v>753</v>
      </c>
      <c r="F20" s="11">
        <v>12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memberPhone</v>
      </c>
      <c r="J20" s="3" t="str">
        <f t="shared" si="3"/>
        <v>memberPhone</v>
      </c>
    </row>
    <row r="21" spans="2:10" x14ac:dyDescent="0.25">
      <c r="B21" s="56" t="s">
        <v>754</v>
      </c>
      <c r="C21" s="56" t="s">
        <v>399</v>
      </c>
      <c r="D21" s="11">
        <v>50</v>
      </c>
      <c r="E21" s="56" t="s">
        <v>754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memberEmail</v>
      </c>
      <c r="J21" s="3" t="str">
        <f t="shared" si="3"/>
        <v>memberEmail</v>
      </c>
    </row>
    <row r="22" spans="2:10" x14ac:dyDescent="0.25">
      <c r="B22" s="56" t="s">
        <v>608</v>
      </c>
      <c r="C22" s="56" t="s">
        <v>399</v>
      </c>
      <c r="D22" s="11">
        <v>15</v>
      </c>
      <c r="E22" s="56" t="s">
        <v>608</v>
      </c>
      <c r="F22" s="11">
        <v>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relationshipCode</v>
      </c>
      <c r="J22" s="3" t="str">
        <f t="shared" si="3"/>
        <v>relationshipCode</v>
      </c>
    </row>
    <row r="23" spans="2:10" x14ac:dyDescent="0.25">
      <c r="B23" s="56" t="s">
        <v>609</v>
      </c>
      <c r="C23" s="56" t="s">
        <v>399</v>
      </c>
      <c r="D23" s="11">
        <v>100</v>
      </c>
      <c r="E23" s="56" t="s">
        <v>609</v>
      </c>
      <c r="F23" s="11">
        <v>42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relationshipCodeDesc</v>
      </c>
      <c r="J23" s="3" t="str">
        <f t="shared" si="3"/>
        <v>relationshipCodeDesc</v>
      </c>
    </row>
    <row r="24" spans="2:10" x14ac:dyDescent="0.25">
      <c r="B24" s="56" t="s">
        <v>610</v>
      </c>
      <c r="C24" s="56" t="s">
        <v>399</v>
      </c>
      <c r="D24" s="11">
        <v>100</v>
      </c>
      <c r="E24" s="56" t="s">
        <v>610</v>
      </c>
      <c r="F24" s="11">
        <v>9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relationshipClass</v>
      </c>
      <c r="J24" s="3" t="str">
        <f t="shared" si="3"/>
        <v>relationshipClass</v>
      </c>
    </row>
    <row r="25" spans="2:10" x14ac:dyDescent="0.25">
      <c r="B25" s="56" t="s">
        <v>755</v>
      </c>
      <c r="C25" s="56" t="s">
        <v>399</v>
      </c>
      <c r="D25" s="11">
        <v>100</v>
      </c>
      <c r="E25" s="56" t="s">
        <v>755</v>
      </c>
      <c r="F25" s="11">
        <v>20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planTypeId</v>
      </c>
      <c r="J25" s="3" t="str">
        <f t="shared" si="3"/>
        <v>planTypeId</v>
      </c>
    </row>
    <row r="26" spans="2:10" x14ac:dyDescent="0.25">
      <c r="B26" s="56" t="s">
        <v>603</v>
      </c>
      <c r="C26" s="56" t="s">
        <v>399</v>
      </c>
      <c r="D26" s="11">
        <v>100</v>
      </c>
      <c r="E26" s="56" t="s">
        <v>603</v>
      </c>
      <c r="F26" s="11">
        <v>20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planTypeDesc</v>
      </c>
      <c r="J26" s="3" t="str">
        <f t="shared" si="3"/>
        <v>planTypeDesc</v>
      </c>
    </row>
    <row r="27" spans="2:10" x14ac:dyDescent="0.25">
      <c r="B27" s="56" t="s">
        <v>560</v>
      </c>
      <c r="C27" s="56" t="s">
        <v>399</v>
      </c>
      <c r="D27" s="11">
        <v>100</v>
      </c>
      <c r="E27" s="56" t="s">
        <v>560</v>
      </c>
      <c r="F27" s="11">
        <v>15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groupId</v>
      </c>
      <c r="J27" s="3" t="str">
        <f t="shared" si="3"/>
        <v>groupId</v>
      </c>
    </row>
    <row r="28" spans="2:10" x14ac:dyDescent="0.25">
      <c r="B28" s="56" t="s">
        <v>756</v>
      </c>
      <c r="C28" s="56" t="s">
        <v>399</v>
      </c>
      <c r="D28" s="11">
        <v>100</v>
      </c>
      <c r="E28" s="56" t="s">
        <v>756</v>
      </c>
      <c r="F28" s="11">
        <v>15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groupName</v>
      </c>
      <c r="J28" s="3" t="str">
        <f t="shared" si="3"/>
        <v>groupName</v>
      </c>
    </row>
    <row r="29" spans="2:10" x14ac:dyDescent="0.25">
      <c r="B29" s="56" t="s">
        <v>757</v>
      </c>
      <c r="C29" s="56" t="s">
        <v>399</v>
      </c>
      <c r="D29" s="11">
        <v>50</v>
      </c>
      <c r="E29" s="56" t="s">
        <v>757</v>
      </c>
      <c r="F29" s="11">
        <v>6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currentStatus</v>
      </c>
      <c r="J29" s="3" t="str">
        <f t="shared" si="3"/>
        <v>currentStatus</v>
      </c>
    </row>
    <row r="30" spans="2:10" x14ac:dyDescent="0.25">
      <c r="B30" s="56" t="s">
        <v>758</v>
      </c>
      <c r="C30" s="56" t="s">
        <v>400</v>
      </c>
      <c r="D30" s="11" t="s">
        <v>476</v>
      </c>
      <c r="E30" s="56" t="s">
        <v>758</v>
      </c>
      <c r="F30" s="11">
        <v>10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effectiveDate</v>
      </c>
      <c r="J30" s="3" t="str">
        <f t="shared" si="3"/>
        <v>effectiveDate</v>
      </c>
    </row>
    <row r="31" spans="2:10" x14ac:dyDescent="0.25">
      <c r="B31" s="56" t="s">
        <v>759</v>
      </c>
      <c r="C31" s="56" t="s">
        <v>400</v>
      </c>
      <c r="D31" s="11" t="s">
        <v>476</v>
      </c>
      <c r="E31" s="56" t="s">
        <v>759</v>
      </c>
      <c r="F31" s="11">
        <v>10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terminationDate</v>
      </c>
      <c r="J31" s="3" t="str">
        <f t="shared" si="3"/>
        <v>terminationDate</v>
      </c>
    </row>
    <row r="32" spans="2:10" x14ac:dyDescent="0.25">
      <c r="B32" s="56" t="s">
        <v>760</v>
      </c>
      <c r="C32" s="56" t="s">
        <v>400</v>
      </c>
      <c r="D32" s="11" t="s">
        <v>476</v>
      </c>
      <c r="E32" s="56" t="s">
        <v>760</v>
      </c>
      <c r="F32" s="11">
        <v>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denEffDate</v>
      </c>
      <c r="J32" s="3" t="str">
        <f t="shared" si="3"/>
        <v>denEffDate</v>
      </c>
    </row>
    <row r="33" spans="2:10" x14ac:dyDescent="0.25">
      <c r="B33" s="56" t="s">
        <v>761</v>
      </c>
      <c r="C33" s="56" t="s">
        <v>400</v>
      </c>
      <c r="D33" s="11" t="s">
        <v>476</v>
      </c>
      <c r="E33" s="56" t="s">
        <v>761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denTermDate</v>
      </c>
      <c r="J33" s="3" t="str">
        <f t="shared" si="3"/>
        <v>denTermDate</v>
      </c>
    </row>
    <row r="34" spans="2:10" x14ac:dyDescent="0.25">
      <c r="B34" s="56" t="s">
        <v>762</v>
      </c>
      <c r="C34" s="56" t="s">
        <v>400</v>
      </c>
      <c r="D34" s="11" t="s">
        <v>476</v>
      </c>
      <c r="E34" s="56" t="s">
        <v>762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visEffDate</v>
      </c>
      <c r="J34" s="3" t="str">
        <f t="shared" si="3"/>
        <v>visEffDate</v>
      </c>
    </row>
    <row r="35" spans="2:10" x14ac:dyDescent="0.25">
      <c r="B35" s="56" t="s">
        <v>763</v>
      </c>
      <c r="C35" s="56" t="s">
        <v>400</v>
      </c>
      <c r="D35" s="11" t="s">
        <v>476</v>
      </c>
      <c r="E35" s="56" t="s">
        <v>763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visTermDate</v>
      </c>
      <c r="J35" s="3" t="str">
        <f t="shared" si="3"/>
        <v>visTermDate</v>
      </c>
    </row>
    <row r="36" spans="2:10" x14ac:dyDescent="0.25">
      <c r="B36" s="56" t="s">
        <v>764</v>
      </c>
      <c r="C36" s="56" t="s">
        <v>399</v>
      </c>
      <c r="D36" s="45">
        <v>20</v>
      </c>
      <c r="E36" s="56" t="s">
        <v>764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contractTypeId</v>
      </c>
      <c r="J36" s="3" t="str">
        <f t="shared" si="3"/>
        <v>contractTypeId</v>
      </c>
    </row>
    <row r="37" spans="2:10" x14ac:dyDescent="0.25">
      <c r="B37" s="56" t="s">
        <v>599</v>
      </c>
      <c r="C37" s="56" t="s">
        <v>399</v>
      </c>
      <c r="D37" s="45">
        <v>100</v>
      </c>
      <c r="E37" s="56" t="s">
        <v>599</v>
      </c>
      <c r="F37" s="11">
        <v>24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coverageTypeDesc</v>
      </c>
      <c r="J37" s="3" t="str">
        <f t="shared" si="3"/>
        <v>coverageTypeDesc</v>
      </c>
    </row>
    <row r="38" spans="2:10" x14ac:dyDescent="0.25">
      <c r="B38" s="56" t="s">
        <v>765</v>
      </c>
      <c r="C38" s="56" t="s">
        <v>399</v>
      </c>
      <c r="D38" s="11">
        <v>50</v>
      </c>
      <c r="E38" s="56" t="s">
        <v>765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pcpProviderId</v>
      </c>
      <c r="J38" s="3" t="str">
        <f t="shared" si="3"/>
        <v>pcpProviderId</v>
      </c>
    </row>
    <row r="39" spans="2:10" x14ac:dyDescent="0.25">
      <c r="B39" s="56" t="s">
        <v>766</v>
      </c>
      <c r="C39" s="56" t="s">
        <v>399</v>
      </c>
      <c r="D39" s="11">
        <v>100</v>
      </c>
      <c r="E39" s="56" t="s">
        <v>766</v>
      </c>
      <c r="F39" s="11">
        <v>65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prvPCPFirstName</v>
      </c>
      <c r="J39" s="3" t="str">
        <f t="shared" si="3"/>
        <v>prvPCPFirstName</v>
      </c>
    </row>
    <row r="40" spans="2:10" x14ac:dyDescent="0.25">
      <c r="B40" s="56" t="s">
        <v>767</v>
      </c>
      <c r="C40" s="56" t="s">
        <v>399</v>
      </c>
      <c r="D40" s="11">
        <v>30</v>
      </c>
      <c r="E40" s="56" t="s">
        <v>767</v>
      </c>
      <c r="F40" s="11">
        <v>16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prvPCPMiddleName</v>
      </c>
      <c r="J40" s="3" t="str">
        <f t="shared" si="3"/>
        <v>prvPCPMiddleName</v>
      </c>
    </row>
    <row r="41" spans="2:10" x14ac:dyDescent="0.25">
      <c r="B41" s="56" t="s">
        <v>768</v>
      </c>
      <c r="C41" s="56" t="s">
        <v>399</v>
      </c>
      <c r="D41" s="11">
        <v>30</v>
      </c>
      <c r="E41" s="56" t="s">
        <v>768</v>
      </c>
      <c r="F41" s="11">
        <v>20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prvPCPLastName</v>
      </c>
      <c r="J41" s="3" t="str">
        <f t="shared" si="3"/>
        <v>prvPCPLastName</v>
      </c>
    </row>
    <row r="42" spans="2:10" x14ac:dyDescent="0.25">
      <c r="B42" s="56" t="s">
        <v>769</v>
      </c>
      <c r="C42" s="56" t="s">
        <v>399</v>
      </c>
      <c r="D42" s="11">
        <v>15</v>
      </c>
      <c r="E42" s="56" t="s">
        <v>769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prvPCPSiteId</v>
      </c>
      <c r="J42" s="3" t="str">
        <f t="shared" si="3"/>
        <v>prvPCPSiteId</v>
      </c>
    </row>
    <row r="43" spans="2:10" x14ac:dyDescent="0.25">
      <c r="B43" s="56" t="s">
        <v>770</v>
      </c>
      <c r="C43" s="56" t="s">
        <v>399</v>
      </c>
      <c r="D43" s="11">
        <v>200</v>
      </c>
      <c r="E43" s="56" t="s">
        <v>770</v>
      </c>
      <c r="F43" s="11">
        <v>66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prvpcpname</v>
      </c>
      <c r="J43" s="3" t="str">
        <f t="shared" si="3"/>
        <v>prvpcpname</v>
      </c>
    </row>
    <row r="44" spans="2:10" x14ac:dyDescent="0.25">
      <c r="B44" s="56" t="s">
        <v>300</v>
      </c>
      <c r="C44" s="56" t="s">
        <v>399</v>
      </c>
      <c r="D44" s="45">
        <v>50</v>
      </c>
      <c r="E44" s="56" t="s">
        <v>300</v>
      </c>
      <c r="F44" s="11">
        <v>10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pcpnpi</v>
      </c>
      <c r="J44" s="3" t="str">
        <f t="shared" si="3"/>
        <v>pcpnpi</v>
      </c>
    </row>
    <row r="45" spans="2:10" x14ac:dyDescent="0.25">
      <c r="B45" s="56" t="s">
        <v>640</v>
      </c>
      <c r="C45" s="56" t="s">
        <v>405</v>
      </c>
      <c r="D45" s="11" t="s">
        <v>571</v>
      </c>
      <c r="E45" s="56" t="s">
        <v>640</v>
      </c>
      <c r="F45" s="11">
        <v>10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totalPaidAmount</v>
      </c>
      <c r="J45" s="3" t="str">
        <f t="shared" si="3"/>
        <v>totalPaidAmount</v>
      </c>
    </row>
    <row r="46" spans="2:10" x14ac:dyDescent="0.25">
      <c r="B46" s="56" t="s">
        <v>771</v>
      </c>
      <c r="C46" s="56" t="s">
        <v>405</v>
      </c>
      <c r="D46" s="11" t="s">
        <v>571</v>
      </c>
      <c r="E46" s="56" t="s">
        <v>771</v>
      </c>
      <c r="F46" s="11">
        <v>10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totalMedicalPaidAmount</v>
      </c>
      <c r="J46" s="3" t="str">
        <f t="shared" si="3"/>
        <v>totalMedicalPaidAmount</v>
      </c>
    </row>
    <row r="47" spans="2:10" x14ac:dyDescent="0.25">
      <c r="B47" s="56" t="s">
        <v>772</v>
      </c>
      <c r="C47" s="56" t="s">
        <v>405</v>
      </c>
      <c r="D47" s="11" t="s">
        <v>571</v>
      </c>
      <c r="E47" s="56" t="s">
        <v>772</v>
      </c>
      <c r="F47" s="11">
        <v>9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totalPharmacyPaidAmount</v>
      </c>
      <c r="J47" s="3" t="str">
        <f t="shared" si="3"/>
        <v>totalPharmacyPaidAmount</v>
      </c>
    </row>
    <row r="48" spans="2:10" x14ac:dyDescent="0.25">
      <c r="B48" s="56" t="s">
        <v>773</v>
      </c>
      <c r="C48" s="56" t="s">
        <v>399</v>
      </c>
      <c r="D48" s="53">
        <v>3</v>
      </c>
      <c r="E48" s="56" t="s">
        <v>773</v>
      </c>
      <c r="F48" s="11">
        <v>3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hasAffectivePsychosis</v>
      </c>
      <c r="J48" s="3" t="str">
        <f t="shared" si="3"/>
        <v>hasAffectivePsychosis</v>
      </c>
    </row>
    <row r="49" spans="2:10" x14ac:dyDescent="0.25">
      <c r="B49" s="56" t="s">
        <v>774</v>
      </c>
      <c r="C49" s="56" t="s">
        <v>399</v>
      </c>
      <c r="D49" s="53">
        <v>3</v>
      </c>
      <c r="E49" s="56" t="s">
        <v>774</v>
      </c>
      <c r="F49" s="11">
        <v>3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hasAsthma</v>
      </c>
      <c r="J49" s="3" t="str">
        <f t="shared" si="3"/>
        <v>hasAsthma</v>
      </c>
    </row>
    <row r="50" spans="2:10" x14ac:dyDescent="0.25">
      <c r="B50" s="56" t="s">
        <v>775</v>
      </c>
      <c r="C50" s="56" t="s">
        <v>399</v>
      </c>
      <c r="D50" s="53">
        <v>3</v>
      </c>
      <c r="E50" s="56" t="s">
        <v>775</v>
      </c>
      <c r="F50" s="11">
        <v>3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hasAtrialFibrillation</v>
      </c>
      <c r="J50" s="3" t="str">
        <f t="shared" si="3"/>
        <v>hasAtrialFibrillation</v>
      </c>
    </row>
    <row r="51" spans="2:10" x14ac:dyDescent="0.25">
      <c r="B51" s="56" t="s">
        <v>776</v>
      </c>
      <c r="C51" s="56" t="s">
        <v>399</v>
      </c>
      <c r="D51" s="53">
        <v>3</v>
      </c>
      <c r="E51" s="56" t="s">
        <v>776</v>
      </c>
      <c r="F51" s="11">
        <v>3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hasBloodDisorders</v>
      </c>
      <c r="J51" s="3" t="str">
        <f t="shared" si="3"/>
        <v>hasBloodDisorders</v>
      </c>
    </row>
    <row r="52" spans="2:10" x14ac:dyDescent="0.25">
      <c r="B52" s="56" t="s">
        <v>777</v>
      </c>
      <c r="C52" s="56" t="s">
        <v>399</v>
      </c>
      <c r="D52" s="53">
        <v>3</v>
      </c>
      <c r="E52" s="56" t="s">
        <v>777</v>
      </c>
      <c r="F52" s="11">
        <v>3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hasCad</v>
      </c>
      <c r="J52" s="3" t="str">
        <f t="shared" si="3"/>
        <v>hasCad</v>
      </c>
    </row>
    <row r="53" spans="2:10" x14ac:dyDescent="0.25">
      <c r="B53" s="56" t="s">
        <v>778</v>
      </c>
      <c r="C53" s="56" t="s">
        <v>399</v>
      </c>
      <c r="D53" s="53">
        <v>3</v>
      </c>
      <c r="E53" s="56" t="s">
        <v>778</v>
      </c>
      <c r="F53" s="11">
        <v>3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hasCopd</v>
      </c>
      <c r="J53" s="3" t="str">
        <f t="shared" si="3"/>
        <v>hasCopd</v>
      </c>
    </row>
    <row r="54" spans="2:10" x14ac:dyDescent="0.25">
      <c r="B54" s="56" t="s">
        <v>779</v>
      </c>
      <c r="C54" s="56" t="s">
        <v>399</v>
      </c>
      <c r="D54" s="53">
        <v>3</v>
      </c>
      <c r="E54" s="56" t="s">
        <v>779</v>
      </c>
      <c r="F54" s="11">
        <v>3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hasCancer</v>
      </c>
      <c r="J54" s="3" t="str">
        <f t="shared" si="3"/>
        <v>hasCancer</v>
      </c>
    </row>
    <row r="55" spans="2:10" x14ac:dyDescent="0.25">
      <c r="B55" s="56" t="s">
        <v>780</v>
      </c>
      <c r="C55" s="56" t="s">
        <v>399</v>
      </c>
      <c r="D55" s="53">
        <v>3</v>
      </c>
      <c r="E55" s="56" t="s">
        <v>780</v>
      </c>
      <c r="F55" s="11">
        <v>3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hasChronicPain</v>
      </c>
      <c r="J55" s="3" t="str">
        <f t="shared" si="3"/>
        <v>hasChronicPain</v>
      </c>
    </row>
    <row r="56" spans="2:10" x14ac:dyDescent="0.25">
      <c r="B56" s="56" t="s">
        <v>781</v>
      </c>
      <c r="C56" s="56" t="s">
        <v>399</v>
      </c>
      <c r="D56" s="53">
        <v>3</v>
      </c>
      <c r="E56" s="56" t="s">
        <v>781</v>
      </c>
      <c r="F56" s="11">
        <v>3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hasCongestiveHeartFailure</v>
      </c>
      <c r="J56" s="3" t="str">
        <f t="shared" si="3"/>
        <v>hasCongestiveHeartFailure</v>
      </c>
    </row>
    <row r="57" spans="2:10" x14ac:dyDescent="0.25">
      <c r="B57" s="56" t="s">
        <v>782</v>
      </c>
      <c r="C57" s="56" t="s">
        <v>399</v>
      </c>
      <c r="D57" s="53">
        <v>3</v>
      </c>
      <c r="E57" s="56" t="s">
        <v>782</v>
      </c>
      <c r="F57" s="11">
        <v>3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hasDemyelinatingDiseases</v>
      </c>
      <c r="J57" s="3" t="str">
        <f t="shared" si="3"/>
        <v>hasDemyelinatingDiseases</v>
      </c>
    </row>
    <row r="58" spans="2:10" x14ac:dyDescent="0.25">
      <c r="B58" s="56" t="s">
        <v>783</v>
      </c>
      <c r="C58" s="56" t="s">
        <v>399</v>
      </c>
      <c r="D58" s="53">
        <v>3</v>
      </c>
      <c r="E58" s="56" t="s">
        <v>783</v>
      </c>
      <c r="F58" s="11">
        <v>3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hasDepression</v>
      </c>
      <c r="J58" s="3" t="str">
        <f t="shared" si="3"/>
        <v>hasDepression</v>
      </c>
    </row>
    <row r="59" spans="2:10" x14ac:dyDescent="0.25">
      <c r="B59" s="56" t="s">
        <v>784</v>
      </c>
      <c r="C59" s="56" t="s">
        <v>399</v>
      </c>
      <c r="D59" s="53">
        <v>3</v>
      </c>
      <c r="E59" s="56" t="s">
        <v>784</v>
      </c>
      <c r="F59" s="11">
        <v>3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hasDiabetes</v>
      </c>
      <c r="J59" s="3" t="str">
        <f t="shared" si="3"/>
        <v>hasDiabetes</v>
      </c>
    </row>
    <row r="60" spans="2:10" x14ac:dyDescent="0.25">
      <c r="B60" s="56" t="s">
        <v>785</v>
      </c>
      <c r="C60" s="56" t="s">
        <v>399</v>
      </c>
      <c r="D60" s="53">
        <v>3</v>
      </c>
      <c r="E60" s="56" t="s">
        <v>785</v>
      </c>
      <c r="F60" s="11">
        <v>3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hasEsrd</v>
      </c>
      <c r="J60" s="3" t="str">
        <f t="shared" si="3"/>
        <v>hasEsrd</v>
      </c>
    </row>
    <row r="61" spans="2:10" x14ac:dyDescent="0.25">
      <c r="B61" s="56" t="s">
        <v>786</v>
      </c>
      <c r="C61" s="56" t="s">
        <v>399</v>
      </c>
      <c r="D61" s="53">
        <v>3</v>
      </c>
      <c r="E61" s="56" t="s">
        <v>786</v>
      </c>
      <c r="F61" s="11">
        <v>3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hasEatingDisorders</v>
      </c>
      <c r="J61" s="3" t="str">
        <f t="shared" si="3"/>
        <v>hasEatingDisorders</v>
      </c>
    </row>
    <row r="62" spans="2:10" x14ac:dyDescent="0.25">
      <c r="B62" s="56" t="s">
        <v>787</v>
      </c>
      <c r="C62" s="56" t="s">
        <v>399</v>
      </c>
      <c r="D62" s="53">
        <v>3</v>
      </c>
      <c r="E62" s="56" t="s">
        <v>787</v>
      </c>
      <c r="F62" s="11">
        <v>3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hasHivAids</v>
      </c>
      <c r="J62" s="3" t="str">
        <f t="shared" si="3"/>
        <v>hasHivAids</v>
      </c>
    </row>
    <row r="63" spans="2:10" x14ac:dyDescent="0.25">
      <c r="B63" s="56" t="s">
        <v>788</v>
      </c>
      <c r="C63" s="56" t="s">
        <v>399</v>
      </c>
      <c r="D63" s="53">
        <v>3</v>
      </c>
      <c r="E63" s="56" t="s">
        <v>788</v>
      </c>
      <c r="F63" s="11">
        <v>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hasHyperlipidemia</v>
      </c>
      <c r="J63" s="3" t="str">
        <f t="shared" si="3"/>
        <v>hasHyperlipidemia</v>
      </c>
    </row>
    <row r="64" spans="2:10" x14ac:dyDescent="0.25">
      <c r="B64" s="56" t="s">
        <v>789</v>
      </c>
      <c r="C64" s="56" t="s">
        <v>399</v>
      </c>
      <c r="D64" s="53">
        <v>3</v>
      </c>
      <c r="E64" s="56" t="s">
        <v>789</v>
      </c>
      <c r="F64" s="11">
        <v>3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hasHypertension</v>
      </c>
      <c r="J64" s="3" t="str">
        <f t="shared" si="3"/>
        <v>hasHypertension</v>
      </c>
    </row>
    <row r="65" spans="2:10" x14ac:dyDescent="0.25">
      <c r="B65" s="56" t="s">
        <v>790</v>
      </c>
      <c r="C65" s="56" t="s">
        <v>399</v>
      </c>
      <c r="D65" s="53">
        <v>3</v>
      </c>
      <c r="E65" s="56" t="s">
        <v>790</v>
      </c>
      <c r="F65" s="11">
        <v>3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hasImmuneDisorders</v>
      </c>
      <c r="J65" s="3" t="str">
        <f t="shared" si="3"/>
        <v>hasImmuneDisorders</v>
      </c>
    </row>
    <row r="66" spans="2:10" x14ac:dyDescent="0.25">
      <c r="B66" s="56" t="s">
        <v>791</v>
      </c>
      <c r="C66" s="56" t="s">
        <v>399</v>
      </c>
      <c r="D66" s="53">
        <v>3</v>
      </c>
      <c r="E66" s="56" t="s">
        <v>791</v>
      </c>
      <c r="F66" s="11">
        <v>3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hasInflammatoryBowelDisease</v>
      </c>
      <c r="J66" s="3" t="str">
        <f t="shared" si="3"/>
        <v>hasInflammatoryBowelDisease</v>
      </c>
    </row>
    <row r="67" spans="2:10" x14ac:dyDescent="0.25">
      <c r="B67" s="56" t="s">
        <v>792</v>
      </c>
      <c r="C67" s="56" t="s">
        <v>399</v>
      </c>
      <c r="D67" s="53">
        <v>3</v>
      </c>
      <c r="E67" s="56" t="s">
        <v>792</v>
      </c>
      <c r="F67" s="11">
        <v>3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hasLiverDisease</v>
      </c>
      <c r="J67" s="3" t="str">
        <f t="shared" ref="J67:J130" si="7">SUBSTITUTE(E67,"_","")</f>
        <v>hasLiverDisease</v>
      </c>
    </row>
    <row r="68" spans="2:10" x14ac:dyDescent="0.25">
      <c r="B68" s="56" t="s">
        <v>793</v>
      </c>
      <c r="C68" s="56" t="s">
        <v>399</v>
      </c>
      <c r="D68" s="53">
        <v>3</v>
      </c>
      <c r="E68" s="56" t="s">
        <v>793</v>
      </c>
      <c r="F68" s="11">
        <v>3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hasMorbidObesity</v>
      </c>
      <c r="J68" s="3" t="str">
        <f t="shared" si="7"/>
        <v>hasMorbidObesity</v>
      </c>
    </row>
    <row r="69" spans="2:10" x14ac:dyDescent="0.25">
      <c r="B69" s="56" t="s">
        <v>794</v>
      </c>
      <c r="C69" s="56" t="s">
        <v>399</v>
      </c>
      <c r="D69" s="53">
        <v>3</v>
      </c>
      <c r="E69" s="56" t="s">
        <v>794</v>
      </c>
      <c r="F69" s="11">
        <v>3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hasOsteoarthritis</v>
      </c>
      <c r="J69" s="3" t="str">
        <f t="shared" si="7"/>
        <v>hasOsteoarthritis</v>
      </c>
    </row>
    <row r="70" spans="2:10" x14ac:dyDescent="0.25">
      <c r="B70" s="56" t="s">
        <v>795</v>
      </c>
      <c r="C70" s="56" t="s">
        <v>399</v>
      </c>
      <c r="D70" s="53">
        <v>3</v>
      </c>
      <c r="E70" s="56" t="s">
        <v>795</v>
      </c>
      <c r="F70" s="11">
        <v>3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hasPeripheralVascularDisease</v>
      </c>
      <c r="J70" s="3" t="str">
        <f t="shared" si="7"/>
        <v>hasPeripheralVascularDisease</v>
      </c>
    </row>
    <row r="71" spans="2:10" x14ac:dyDescent="0.25">
      <c r="B71" s="56" t="s">
        <v>796</v>
      </c>
      <c r="C71" s="56" t="s">
        <v>399</v>
      </c>
      <c r="D71" s="53">
        <v>3</v>
      </c>
      <c r="E71" s="56" t="s">
        <v>796</v>
      </c>
      <c r="F71" s="11">
        <v>3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hasRheumatoidArthritis</v>
      </c>
      <c r="J71" s="3" t="str">
        <f t="shared" si="7"/>
        <v>hasRheumatoidArthritis</v>
      </c>
    </row>
    <row r="72" spans="2:10" x14ac:dyDescent="0.25">
      <c r="B72" s="56" t="s">
        <v>797</v>
      </c>
      <c r="C72" s="56" t="s">
        <v>550</v>
      </c>
      <c r="D72" s="11">
        <v>20</v>
      </c>
      <c r="E72" s="56" t="s">
        <v>797</v>
      </c>
      <c r="F72" s="11">
        <v>2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chronicConditionCount</v>
      </c>
      <c r="J72" s="3" t="str">
        <f t="shared" si="7"/>
        <v>chronicConditionCount</v>
      </c>
    </row>
    <row r="73" spans="2:10" x14ac:dyDescent="0.25">
      <c r="B73" s="56" t="s">
        <v>798</v>
      </c>
      <c r="C73" s="56" t="s">
        <v>399</v>
      </c>
      <c r="D73" s="53">
        <v>3</v>
      </c>
      <c r="E73" s="56" t="s">
        <v>798</v>
      </c>
      <c r="F73" s="11">
        <v>3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hasCCflag</v>
      </c>
      <c r="J73" s="3" t="str">
        <f t="shared" si="7"/>
        <v>hasCCflag</v>
      </c>
    </row>
    <row r="74" spans="2:10" x14ac:dyDescent="0.25">
      <c r="B74" s="56" t="s">
        <v>26</v>
      </c>
      <c r="C74" s="56" t="s">
        <v>399</v>
      </c>
      <c r="D74" s="11">
        <v>100</v>
      </c>
      <c r="E74" s="56" t="s">
        <v>26</v>
      </c>
      <c r="F74" s="11">
        <v>66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insplanid</v>
      </c>
      <c r="J74" s="3" t="str">
        <f t="shared" si="7"/>
        <v>insplanid</v>
      </c>
    </row>
    <row r="75" spans="2:10" x14ac:dyDescent="0.25">
      <c r="B75" s="56" t="s">
        <v>27</v>
      </c>
      <c r="C75" s="56" t="s">
        <v>399</v>
      </c>
      <c r="D75" s="11">
        <v>100</v>
      </c>
      <c r="E75" s="56" t="s">
        <v>27</v>
      </c>
      <c r="F75" s="11">
        <v>86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insplandesc</v>
      </c>
      <c r="J75" s="3" t="str">
        <f t="shared" si="7"/>
        <v>insplandesc</v>
      </c>
    </row>
    <row r="76" spans="2:10" x14ac:dyDescent="0.25">
      <c r="B76" s="56" t="s">
        <v>30</v>
      </c>
      <c r="C76" s="56" t="s">
        <v>399</v>
      </c>
      <c r="D76" s="11">
        <v>100</v>
      </c>
      <c r="E76" s="56" t="s">
        <v>30</v>
      </c>
      <c r="F76" s="11">
        <v>50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insdivisionid</v>
      </c>
      <c r="J76" s="3" t="str">
        <f t="shared" si="7"/>
        <v>insdivisionid</v>
      </c>
    </row>
    <row r="77" spans="2:10" x14ac:dyDescent="0.25">
      <c r="B77" s="56" t="s">
        <v>31</v>
      </c>
      <c r="C77" s="56" t="s">
        <v>399</v>
      </c>
      <c r="D77" s="11">
        <v>100</v>
      </c>
      <c r="E77" s="56" t="s">
        <v>31</v>
      </c>
      <c r="F77" s="11">
        <v>64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insdivisionname</v>
      </c>
      <c r="J77" s="3" t="str">
        <f t="shared" si="7"/>
        <v>insdivisionname</v>
      </c>
    </row>
    <row r="78" spans="2:10" x14ac:dyDescent="0.25">
      <c r="B78" s="56" t="s">
        <v>22</v>
      </c>
      <c r="C78" s="56" t="s">
        <v>399</v>
      </c>
      <c r="D78" s="11">
        <v>20</v>
      </c>
      <c r="E78" s="56" t="s">
        <v>22</v>
      </c>
      <c r="F78" s="11">
        <v>17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inscarrierid</v>
      </c>
      <c r="J78" s="3" t="str">
        <f t="shared" si="7"/>
        <v>inscarrierid</v>
      </c>
    </row>
    <row r="79" spans="2:10" x14ac:dyDescent="0.25">
      <c r="B79" s="56" t="s">
        <v>23</v>
      </c>
      <c r="C79" s="56" t="s">
        <v>399</v>
      </c>
      <c r="D79" s="11">
        <v>50</v>
      </c>
      <c r="E79" s="56" t="s">
        <v>23</v>
      </c>
      <c r="F79" s="11">
        <v>43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inscarriername</v>
      </c>
      <c r="J79" s="3" t="str">
        <f t="shared" si="7"/>
        <v>inscarriername</v>
      </c>
    </row>
    <row r="80" spans="2:10" x14ac:dyDescent="0.25">
      <c r="B80" s="56" t="s">
        <v>799</v>
      </c>
      <c r="C80" s="56" t="s">
        <v>399</v>
      </c>
      <c r="D80" s="11">
        <v>100</v>
      </c>
      <c r="E80" s="56" t="s">
        <v>799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udf1hra</v>
      </c>
      <c r="J80" s="3" t="str">
        <f t="shared" si="7"/>
        <v>udf1hra</v>
      </c>
    </row>
    <row r="81" spans="2:10" x14ac:dyDescent="0.25">
      <c r="B81" s="56" t="s">
        <v>800</v>
      </c>
      <c r="C81" s="56" t="s">
        <v>399</v>
      </c>
      <c r="D81" s="11">
        <v>100</v>
      </c>
      <c r="E81" s="56" t="s">
        <v>800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udf2hra</v>
      </c>
      <c r="J81" s="3" t="str">
        <f t="shared" si="7"/>
        <v>udf2hra</v>
      </c>
    </row>
    <row r="82" spans="2:10" x14ac:dyDescent="0.25">
      <c r="B82" s="56" t="s">
        <v>801</v>
      </c>
      <c r="C82" s="56" t="s">
        <v>399</v>
      </c>
      <c r="D82" s="11">
        <v>100</v>
      </c>
      <c r="E82" s="56" t="s">
        <v>801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udf3hra</v>
      </c>
      <c r="J82" s="3" t="str">
        <f t="shared" si="7"/>
        <v>udf3hra</v>
      </c>
    </row>
    <row r="83" spans="2:10" x14ac:dyDescent="0.25">
      <c r="B83" s="56" t="s">
        <v>802</v>
      </c>
      <c r="C83" s="56" t="s">
        <v>399</v>
      </c>
      <c r="D83" s="11">
        <v>100</v>
      </c>
      <c r="E83" s="56" t="s">
        <v>802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udf4hra</v>
      </c>
      <c r="J83" s="3" t="str">
        <f t="shared" si="7"/>
        <v>udf4hra</v>
      </c>
    </row>
    <row r="84" spans="2:10" x14ac:dyDescent="0.25">
      <c r="B84" s="56" t="s">
        <v>803</v>
      </c>
      <c r="C84" s="56" t="s">
        <v>399</v>
      </c>
      <c r="D84" s="11">
        <v>100</v>
      </c>
      <c r="E84" s="56" t="s">
        <v>803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udf5hra</v>
      </c>
      <c r="J84" s="3" t="str">
        <f t="shared" si="7"/>
        <v>udf5hra</v>
      </c>
    </row>
    <row r="85" spans="2:10" x14ac:dyDescent="0.25">
      <c r="B85" s="56" t="s">
        <v>804</v>
      </c>
      <c r="C85" s="56" t="s">
        <v>399</v>
      </c>
      <c r="D85" s="11">
        <v>100</v>
      </c>
      <c r="E85" s="56" t="s">
        <v>804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udf6hra</v>
      </c>
      <c r="J85" s="3" t="str">
        <f t="shared" si="7"/>
        <v>udf6hra</v>
      </c>
    </row>
    <row r="86" spans="2:10" x14ac:dyDescent="0.25">
      <c r="B86" s="56" t="s">
        <v>805</v>
      </c>
      <c r="C86" s="56" t="s">
        <v>399</v>
      </c>
      <c r="D86" s="11">
        <v>100</v>
      </c>
      <c r="E86" s="56" t="s">
        <v>805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udf7hra</v>
      </c>
      <c r="J86" s="3" t="str">
        <f t="shared" si="7"/>
        <v>udf7hra</v>
      </c>
    </row>
    <row r="87" spans="2:10" x14ac:dyDescent="0.25">
      <c r="B87" s="56" t="s">
        <v>806</v>
      </c>
      <c r="C87" s="56" t="s">
        <v>399</v>
      </c>
      <c r="D87" s="11">
        <v>100</v>
      </c>
      <c r="E87" s="56" t="s">
        <v>806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udf8hra</v>
      </c>
      <c r="J87" s="3" t="str">
        <f t="shared" si="7"/>
        <v>udf8hra</v>
      </c>
    </row>
    <row r="88" spans="2:10" x14ac:dyDescent="0.25">
      <c r="B88" s="56" t="s">
        <v>807</v>
      </c>
      <c r="C88" s="56" t="s">
        <v>399</v>
      </c>
      <c r="D88" s="11">
        <v>100</v>
      </c>
      <c r="E88" s="56" t="s">
        <v>807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udf9hra</v>
      </c>
      <c r="J88" s="3" t="str">
        <f t="shared" si="7"/>
        <v>udf9hra</v>
      </c>
    </row>
    <row r="89" spans="2:10" x14ac:dyDescent="0.25">
      <c r="B89" s="56" t="s">
        <v>808</v>
      </c>
      <c r="C89" s="56" t="s">
        <v>399</v>
      </c>
      <c r="D89" s="11">
        <v>100</v>
      </c>
      <c r="E89" s="56" t="s">
        <v>808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udf10hra</v>
      </c>
      <c r="J89" s="3" t="str">
        <f t="shared" si="7"/>
        <v>udf10hra</v>
      </c>
    </row>
    <row r="90" spans="2:10" x14ac:dyDescent="0.25">
      <c r="B90" s="56" t="s">
        <v>809</v>
      </c>
      <c r="C90" s="56" t="s">
        <v>399</v>
      </c>
      <c r="D90" s="11">
        <v>100</v>
      </c>
      <c r="E90" s="56" t="s">
        <v>809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udf11hra</v>
      </c>
      <c r="J90" s="3" t="str">
        <f t="shared" si="7"/>
        <v>udf11hra</v>
      </c>
    </row>
    <row r="91" spans="2:10" x14ac:dyDescent="0.25">
      <c r="B91" s="56" t="s">
        <v>810</v>
      </c>
      <c r="C91" s="56" t="s">
        <v>399</v>
      </c>
      <c r="D91" s="11">
        <v>100</v>
      </c>
      <c r="E91" s="56" t="s">
        <v>810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udf12hra</v>
      </c>
      <c r="J91" s="3" t="str">
        <f t="shared" si="7"/>
        <v>udf12hra</v>
      </c>
    </row>
    <row r="92" spans="2:10" x14ac:dyDescent="0.25">
      <c r="B92" s="56" t="s">
        <v>811</v>
      </c>
      <c r="C92" s="56" t="s">
        <v>399</v>
      </c>
      <c r="D92" s="11">
        <v>100</v>
      </c>
      <c r="E92" s="56" t="s">
        <v>811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udf13hra</v>
      </c>
      <c r="J92" s="3" t="str">
        <f t="shared" si="7"/>
        <v>udf13hra</v>
      </c>
    </row>
    <row r="93" spans="2:10" x14ac:dyDescent="0.25">
      <c r="B93" s="56" t="s">
        <v>812</v>
      </c>
      <c r="C93" s="56" t="s">
        <v>399</v>
      </c>
      <c r="D93" s="11">
        <v>100</v>
      </c>
      <c r="E93" s="56" t="s">
        <v>812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udf14hra</v>
      </c>
      <c r="J93" s="3" t="str">
        <f t="shared" si="7"/>
        <v>udf14hra</v>
      </c>
    </row>
    <row r="94" spans="2:10" x14ac:dyDescent="0.25">
      <c r="B94" s="56" t="s">
        <v>813</v>
      </c>
      <c r="C94" s="56" t="s">
        <v>399</v>
      </c>
      <c r="D94" s="11">
        <v>100</v>
      </c>
      <c r="E94" s="56" t="s">
        <v>813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udf15hra</v>
      </c>
      <c r="J94" s="3" t="str">
        <f t="shared" si="7"/>
        <v>udf15hra</v>
      </c>
    </row>
    <row r="95" spans="2:10" x14ac:dyDescent="0.25">
      <c r="B95" s="56" t="s">
        <v>814</v>
      </c>
      <c r="C95" s="56" t="s">
        <v>562</v>
      </c>
      <c r="D95" s="45"/>
      <c r="E95" s="56" t="s">
        <v>814</v>
      </c>
      <c r="F95" s="11">
        <v>0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udf31hra</v>
      </c>
      <c r="J95" s="3" t="str">
        <f t="shared" si="7"/>
        <v>udf31hra</v>
      </c>
    </row>
    <row r="96" spans="2:10" x14ac:dyDescent="0.25">
      <c r="B96" s="56" t="s">
        <v>815</v>
      </c>
      <c r="C96" s="56" t="s">
        <v>562</v>
      </c>
      <c r="D96" s="11"/>
      <c r="E96" s="56" t="s">
        <v>815</v>
      </c>
      <c r="F96" s="11">
        <v>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udf32hra</v>
      </c>
      <c r="J96" s="3" t="str">
        <f t="shared" si="7"/>
        <v>udf32hra</v>
      </c>
    </row>
    <row r="97" spans="2:10" x14ac:dyDescent="0.25">
      <c r="B97" s="56" t="s">
        <v>816</v>
      </c>
      <c r="C97" s="56" t="s">
        <v>562</v>
      </c>
      <c r="D97" s="11"/>
      <c r="E97" s="56" t="s">
        <v>816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udf33hra</v>
      </c>
      <c r="J97" s="3" t="str">
        <f t="shared" si="7"/>
        <v>udf33hra</v>
      </c>
    </row>
    <row r="98" spans="2:10" x14ac:dyDescent="0.25">
      <c r="B98" s="56" t="s">
        <v>817</v>
      </c>
      <c r="C98" s="56" t="s">
        <v>562</v>
      </c>
      <c r="D98" s="11"/>
      <c r="E98" s="56" t="s">
        <v>817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udf34hra</v>
      </c>
      <c r="J98" s="3" t="str">
        <f t="shared" si="7"/>
        <v>udf34hra</v>
      </c>
    </row>
    <row r="99" spans="2:10" x14ac:dyDescent="0.25">
      <c r="B99" s="56" t="s">
        <v>818</v>
      </c>
      <c r="C99" s="56" t="s">
        <v>562</v>
      </c>
      <c r="D99" s="11"/>
      <c r="E99" s="56" t="s">
        <v>818</v>
      </c>
      <c r="F99" s="1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udf35hra</v>
      </c>
      <c r="J99" s="3" t="str">
        <f t="shared" si="7"/>
        <v>udf35hra</v>
      </c>
    </row>
    <row r="100" spans="2:10" x14ac:dyDescent="0.25">
      <c r="B100" s="56" t="s">
        <v>819</v>
      </c>
      <c r="C100" s="56" t="s">
        <v>562</v>
      </c>
      <c r="D100" s="11"/>
      <c r="E100" s="56" t="s">
        <v>819</v>
      </c>
      <c r="F100" s="1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udf36hra</v>
      </c>
      <c r="J100" s="3" t="str">
        <f t="shared" si="7"/>
        <v>udf36hra</v>
      </c>
    </row>
    <row r="101" spans="2:10" x14ac:dyDescent="0.25">
      <c r="B101" s="56" t="s">
        <v>820</v>
      </c>
      <c r="C101" s="56" t="s">
        <v>562</v>
      </c>
      <c r="D101" s="11"/>
      <c r="E101" s="56" t="s">
        <v>820</v>
      </c>
      <c r="F101" s="1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udf37hra</v>
      </c>
      <c r="J101" s="3" t="str">
        <f t="shared" si="7"/>
        <v>udf37hra</v>
      </c>
    </row>
    <row r="102" spans="2:10" x14ac:dyDescent="0.25">
      <c r="B102" s="56" t="s">
        <v>821</v>
      </c>
      <c r="C102" s="56" t="s">
        <v>562</v>
      </c>
      <c r="D102" s="45"/>
      <c r="E102" s="56" t="s">
        <v>821</v>
      </c>
      <c r="F102" s="1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udf38hra</v>
      </c>
      <c r="J102" s="3" t="str">
        <f t="shared" si="7"/>
        <v>udf38hra</v>
      </c>
    </row>
    <row r="103" spans="2:10" x14ac:dyDescent="0.25">
      <c r="B103" s="56" t="s">
        <v>822</v>
      </c>
      <c r="C103" s="56" t="s">
        <v>562</v>
      </c>
      <c r="D103" s="11"/>
      <c r="E103" s="56" t="s">
        <v>822</v>
      </c>
      <c r="F103" s="1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udf39hra</v>
      </c>
      <c r="J103" s="3" t="str">
        <f t="shared" si="7"/>
        <v>udf39hra</v>
      </c>
    </row>
    <row r="104" spans="2:10" x14ac:dyDescent="0.25">
      <c r="B104" s="56" t="s">
        <v>823</v>
      </c>
      <c r="C104" s="56" t="s">
        <v>562</v>
      </c>
      <c r="D104" s="11"/>
      <c r="E104" s="56" t="s">
        <v>823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udf40hra</v>
      </c>
      <c r="J104" s="3" t="str">
        <f t="shared" si="7"/>
        <v>udf40hra</v>
      </c>
    </row>
    <row r="105" spans="2:10" x14ac:dyDescent="0.25">
      <c r="B105" s="56" t="s">
        <v>824</v>
      </c>
      <c r="C105" s="56" t="s">
        <v>400</v>
      </c>
      <c r="D105" s="11"/>
      <c r="E105" s="56" t="s">
        <v>824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udf41hra</v>
      </c>
      <c r="J105" s="3" t="str">
        <f t="shared" si="7"/>
        <v>udf41hra</v>
      </c>
    </row>
    <row r="106" spans="2:10" x14ac:dyDescent="0.25">
      <c r="B106" s="56" t="s">
        <v>825</v>
      </c>
      <c r="C106" s="56" t="s">
        <v>400</v>
      </c>
      <c r="D106" s="11"/>
      <c r="E106" s="56" t="s">
        <v>825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udf42hra</v>
      </c>
      <c r="J106" s="3" t="str">
        <f t="shared" si="7"/>
        <v>udf42hra</v>
      </c>
    </row>
    <row r="107" spans="2:10" x14ac:dyDescent="0.25">
      <c r="B107" s="56" t="s">
        <v>826</v>
      </c>
      <c r="C107" s="56" t="s">
        <v>400</v>
      </c>
      <c r="D107" s="11"/>
      <c r="E107" s="56" t="s">
        <v>826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udf43hra</v>
      </c>
      <c r="J107" s="3" t="str">
        <f t="shared" si="7"/>
        <v>udf43hra</v>
      </c>
    </row>
    <row r="108" spans="2:10" x14ac:dyDescent="0.25">
      <c r="B108" s="56" t="s">
        <v>827</v>
      </c>
      <c r="C108" s="56" t="s">
        <v>400</v>
      </c>
      <c r="D108" s="11"/>
      <c r="E108" s="56" t="s">
        <v>827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udf44hra</v>
      </c>
      <c r="J108" s="3" t="str">
        <f t="shared" si="7"/>
        <v>udf44hra</v>
      </c>
    </row>
    <row r="109" spans="2:10" x14ac:dyDescent="0.25">
      <c r="B109" s="56" t="s">
        <v>828</v>
      </c>
      <c r="C109" s="56" t="s">
        <v>400</v>
      </c>
      <c r="D109" s="11"/>
      <c r="E109" s="56" t="s">
        <v>828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udf45hra</v>
      </c>
      <c r="J109" s="3" t="str">
        <f t="shared" si="7"/>
        <v>udf45hra</v>
      </c>
    </row>
    <row r="110" spans="2:10" x14ac:dyDescent="0.25">
      <c r="B110" s="56" t="s">
        <v>829</v>
      </c>
      <c r="C110" s="56" t="s">
        <v>400</v>
      </c>
      <c r="D110" s="11"/>
      <c r="E110" s="56" t="s">
        <v>829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udf46hra</v>
      </c>
      <c r="J110" s="3" t="str">
        <f t="shared" si="7"/>
        <v>udf46hra</v>
      </c>
    </row>
    <row r="111" spans="2:10" x14ac:dyDescent="0.25">
      <c r="B111" s="56" t="s">
        <v>830</v>
      </c>
      <c r="C111" s="56" t="s">
        <v>400</v>
      </c>
      <c r="D111" s="11"/>
      <c r="E111" s="56" t="s">
        <v>830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udf47hra</v>
      </c>
      <c r="J111" s="3" t="str">
        <f t="shared" si="7"/>
        <v>udf47hra</v>
      </c>
    </row>
    <row r="112" spans="2:10" x14ac:dyDescent="0.25">
      <c r="B112" s="56" t="s">
        <v>831</v>
      </c>
      <c r="C112" s="56" t="s">
        <v>400</v>
      </c>
      <c r="D112" s="45"/>
      <c r="E112" s="56" t="s">
        <v>831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udf48hra</v>
      </c>
      <c r="J112" s="3" t="str">
        <f t="shared" si="7"/>
        <v>udf48hra</v>
      </c>
    </row>
    <row r="113" spans="2:10" x14ac:dyDescent="0.25">
      <c r="B113" s="56" t="s">
        <v>832</v>
      </c>
      <c r="C113" s="56" t="s">
        <v>400</v>
      </c>
      <c r="D113" s="11"/>
      <c r="E113" s="56" t="s">
        <v>832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udf49hra</v>
      </c>
      <c r="J113" s="3" t="str">
        <f t="shared" si="7"/>
        <v>udf49hra</v>
      </c>
    </row>
    <row r="114" spans="2:10" x14ac:dyDescent="0.25">
      <c r="B114" s="56" t="s">
        <v>833</v>
      </c>
      <c r="C114" s="56" t="s">
        <v>400</v>
      </c>
      <c r="D114" s="11"/>
      <c r="E114" s="56" t="s">
        <v>833</v>
      </c>
      <c r="F114" s="11">
        <v>0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udf50hra</v>
      </c>
      <c r="J114" s="3" t="str">
        <f t="shared" si="7"/>
        <v>udf50hra</v>
      </c>
    </row>
    <row r="115" spans="2:10" x14ac:dyDescent="0.25">
      <c r="B115" s="56" t="s">
        <v>834</v>
      </c>
      <c r="C115" s="56" t="s">
        <v>399</v>
      </c>
      <c r="D115" s="11">
        <v>100</v>
      </c>
      <c r="E115" s="56" t="s">
        <v>834</v>
      </c>
      <c r="F115" s="11">
        <v>0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udf1biometric</v>
      </c>
      <c r="J115" s="3" t="str">
        <f t="shared" si="7"/>
        <v>udf1biometric</v>
      </c>
    </row>
    <row r="116" spans="2:10" x14ac:dyDescent="0.25">
      <c r="B116" s="56" t="s">
        <v>835</v>
      </c>
      <c r="C116" s="56" t="s">
        <v>399</v>
      </c>
      <c r="D116" s="45">
        <v>100</v>
      </c>
      <c r="E116" s="56" t="s">
        <v>835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udf2biometric</v>
      </c>
      <c r="J116" s="3" t="str">
        <f t="shared" si="7"/>
        <v>udf2biometric</v>
      </c>
    </row>
    <row r="117" spans="2:10" x14ac:dyDescent="0.25">
      <c r="B117" s="56" t="s">
        <v>836</v>
      </c>
      <c r="C117" s="56" t="s">
        <v>399</v>
      </c>
      <c r="D117" s="11">
        <v>100</v>
      </c>
      <c r="E117" s="56" t="s">
        <v>836</v>
      </c>
      <c r="F117" s="11">
        <v>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udf3biometric</v>
      </c>
      <c r="J117" s="3" t="str">
        <f t="shared" si="7"/>
        <v>udf3biometric</v>
      </c>
    </row>
    <row r="118" spans="2:10" x14ac:dyDescent="0.25">
      <c r="B118" s="56" t="s">
        <v>837</v>
      </c>
      <c r="C118" s="56" t="s">
        <v>399</v>
      </c>
      <c r="D118" s="11">
        <v>100</v>
      </c>
      <c r="E118" s="56" t="s">
        <v>837</v>
      </c>
      <c r="F118" s="11">
        <v>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udf4biometric</v>
      </c>
      <c r="J118" s="3" t="str">
        <f t="shared" si="7"/>
        <v>udf4biometric</v>
      </c>
    </row>
    <row r="119" spans="2:10" x14ac:dyDescent="0.25">
      <c r="B119" s="56" t="s">
        <v>838</v>
      </c>
      <c r="C119" s="56" t="s">
        <v>399</v>
      </c>
      <c r="D119" s="11">
        <v>100</v>
      </c>
      <c r="E119" s="56" t="s">
        <v>838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udf5biometric</v>
      </c>
      <c r="J119" s="3" t="str">
        <f t="shared" si="7"/>
        <v>udf5biometric</v>
      </c>
    </row>
    <row r="120" spans="2:10" x14ac:dyDescent="0.25">
      <c r="B120" s="56" t="s">
        <v>839</v>
      </c>
      <c r="C120" s="56" t="s">
        <v>399</v>
      </c>
      <c r="D120" s="11">
        <v>100</v>
      </c>
      <c r="E120" s="56" t="s">
        <v>839</v>
      </c>
      <c r="F120" s="11">
        <v>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udf6biometric</v>
      </c>
      <c r="J120" s="3" t="str">
        <f t="shared" si="7"/>
        <v>udf6biometric</v>
      </c>
    </row>
    <row r="121" spans="2:10" x14ac:dyDescent="0.25">
      <c r="B121" s="56" t="s">
        <v>840</v>
      </c>
      <c r="C121" s="56" t="s">
        <v>399</v>
      </c>
      <c r="D121" s="11">
        <v>100</v>
      </c>
      <c r="E121" s="56" t="s">
        <v>840</v>
      </c>
      <c r="F121" s="11">
        <v>0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udf7biometric</v>
      </c>
      <c r="J121" s="3" t="str">
        <f t="shared" si="7"/>
        <v>udf7biometric</v>
      </c>
    </row>
    <row r="122" spans="2:10" x14ac:dyDescent="0.25">
      <c r="B122" s="56" t="s">
        <v>841</v>
      </c>
      <c r="C122" s="56" t="s">
        <v>399</v>
      </c>
      <c r="D122" s="11">
        <v>100</v>
      </c>
      <c r="E122" s="56" t="s">
        <v>841</v>
      </c>
      <c r="F122" s="11">
        <v>0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udf8biometric</v>
      </c>
      <c r="J122" s="3" t="str">
        <f t="shared" si="7"/>
        <v>udf8biometric</v>
      </c>
    </row>
    <row r="123" spans="2:10" x14ac:dyDescent="0.25">
      <c r="B123" s="56" t="s">
        <v>842</v>
      </c>
      <c r="C123" s="56" t="s">
        <v>399</v>
      </c>
      <c r="D123" s="11">
        <v>100</v>
      </c>
      <c r="E123" s="56" t="s">
        <v>842</v>
      </c>
      <c r="F123" s="11">
        <v>0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udf9biometric</v>
      </c>
      <c r="J123" s="3" t="str">
        <f t="shared" si="7"/>
        <v>udf9biometric</v>
      </c>
    </row>
    <row r="124" spans="2:10" x14ac:dyDescent="0.25">
      <c r="B124" s="56" t="s">
        <v>843</v>
      </c>
      <c r="C124" s="56" t="s">
        <v>399</v>
      </c>
      <c r="D124" s="11">
        <v>100</v>
      </c>
      <c r="E124" s="56" t="s">
        <v>843</v>
      </c>
      <c r="F124" s="11">
        <v>0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udf10biometric</v>
      </c>
      <c r="J124" s="3" t="str">
        <f t="shared" si="7"/>
        <v>udf10biometric</v>
      </c>
    </row>
    <row r="125" spans="2:10" x14ac:dyDescent="0.25">
      <c r="B125" s="56" t="s">
        <v>844</v>
      </c>
      <c r="C125" s="56" t="s">
        <v>399</v>
      </c>
      <c r="D125" s="11">
        <v>100</v>
      </c>
      <c r="E125" s="56" t="s">
        <v>844</v>
      </c>
      <c r="F125" s="11">
        <v>0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udf11biometric</v>
      </c>
      <c r="J125" s="3" t="str">
        <f t="shared" si="7"/>
        <v>udf11biometric</v>
      </c>
    </row>
    <row r="126" spans="2:10" x14ac:dyDescent="0.25">
      <c r="B126" s="56" t="s">
        <v>845</v>
      </c>
      <c r="C126" s="56" t="s">
        <v>399</v>
      </c>
      <c r="D126" s="11">
        <v>100</v>
      </c>
      <c r="E126" s="56" t="s">
        <v>845</v>
      </c>
      <c r="F126" s="11">
        <v>0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udf12biometric</v>
      </c>
      <c r="J126" s="3" t="str">
        <f t="shared" si="7"/>
        <v>udf12biometric</v>
      </c>
    </row>
    <row r="127" spans="2:10" x14ac:dyDescent="0.25">
      <c r="B127" s="56" t="s">
        <v>846</v>
      </c>
      <c r="C127" s="56" t="s">
        <v>399</v>
      </c>
      <c r="D127" s="11">
        <v>100</v>
      </c>
      <c r="E127" s="56" t="s">
        <v>846</v>
      </c>
      <c r="F127" s="11">
        <v>0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udf13biometric</v>
      </c>
      <c r="J127" s="3" t="str">
        <f t="shared" si="7"/>
        <v>udf13biometric</v>
      </c>
    </row>
    <row r="128" spans="2:10" x14ac:dyDescent="0.25">
      <c r="B128" s="56" t="s">
        <v>847</v>
      </c>
      <c r="C128" s="56" t="s">
        <v>399</v>
      </c>
      <c r="D128" s="11">
        <v>100</v>
      </c>
      <c r="E128" s="56" t="s">
        <v>847</v>
      </c>
      <c r="F128" s="11">
        <v>0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udf14biometric</v>
      </c>
      <c r="J128" s="3" t="str">
        <f t="shared" si="7"/>
        <v>udf14biometric</v>
      </c>
    </row>
    <row r="129" spans="2:10" x14ac:dyDescent="0.25">
      <c r="B129" s="56" t="s">
        <v>848</v>
      </c>
      <c r="C129" s="56" t="s">
        <v>399</v>
      </c>
      <c r="D129" s="11">
        <v>100</v>
      </c>
      <c r="E129" s="56" t="s">
        <v>848</v>
      </c>
      <c r="F129" s="11">
        <v>0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udf15biometric</v>
      </c>
      <c r="J129" s="3" t="str">
        <f t="shared" si="7"/>
        <v>udf15biometric</v>
      </c>
    </row>
    <row r="130" spans="2:10" x14ac:dyDescent="0.25">
      <c r="B130" s="56" t="s">
        <v>849</v>
      </c>
      <c r="C130" s="56" t="s">
        <v>562</v>
      </c>
      <c r="D130" s="11"/>
      <c r="E130" s="56" t="s">
        <v>849</v>
      </c>
      <c r="F130" s="11">
        <v>0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udf31biometric</v>
      </c>
      <c r="J130" s="3" t="str">
        <f t="shared" si="7"/>
        <v>udf31biometric</v>
      </c>
    </row>
    <row r="131" spans="2:10" x14ac:dyDescent="0.25">
      <c r="B131" s="56" t="s">
        <v>850</v>
      </c>
      <c r="C131" s="56" t="s">
        <v>562</v>
      </c>
      <c r="D131" s="11"/>
      <c r="E131" s="56" t="s">
        <v>850</v>
      </c>
      <c r="F131" s="11">
        <v>0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udf32biometric</v>
      </c>
      <c r="J131" s="3" t="str">
        <f t="shared" ref="J131:J194" si="11">SUBSTITUTE(E131,"_","")</f>
        <v>udf32biometric</v>
      </c>
    </row>
    <row r="132" spans="2:10" x14ac:dyDescent="0.25">
      <c r="B132" s="56" t="s">
        <v>851</v>
      </c>
      <c r="C132" s="56" t="s">
        <v>562</v>
      </c>
      <c r="D132" s="11"/>
      <c r="E132" s="56" t="s">
        <v>851</v>
      </c>
      <c r="F132" s="11">
        <v>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udf33biometric</v>
      </c>
      <c r="J132" s="3" t="str">
        <f t="shared" si="11"/>
        <v>udf33biometric</v>
      </c>
    </row>
    <row r="133" spans="2:10" x14ac:dyDescent="0.25">
      <c r="B133" s="56" t="s">
        <v>852</v>
      </c>
      <c r="C133" s="56" t="s">
        <v>562</v>
      </c>
      <c r="D133" s="11"/>
      <c r="E133" s="56" t="s">
        <v>852</v>
      </c>
      <c r="F133" s="11">
        <v>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udf34biometric</v>
      </c>
      <c r="J133" s="3" t="str">
        <f t="shared" si="11"/>
        <v>udf34biometric</v>
      </c>
    </row>
    <row r="134" spans="2:10" x14ac:dyDescent="0.25">
      <c r="B134" s="56" t="s">
        <v>853</v>
      </c>
      <c r="C134" s="56" t="s">
        <v>562</v>
      </c>
      <c r="D134" s="11"/>
      <c r="E134" s="56" t="s">
        <v>853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udf35biometric</v>
      </c>
      <c r="J134" s="3" t="str">
        <f t="shared" si="11"/>
        <v>udf35biometric</v>
      </c>
    </row>
    <row r="135" spans="2:10" x14ac:dyDescent="0.25">
      <c r="B135" s="56" t="s">
        <v>854</v>
      </c>
      <c r="C135" s="56" t="s">
        <v>562</v>
      </c>
      <c r="D135" s="11"/>
      <c r="E135" s="56" t="s">
        <v>854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udf36biometric</v>
      </c>
      <c r="J135" s="3" t="str">
        <f t="shared" si="11"/>
        <v>udf36biometric</v>
      </c>
    </row>
    <row r="136" spans="2:10" x14ac:dyDescent="0.25">
      <c r="B136" s="56" t="s">
        <v>855</v>
      </c>
      <c r="C136" s="56" t="s">
        <v>562</v>
      </c>
      <c r="D136" s="11"/>
      <c r="E136" s="56" t="s">
        <v>855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udf37biometric</v>
      </c>
      <c r="J136" s="3" t="str">
        <f t="shared" si="11"/>
        <v>udf37biometric</v>
      </c>
    </row>
    <row r="137" spans="2:10" x14ac:dyDescent="0.25">
      <c r="B137" s="56" t="s">
        <v>856</v>
      </c>
      <c r="C137" s="56" t="s">
        <v>562</v>
      </c>
      <c r="D137" s="11"/>
      <c r="E137" s="56" t="s">
        <v>856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udf38biometric</v>
      </c>
      <c r="J137" s="3" t="str">
        <f t="shared" si="11"/>
        <v>udf38biometric</v>
      </c>
    </row>
    <row r="138" spans="2:10" x14ac:dyDescent="0.25">
      <c r="B138" s="56" t="s">
        <v>857</v>
      </c>
      <c r="C138" s="56" t="s">
        <v>562</v>
      </c>
      <c r="D138" s="11"/>
      <c r="E138" s="56" t="s">
        <v>857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udf39biometric</v>
      </c>
      <c r="J138" s="3" t="str">
        <f t="shared" si="11"/>
        <v>udf39biometric</v>
      </c>
    </row>
    <row r="139" spans="2:10" x14ac:dyDescent="0.25">
      <c r="B139" s="56" t="s">
        <v>858</v>
      </c>
      <c r="C139" s="56" t="s">
        <v>562</v>
      </c>
      <c r="D139" s="11"/>
      <c r="E139" s="56" t="s">
        <v>858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udf40biometric</v>
      </c>
      <c r="J139" s="3" t="str">
        <f t="shared" si="11"/>
        <v>udf40biometric</v>
      </c>
    </row>
    <row r="140" spans="2:10" x14ac:dyDescent="0.25">
      <c r="B140" s="56" t="s">
        <v>859</v>
      </c>
      <c r="C140" s="56" t="s">
        <v>400</v>
      </c>
      <c r="D140" s="11"/>
      <c r="E140" s="56" t="s">
        <v>859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udf41biometric</v>
      </c>
      <c r="J140" s="3" t="str">
        <f t="shared" si="11"/>
        <v>udf41biometric</v>
      </c>
    </row>
    <row r="141" spans="2:10" x14ac:dyDescent="0.25">
      <c r="B141" s="56" t="s">
        <v>860</v>
      </c>
      <c r="C141" s="56" t="s">
        <v>400</v>
      </c>
      <c r="D141" s="45"/>
      <c r="E141" s="56" t="s">
        <v>860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udf42biometric</v>
      </c>
      <c r="J141" s="3" t="str">
        <f t="shared" si="11"/>
        <v>udf42biometric</v>
      </c>
    </row>
    <row r="142" spans="2:10" x14ac:dyDescent="0.25">
      <c r="B142" s="56" t="s">
        <v>861</v>
      </c>
      <c r="C142" s="56" t="s">
        <v>400</v>
      </c>
      <c r="D142" s="11"/>
      <c r="E142" s="56" t="s">
        <v>861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udf43biometric</v>
      </c>
      <c r="J142" s="3" t="str">
        <f t="shared" si="11"/>
        <v>udf43biometric</v>
      </c>
    </row>
    <row r="143" spans="2:10" x14ac:dyDescent="0.25">
      <c r="B143" s="56" t="s">
        <v>862</v>
      </c>
      <c r="C143" s="56" t="s">
        <v>400</v>
      </c>
      <c r="D143" s="11"/>
      <c r="E143" s="56" t="s">
        <v>862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udf44biometric</v>
      </c>
      <c r="J143" s="3" t="str">
        <f t="shared" si="11"/>
        <v>udf44biometric</v>
      </c>
    </row>
    <row r="144" spans="2:10" x14ac:dyDescent="0.25">
      <c r="B144" s="56" t="s">
        <v>863</v>
      </c>
      <c r="C144" s="56" t="s">
        <v>400</v>
      </c>
      <c r="D144" s="11"/>
      <c r="E144" s="56" t="s">
        <v>863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udf45biometric</v>
      </c>
      <c r="J144" s="3" t="str">
        <f t="shared" si="11"/>
        <v>udf45biometric</v>
      </c>
    </row>
    <row r="145" spans="2:10" x14ac:dyDescent="0.25">
      <c r="B145" s="56" t="s">
        <v>864</v>
      </c>
      <c r="C145" s="56" t="s">
        <v>400</v>
      </c>
      <c r="D145" s="11"/>
      <c r="E145" s="56" t="s">
        <v>864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udf46biometric</v>
      </c>
      <c r="J145" s="3" t="str">
        <f t="shared" si="11"/>
        <v>udf46biometric</v>
      </c>
    </row>
    <row r="146" spans="2:10" x14ac:dyDescent="0.25">
      <c r="B146" s="56" t="s">
        <v>865</v>
      </c>
      <c r="C146" s="56" t="s">
        <v>400</v>
      </c>
      <c r="D146" s="11"/>
      <c r="E146" s="56" t="s">
        <v>865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udf47biometric</v>
      </c>
      <c r="J146" s="3" t="str">
        <f t="shared" si="11"/>
        <v>udf47biometric</v>
      </c>
    </row>
    <row r="147" spans="2:10" x14ac:dyDescent="0.25">
      <c r="B147" s="56" t="s">
        <v>866</v>
      </c>
      <c r="C147" s="56" t="s">
        <v>400</v>
      </c>
      <c r="D147" s="11"/>
      <c r="E147" s="56" t="s">
        <v>866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udf48biometric</v>
      </c>
      <c r="J147" s="3" t="str">
        <f t="shared" si="11"/>
        <v>udf48biometric</v>
      </c>
    </row>
    <row r="148" spans="2:10" x14ac:dyDescent="0.25">
      <c r="B148" s="56" t="s">
        <v>867</v>
      </c>
      <c r="C148" s="56" t="s">
        <v>400</v>
      </c>
      <c r="D148" s="11"/>
      <c r="E148" s="56" t="s">
        <v>867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udf49biometric</v>
      </c>
      <c r="J148" s="3" t="str">
        <f t="shared" si="11"/>
        <v>udf49biometric</v>
      </c>
    </row>
    <row r="149" spans="2:10" x14ac:dyDescent="0.25">
      <c r="B149" s="56" t="s">
        <v>868</v>
      </c>
      <c r="C149" s="56" t="s">
        <v>400</v>
      </c>
      <c r="D149" s="11"/>
      <c r="E149" s="56" t="s">
        <v>868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udf50biometric</v>
      </c>
      <c r="J149" s="3" t="str">
        <f t="shared" si="11"/>
        <v>udf50biometric</v>
      </c>
    </row>
    <row r="150" spans="2:10" x14ac:dyDescent="0.25">
      <c r="B150" s="56" t="s">
        <v>869</v>
      </c>
      <c r="C150" s="56" t="s">
        <v>399</v>
      </c>
      <c r="D150" s="11">
        <v>100</v>
      </c>
      <c r="E150" s="56" t="s">
        <v>869</v>
      </c>
      <c r="F150" s="11">
        <v>33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udf1eligibility</v>
      </c>
      <c r="J150" s="3" t="str">
        <f t="shared" si="11"/>
        <v>udf1eligibility</v>
      </c>
    </row>
    <row r="151" spans="2:10" x14ac:dyDescent="0.25">
      <c r="B151" s="56" t="s">
        <v>870</v>
      </c>
      <c r="C151" s="56" t="s">
        <v>399</v>
      </c>
      <c r="D151" s="11">
        <v>100</v>
      </c>
      <c r="E151" s="56" t="s">
        <v>870</v>
      </c>
      <c r="F151" s="11">
        <v>34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udf2eligibility</v>
      </c>
      <c r="J151" s="3" t="str">
        <f t="shared" si="11"/>
        <v>udf2eligibility</v>
      </c>
    </row>
    <row r="152" spans="2:10" x14ac:dyDescent="0.25">
      <c r="B152" s="56" t="s">
        <v>871</v>
      </c>
      <c r="C152" s="56" t="s">
        <v>399</v>
      </c>
      <c r="D152" s="11">
        <v>100</v>
      </c>
      <c r="E152" s="56" t="s">
        <v>871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udf3eligibility</v>
      </c>
      <c r="J152" s="3" t="str">
        <f t="shared" si="11"/>
        <v>udf3eligibility</v>
      </c>
    </row>
    <row r="153" spans="2:10" x14ac:dyDescent="0.25">
      <c r="B153" s="56" t="s">
        <v>872</v>
      </c>
      <c r="C153" s="56" t="s">
        <v>399</v>
      </c>
      <c r="D153" s="11">
        <v>100</v>
      </c>
      <c r="E153" s="56" t="s">
        <v>872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udf4eligibility</v>
      </c>
      <c r="J153" s="3" t="str">
        <f t="shared" si="11"/>
        <v>udf4eligibility</v>
      </c>
    </row>
    <row r="154" spans="2:10" x14ac:dyDescent="0.25">
      <c r="B154" s="56" t="s">
        <v>873</v>
      </c>
      <c r="C154" s="56" t="s">
        <v>399</v>
      </c>
      <c r="D154" s="11">
        <v>100</v>
      </c>
      <c r="E154" s="56" t="s">
        <v>873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udf5eligibility</v>
      </c>
      <c r="J154" s="3" t="str">
        <f t="shared" si="11"/>
        <v>udf5eligibility</v>
      </c>
    </row>
    <row r="155" spans="2:10" x14ac:dyDescent="0.25">
      <c r="B155" s="56" t="s">
        <v>874</v>
      </c>
      <c r="C155" s="56" t="s">
        <v>399</v>
      </c>
      <c r="D155" s="11">
        <v>100</v>
      </c>
      <c r="E155" s="56" t="s">
        <v>874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udf6eligibility</v>
      </c>
      <c r="J155" s="3" t="str">
        <f t="shared" si="11"/>
        <v>udf6eligibility</v>
      </c>
    </row>
    <row r="156" spans="2:10" x14ac:dyDescent="0.25">
      <c r="B156" s="56" t="s">
        <v>875</v>
      </c>
      <c r="C156" s="56" t="s">
        <v>399</v>
      </c>
      <c r="D156" s="11">
        <v>100</v>
      </c>
      <c r="E156" s="56" t="s">
        <v>875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udf7eligibility</v>
      </c>
      <c r="J156" s="3" t="str">
        <f t="shared" si="11"/>
        <v>udf7eligibility</v>
      </c>
    </row>
    <row r="157" spans="2:10" x14ac:dyDescent="0.25">
      <c r="B157" s="56" t="s">
        <v>876</v>
      </c>
      <c r="C157" s="56" t="s">
        <v>399</v>
      </c>
      <c r="D157" s="11">
        <v>100</v>
      </c>
      <c r="E157" s="56" t="s">
        <v>876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udf8eligibility</v>
      </c>
      <c r="J157" s="3" t="str">
        <f t="shared" si="11"/>
        <v>udf8eligibility</v>
      </c>
    </row>
    <row r="158" spans="2:10" x14ac:dyDescent="0.25">
      <c r="B158" s="56" t="s">
        <v>877</v>
      </c>
      <c r="C158" s="56" t="s">
        <v>399</v>
      </c>
      <c r="D158" s="11">
        <v>100</v>
      </c>
      <c r="E158" s="56" t="s">
        <v>877</v>
      </c>
      <c r="F158" s="11">
        <v>0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udf9eligibility</v>
      </c>
      <c r="J158" s="3" t="str">
        <f t="shared" si="11"/>
        <v>udf9eligibility</v>
      </c>
    </row>
    <row r="159" spans="2:10" x14ac:dyDescent="0.25">
      <c r="B159" s="56" t="s">
        <v>878</v>
      </c>
      <c r="C159" s="56" t="s">
        <v>399</v>
      </c>
      <c r="D159" s="11">
        <v>100</v>
      </c>
      <c r="E159" s="56" t="s">
        <v>878</v>
      </c>
      <c r="F159" s="11">
        <v>0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udf10eligibility</v>
      </c>
      <c r="J159" s="3" t="str">
        <f t="shared" si="11"/>
        <v>udf10eligibility</v>
      </c>
    </row>
    <row r="160" spans="2:10" x14ac:dyDescent="0.25">
      <c r="B160" s="56" t="s">
        <v>879</v>
      </c>
      <c r="C160" s="56" t="s">
        <v>399</v>
      </c>
      <c r="D160" s="11">
        <v>100</v>
      </c>
      <c r="E160" s="56" t="s">
        <v>879</v>
      </c>
      <c r="F160" s="11">
        <v>0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udf11eligibility</v>
      </c>
      <c r="J160" s="3" t="str">
        <f t="shared" si="11"/>
        <v>udf11eligibility</v>
      </c>
    </row>
    <row r="161" spans="2:10" x14ac:dyDescent="0.25">
      <c r="B161" s="56" t="s">
        <v>880</v>
      </c>
      <c r="C161" s="56" t="s">
        <v>399</v>
      </c>
      <c r="D161" s="11">
        <v>100</v>
      </c>
      <c r="E161" s="56" t="s">
        <v>880</v>
      </c>
      <c r="F161" s="11">
        <v>0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udf12eligibility</v>
      </c>
      <c r="J161" s="3" t="str">
        <f t="shared" si="11"/>
        <v>udf12eligibility</v>
      </c>
    </row>
    <row r="162" spans="2:10" x14ac:dyDescent="0.25">
      <c r="B162" s="56" t="s">
        <v>881</v>
      </c>
      <c r="C162" s="56" t="s">
        <v>399</v>
      </c>
      <c r="D162" s="11">
        <v>100</v>
      </c>
      <c r="E162" s="56" t="s">
        <v>881</v>
      </c>
      <c r="F162" s="11">
        <v>0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udf13eligibility</v>
      </c>
      <c r="J162" s="3" t="str">
        <f t="shared" si="11"/>
        <v>udf13eligibility</v>
      </c>
    </row>
    <row r="163" spans="2:10" x14ac:dyDescent="0.25">
      <c r="B163" s="56" t="s">
        <v>882</v>
      </c>
      <c r="C163" s="56" t="s">
        <v>399</v>
      </c>
      <c r="D163" s="11">
        <v>100</v>
      </c>
      <c r="E163" s="56" t="s">
        <v>882</v>
      </c>
      <c r="F163" s="11">
        <v>0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udf14eligibility</v>
      </c>
      <c r="J163" s="3" t="str">
        <f t="shared" si="11"/>
        <v>udf14eligibility</v>
      </c>
    </row>
    <row r="164" spans="2:10" x14ac:dyDescent="0.25">
      <c r="B164" s="56" t="s">
        <v>883</v>
      </c>
      <c r="C164" s="56" t="s">
        <v>399</v>
      </c>
      <c r="D164" s="11">
        <v>100</v>
      </c>
      <c r="E164" s="56" t="s">
        <v>883</v>
      </c>
      <c r="F164" s="11">
        <v>0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udf15eligibility</v>
      </c>
      <c r="J164" s="3" t="str">
        <f t="shared" si="11"/>
        <v>udf15eligibility</v>
      </c>
    </row>
    <row r="165" spans="2:10" x14ac:dyDescent="0.25">
      <c r="B165" s="56" t="s">
        <v>66</v>
      </c>
      <c r="C165" s="56" t="s">
        <v>399</v>
      </c>
      <c r="D165" s="11">
        <v>100</v>
      </c>
      <c r="E165" s="56" t="s">
        <v>66</v>
      </c>
      <c r="F165" s="11">
        <v>8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udf16</v>
      </c>
      <c r="J165" s="3" t="str">
        <f t="shared" si="11"/>
        <v>udf16</v>
      </c>
    </row>
    <row r="166" spans="2:10" x14ac:dyDescent="0.25">
      <c r="B166" s="56" t="s">
        <v>67</v>
      </c>
      <c r="C166" s="56" t="s">
        <v>399</v>
      </c>
      <c r="D166" s="11">
        <v>100</v>
      </c>
      <c r="E166" s="56" t="s">
        <v>67</v>
      </c>
      <c r="F166" s="11">
        <v>14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udf17</v>
      </c>
      <c r="J166" s="3" t="str">
        <f t="shared" si="11"/>
        <v>udf17</v>
      </c>
    </row>
    <row r="167" spans="2:10" x14ac:dyDescent="0.25">
      <c r="B167" s="56" t="s">
        <v>68</v>
      </c>
      <c r="C167" s="56" t="s">
        <v>399</v>
      </c>
      <c r="D167" s="11">
        <v>100</v>
      </c>
      <c r="E167" s="56" t="s">
        <v>68</v>
      </c>
      <c r="F167" s="11">
        <v>8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udf18</v>
      </c>
      <c r="J167" s="3" t="str">
        <f t="shared" si="11"/>
        <v>udf18</v>
      </c>
    </row>
    <row r="168" spans="2:10" x14ac:dyDescent="0.25">
      <c r="B168" s="56" t="s">
        <v>69</v>
      </c>
      <c r="C168" s="56" t="s">
        <v>399</v>
      </c>
      <c r="D168" s="11">
        <v>100</v>
      </c>
      <c r="E168" s="56" t="s">
        <v>69</v>
      </c>
      <c r="F168" s="11">
        <v>14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udf19</v>
      </c>
      <c r="J168" s="3" t="str">
        <f t="shared" si="11"/>
        <v>udf19</v>
      </c>
    </row>
    <row r="169" spans="2:10" x14ac:dyDescent="0.25">
      <c r="B169" s="56" t="s">
        <v>70</v>
      </c>
      <c r="C169" s="56" t="s">
        <v>399</v>
      </c>
      <c r="D169" s="11">
        <v>100</v>
      </c>
      <c r="E169" s="56" t="s">
        <v>70</v>
      </c>
      <c r="F169" s="11">
        <v>8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udf20</v>
      </c>
      <c r="J169" s="3" t="str">
        <f t="shared" si="11"/>
        <v>udf20</v>
      </c>
    </row>
    <row r="170" spans="2:10" x14ac:dyDescent="0.25">
      <c r="B170" s="56" t="s">
        <v>436</v>
      </c>
      <c r="C170" s="56" t="s">
        <v>399</v>
      </c>
      <c r="D170" s="11">
        <v>100</v>
      </c>
      <c r="E170" s="56" t="s">
        <v>436</v>
      </c>
      <c r="F170" s="11">
        <v>14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udf21</v>
      </c>
      <c r="J170" s="3" t="str">
        <f t="shared" si="11"/>
        <v>udf21</v>
      </c>
    </row>
    <row r="171" spans="2:10" x14ac:dyDescent="0.25">
      <c r="B171" s="56" t="s">
        <v>437</v>
      </c>
      <c r="C171" s="56" t="s">
        <v>399</v>
      </c>
      <c r="D171" s="11">
        <v>100</v>
      </c>
      <c r="E171" s="56" t="s">
        <v>437</v>
      </c>
      <c r="F171" s="11">
        <v>5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udf22</v>
      </c>
      <c r="J171" s="3" t="str">
        <f t="shared" si="11"/>
        <v>udf22</v>
      </c>
    </row>
    <row r="172" spans="2:10" x14ac:dyDescent="0.25">
      <c r="B172" s="56" t="s">
        <v>438</v>
      </c>
      <c r="C172" s="56" t="s">
        <v>399</v>
      </c>
      <c r="D172" s="11">
        <v>100</v>
      </c>
      <c r="E172" s="56" t="s">
        <v>438</v>
      </c>
      <c r="F172" s="11">
        <v>5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udf23</v>
      </c>
      <c r="J172" s="3" t="str">
        <f t="shared" si="11"/>
        <v>udf23</v>
      </c>
    </row>
    <row r="173" spans="2:10" x14ac:dyDescent="0.25">
      <c r="B173" s="56" t="s">
        <v>439</v>
      </c>
      <c r="C173" s="56" t="s">
        <v>399</v>
      </c>
      <c r="D173" s="11">
        <v>100</v>
      </c>
      <c r="E173" s="56" t="s">
        <v>439</v>
      </c>
      <c r="F173" s="11">
        <v>5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udf24</v>
      </c>
      <c r="J173" s="3" t="str">
        <f t="shared" si="11"/>
        <v>udf24</v>
      </c>
    </row>
    <row r="174" spans="2:10" x14ac:dyDescent="0.25">
      <c r="B174" s="56" t="s">
        <v>440</v>
      </c>
      <c r="C174" s="56" t="s">
        <v>399</v>
      </c>
      <c r="D174" s="11">
        <v>100</v>
      </c>
      <c r="E174" s="56" t="s">
        <v>440</v>
      </c>
      <c r="F174" s="11">
        <v>5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udf25</v>
      </c>
      <c r="J174" s="3" t="str">
        <f t="shared" si="11"/>
        <v>udf25</v>
      </c>
    </row>
    <row r="175" spans="2:10" x14ac:dyDescent="0.25">
      <c r="B175" s="56" t="s">
        <v>441</v>
      </c>
      <c r="C175" s="56" t="s">
        <v>399</v>
      </c>
      <c r="D175" s="11">
        <v>100</v>
      </c>
      <c r="E175" s="56" t="s">
        <v>441</v>
      </c>
      <c r="F175" s="11">
        <v>0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udf26</v>
      </c>
      <c r="J175" s="3" t="str">
        <f t="shared" si="11"/>
        <v>udf26</v>
      </c>
    </row>
    <row r="176" spans="2:10" x14ac:dyDescent="0.25">
      <c r="B176" s="56" t="s">
        <v>442</v>
      </c>
      <c r="C176" s="56" t="s">
        <v>399</v>
      </c>
      <c r="D176" s="11">
        <v>100</v>
      </c>
      <c r="E176" s="56" t="s">
        <v>442</v>
      </c>
      <c r="F176" s="11">
        <v>0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udf27</v>
      </c>
      <c r="J176" s="3" t="str">
        <f t="shared" si="11"/>
        <v>udf27</v>
      </c>
    </row>
    <row r="177" spans="2:10" x14ac:dyDescent="0.25">
      <c r="B177" s="56" t="s">
        <v>443</v>
      </c>
      <c r="C177" s="56" t="s">
        <v>399</v>
      </c>
      <c r="D177" s="11">
        <v>100</v>
      </c>
      <c r="E177" s="56" t="s">
        <v>443</v>
      </c>
      <c r="F177" s="11">
        <v>0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udf28</v>
      </c>
      <c r="J177" s="3" t="str">
        <f t="shared" si="11"/>
        <v>udf28</v>
      </c>
    </row>
    <row r="178" spans="2:10" x14ac:dyDescent="0.25">
      <c r="B178" s="56" t="s">
        <v>444</v>
      </c>
      <c r="C178" s="56" t="s">
        <v>399</v>
      </c>
      <c r="D178" s="11">
        <v>100</v>
      </c>
      <c r="E178" s="56" t="s">
        <v>444</v>
      </c>
      <c r="F178" s="11">
        <v>0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udf29</v>
      </c>
      <c r="J178" s="3" t="str">
        <f t="shared" si="11"/>
        <v>udf29</v>
      </c>
    </row>
    <row r="179" spans="2:10" x14ac:dyDescent="0.25">
      <c r="B179" s="56" t="s">
        <v>445</v>
      </c>
      <c r="C179" s="56" t="s">
        <v>399</v>
      </c>
      <c r="D179" s="11">
        <v>100</v>
      </c>
      <c r="E179" s="56" t="s">
        <v>445</v>
      </c>
      <c r="F179" s="11">
        <v>0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udf30</v>
      </c>
      <c r="J179" s="3" t="str">
        <f t="shared" si="11"/>
        <v>udf30</v>
      </c>
    </row>
    <row r="180" spans="2:10" x14ac:dyDescent="0.25">
      <c r="B180" s="56" t="s">
        <v>884</v>
      </c>
      <c r="C180" s="56" t="s">
        <v>562</v>
      </c>
      <c r="D180" s="11"/>
      <c r="E180" s="56" t="s">
        <v>884</v>
      </c>
      <c r="F180" s="11">
        <v>0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udf31eligibility</v>
      </c>
      <c r="J180" s="3" t="str">
        <f t="shared" si="11"/>
        <v>udf31eligibility</v>
      </c>
    </row>
    <row r="181" spans="2:10" x14ac:dyDescent="0.25">
      <c r="B181" s="56" t="s">
        <v>885</v>
      </c>
      <c r="C181" s="56" t="s">
        <v>562</v>
      </c>
      <c r="D181" s="11"/>
      <c r="E181" s="56" t="s">
        <v>885</v>
      </c>
      <c r="F181" s="11">
        <v>0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udf32eligibility</v>
      </c>
      <c r="J181" s="3" t="str">
        <f t="shared" si="11"/>
        <v>udf32eligibility</v>
      </c>
    </row>
    <row r="182" spans="2:10" x14ac:dyDescent="0.25">
      <c r="B182" s="56" t="s">
        <v>886</v>
      </c>
      <c r="C182" s="56" t="s">
        <v>562</v>
      </c>
      <c r="D182" s="11"/>
      <c r="E182" s="56" t="s">
        <v>886</v>
      </c>
      <c r="F182" s="11">
        <v>0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udf33eligibility</v>
      </c>
      <c r="J182" s="3" t="str">
        <f t="shared" si="11"/>
        <v>udf33eligibility</v>
      </c>
    </row>
    <row r="183" spans="2:10" x14ac:dyDescent="0.25">
      <c r="B183" s="56" t="s">
        <v>887</v>
      </c>
      <c r="C183" s="56" t="s">
        <v>562</v>
      </c>
      <c r="D183" s="11"/>
      <c r="E183" s="56" t="s">
        <v>887</v>
      </c>
      <c r="F183" s="11">
        <v>0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udf34eligibility</v>
      </c>
      <c r="J183" s="3" t="str">
        <f t="shared" si="11"/>
        <v>udf34eligibility</v>
      </c>
    </row>
    <row r="184" spans="2:10" x14ac:dyDescent="0.25">
      <c r="B184" s="56" t="s">
        <v>888</v>
      </c>
      <c r="C184" s="56" t="s">
        <v>562</v>
      </c>
      <c r="D184" s="11"/>
      <c r="E184" s="56" t="s">
        <v>888</v>
      </c>
      <c r="F184" s="11">
        <v>0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udf35eligibility</v>
      </c>
      <c r="J184" s="3" t="str">
        <f t="shared" si="11"/>
        <v>udf35eligibility</v>
      </c>
    </row>
    <row r="185" spans="2:10" x14ac:dyDescent="0.25">
      <c r="B185" s="56" t="s">
        <v>889</v>
      </c>
      <c r="C185" s="56" t="s">
        <v>562</v>
      </c>
      <c r="D185" s="11"/>
      <c r="E185" s="56" t="s">
        <v>889</v>
      </c>
      <c r="F185" s="11">
        <v>0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udf36eligibility</v>
      </c>
      <c r="J185" s="3" t="str">
        <f t="shared" si="11"/>
        <v>udf36eligibility</v>
      </c>
    </row>
    <row r="186" spans="2:10" x14ac:dyDescent="0.25">
      <c r="B186" s="56" t="s">
        <v>890</v>
      </c>
      <c r="C186" s="56" t="s">
        <v>562</v>
      </c>
      <c r="D186" s="11"/>
      <c r="E186" s="56" t="s">
        <v>890</v>
      </c>
      <c r="F186" s="11">
        <v>0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udf37eligibility</v>
      </c>
      <c r="J186" s="3" t="str">
        <f t="shared" si="11"/>
        <v>udf37eligibility</v>
      </c>
    </row>
    <row r="187" spans="2:10" x14ac:dyDescent="0.25">
      <c r="B187" s="56" t="s">
        <v>891</v>
      </c>
      <c r="C187" s="56" t="s">
        <v>562</v>
      </c>
      <c r="D187" s="11"/>
      <c r="E187" s="56" t="s">
        <v>891</v>
      </c>
      <c r="F187" s="11">
        <v>0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udf38eligibility</v>
      </c>
      <c r="J187" s="3" t="str">
        <f t="shared" si="11"/>
        <v>udf38eligibility</v>
      </c>
    </row>
    <row r="188" spans="2:10" x14ac:dyDescent="0.25">
      <c r="B188" s="56" t="s">
        <v>892</v>
      </c>
      <c r="C188" s="56" t="s">
        <v>562</v>
      </c>
      <c r="D188" s="11"/>
      <c r="E188" s="56" t="s">
        <v>892</v>
      </c>
      <c r="F188" s="11">
        <v>0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udf39eligibility</v>
      </c>
      <c r="J188" s="3" t="str">
        <f t="shared" si="11"/>
        <v>udf39eligibility</v>
      </c>
    </row>
    <row r="189" spans="2:10" x14ac:dyDescent="0.25">
      <c r="B189" s="56" t="s">
        <v>893</v>
      </c>
      <c r="C189" s="56" t="s">
        <v>562</v>
      </c>
      <c r="D189" s="11"/>
      <c r="E189" s="56" t="s">
        <v>893</v>
      </c>
      <c r="F189" s="11">
        <v>0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udf40eligibility</v>
      </c>
      <c r="J189" s="3" t="str">
        <f t="shared" si="11"/>
        <v>udf40eligibility</v>
      </c>
    </row>
    <row r="190" spans="2:10" x14ac:dyDescent="0.25">
      <c r="B190" s="56" t="s">
        <v>894</v>
      </c>
      <c r="C190" s="56" t="s">
        <v>400</v>
      </c>
      <c r="D190" s="11"/>
      <c r="E190" s="56" t="s">
        <v>894</v>
      </c>
      <c r="F190" s="11">
        <v>0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udf41eligibility</v>
      </c>
      <c r="J190" s="3" t="str">
        <f t="shared" si="11"/>
        <v>udf41eligibility</v>
      </c>
    </row>
    <row r="191" spans="2:10" x14ac:dyDescent="0.25">
      <c r="B191" s="56" t="s">
        <v>895</v>
      </c>
      <c r="C191" s="56" t="s">
        <v>400</v>
      </c>
      <c r="D191" s="11"/>
      <c r="E191" s="56" t="s">
        <v>895</v>
      </c>
      <c r="F191" s="11">
        <v>0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udf42eligibility</v>
      </c>
      <c r="J191" s="3" t="str">
        <f t="shared" si="11"/>
        <v>udf42eligibility</v>
      </c>
    </row>
    <row r="192" spans="2:10" x14ac:dyDescent="0.25">
      <c r="B192" s="56" t="s">
        <v>896</v>
      </c>
      <c r="C192" s="56" t="s">
        <v>400</v>
      </c>
      <c r="D192" s="11"/>
      <c r="E192" s="56" t="s">
        <v>896</v>
      </c>
      <c r="F192" s="11">
        <v>0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udf43eligibility</v>
      </c>
      <c r="J192" s="3" t="str">
        <f t="shared" si="11"/>
        <v>udf43eligibility</v>
      </c>
    </row>
    <row r="193" spans="2:10" x14ac:dyDescent="0.25">
      <c r="B193" s="56" t="s">
        <v>897</v>
      </c>
      <c r="C193" s="56" t="s">
        <v>400</v>
      </c>
      <c r="D193" s="11"/>
      <c r="E193" s="56" t="s">
        <v>897</v>
      </c>
      <c r="F193" s="11">
        <v>0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udf44eligibility</v>
      </c>
      <c r="J193" s="3" t="str">
        <f t="shared" si="11"/>
        <v>udf44eligibility</v>
      </c>
    </row>
    <row r="194" spans="2:10" x14ac:dyDescent="0.25">
      <c r="B194" s="56" t="s">
        <v>898</v>
      </c>
      <c r="C194" s="56" t="s">
        <v>400</v>
      </c>
      <c r="D194" s="11"/>
      <c r="E194" s="56" t="s">
        <v>898</v>
      </c>
      <c r="F194" s="11">
        <v>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udf45eligibility</v>
      </c>
      <c r="J194" s="3" t="str">
        <f t="shared" si="11"/>
        <v>udf45eligibility</v>
      </c>
    </row>
    <row r="195" spans="2:10" x14ac:dyDescent="0.25">
      <c r="B195" s="56" t="s">
        <v>899</v>
      </c>
      <c r="C195" s="56" t="s">
        <v>400</v>
      </c>
      <c r="D195" s="11"/>
      <c r="E195" s="56" t="s">
        <v>899</v>
      </c>
      <c r="F195" s="11">
        <v>0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udf46eligibility</v>
      </c>
      <c r="J195" s="3" t="str">
        <f t="shared" ref="J195:J258" si="15">SUBSTITUTE(E195,"_","")</f>
        <v>udf46eligibility</v>
      </c>
    </row>
    <row r="196" spans="2:10" x14ac:dyDescent="0.25">
      <c r="B196" s="56" t="s">
        <v>900</v>
      </c>
      <c r="C196" s="56" t="s">
        <v>400</v>
      </c>
      <c r="D196" s="11"/>
      <c r="E196" s="56" t="s">
        <v>900</v>
      </c>
      <c r="F196" s="11">
        <v>0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udf47eligibility</v>
      </c>
      <c r="J196" s="3" t="str">
        <f t="shared" si="15"/>
        <v>udf47eligibility</v>
      </c>
    </row>
    <row r="197" spans="2:10" x14ac:dyDescent="0.25">
      <c r="B197" s="56" t="s">
        <v>901</v>
      </c>
      <c r="C197" s="56" t="s">
        <v>400</v>
      </c>
      <c r="D197" s="11"/>
      <c r="E197" s="56" t="s">
        <v>901</v>
      </c>
      <c r="F197" s="11">
        <v>0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udf48eligibility</v>
      </c>
      <c r="J197" s="3" t="str">
        <f t="shared" si="15"/>
        <v>udf48eligibility</v>
      </c>
    </row>
    <row r="198" spans="2:10" x14ac:dyDescent="0.25">
      <c r="B198" s="56" t="s">
        <v>902</v>
      </c>
      <c r="C198" s="56" t="s">
        <v>400</v>
      </c>
      <c r="D198" s="11"/>
      <c r="E198" s="56" t="s">
        <v>902</v>
      </c>
      <c r="F198" s="11">
        <v>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udf49eligibility</v>
      </c>
      <c r="J198" s="3" t="str">
        <f t="shared" si="15"/>
        <v>udf49eligibility</v>
      </c>
    </row>
    <row r="199" spans="2:10" x14ac:dyDescent="0.25">
      <c r="B199" s="56" t="s">
        <v>903</v>
      </c>
      <c r="C199" s="56" t="s">
        <v>400</v>
      </c>
      <c r="D199" s="11"/>
      <c r="E199" s="56" t="s">
        <v>903</v>
      </c>
      <c r="F199" s="11">
        <v>0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udf50eligibility</v>
      </c>
      <c r="J199" s="3" t="str">
        <f t="shared" si="15"/>
        <v>udf50eligibility</v>
      </c>
    </row>
    <row r="200" spans="2:10" x14ac:dyDescent="0.25">
      <c r="B200" s="56" t="s">
        <v>904</v>
      </c>
      <c r="C200" s="56" t="s">
        <v>399</v>
      </c>
      <c r="D200" s="11">
        <v>100</v>
      </c>
      <c r="E200" s="56" t="s">
        <v>904</v>
      </c>
      <c r="F200" s="11">
        <v>0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udf51eligibility</v>
      </c>
      <c r="J200" s="3" t="str">
        <f t="shared" si="15"/>
        <v>udf51eligibility</v>
      </c>
    </row>
    <row r="201" spans="2:10" x14ac:dyDescent="0.25">
      <c r="B201" s="56" t="s">
        <v>905</v>
      </c>
      <c r="C201" s="56" t="s">
        <v>399</v>
      </c>
      <c r="D201" s="11">
        <v>100</v>
      </c>
      <c r="E201" s="56" t="s">
        <v>905</v>
      </c>
      <c r="F201" s="11">
        <v>0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udf52eligibility</v>
      </c>
      <c r="J201" s="3" t="str">
        <f t="shared" si="15"/>
        <v>udf52eligibility</v>
      </c>
    </row>
    <row r="202" spans="2:10" x14ac:dyDescent="0.25">
      <c r="B202" s="56" t="s">
        <v>906</v>
      </c>
      <c r="C202" s="56" t="s">
        <v>399</v>
      </c>
      <c r="D202" s="11">
        <v>100</v>
      </c>
      <c r="E202" s="56" t="s">
        <v>906</v>
      </c>
      <c r="F202" s="11">
        <v>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udf53eligibility</v>
      </c>
      <c r="J202" s="3" t="str">
        <f t="shared" si="15"/>
        <v>udf53eligibility</v>
      </c>
    </row>
    <row r="203" spans="2:10" x14ac:dyDescent="0.25">
      <c r="B203" s="56" t="s">
        <v>907</v>
      </c>
      <c r="C203" s="56" t="s">
        <v>399</v>
      </c>
      <c r="D203" s="11">
        <v>100</v>
      </c>
      <c r="E203" s="56" t="s">
        <v>907</v>
      </c>
      <c r="F203" s="11">
        <v>0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udf54eligibility</v>
      </c>
      <c r="J203" s="3" t="str">
        <f t="shared" si="15"/>
        <v>udf54eligibility</v>
      </c>
    </row>
    <row r="204" spans="2:10" x14ac:dyDescent="0.25">
      <c r="B204" s="56" t="s">
        <v>908</v>
      </c>
      <c r="C204" s="56" t="s">
        <v>399</v>
      </c>
      <c r="D204" s="11">
        <v>100</v>
      </c>
      <c r="E204" s="56" t="s">
        <v>908</v>
      </c>
      <c r="F204" s="11">
        <v>0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udf55eligibility</v>
      </c>
      <c r="J204" s="3" t="str">
        <f t="shared" si="15"/>
        <v>udf55eligibility</v>
      </c>
    </row>
    <row r="205" spans="2:10" x14ac:dyDescent="0.25">
      <c r="B205" s="56" t="s">
        <v>909</v>
      </c>
      <c r="C205" s="56" t="s">
        <v>399</v>
      </c>
      <c r="D205" s="11">
        <v>100</v>
      </c>
      <c r="E205" s="56" t="s">
        <v>909</v>
      </c>
      <c r="F205" s="11">
        <v>0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udf56eligibility</v>
      </c>
      <c r="J205" s="3" t="str">
        <f t="shared" si="15"/>
        <v>udf56eligibility</v>
      </c>
    </row>
    <row r="206" spans="2:10" x14ac:dyDescent="0.25">
      <c r="B206" s="56" t="s">
        <v>910</v>
      </c>
      <c r="C206" s="56" t="s">
        <v>399</v>
      </c>
      <c r="D206" s="11">
        <v>100</v>
      </c>
      <c r="E206" s="56" t="s">
        <v>910</v>
      </c>
      <c r="F206" s="11">
        <v>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udf57eligibility</v>
      </c>
      <c r="J206" s="3" t="str">
        <f t="shared" si="15"/>
        <v>udf57eligibility</v>
      </c>
    </row>
    <row r="207" spans="2:10" x14ac:dyDescent="0.25">
      <c r="B207" s="56" t="s">
        <v>911</v>
      </c>
      <c r="C207" s="56" t="s">
        <v>399</v>
      </c>
      <c r="D207" s="11">
        <v>100</v>
      </c>
      <c r="E207" s="56" t="s">
        <v>911</v>
      </c>
      <c r="F207" s="11">
        <v>0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udf58eligibility</v>
      </c>
      <c r="J207" s="3" t="str">
        <f t="shared" si="15"/>
        <v>udf58eligibility</v>
      </c>
    </row>
    <row r="208" spans="2:10" x14ac:dyDescent="0.25">
      <c r="B208" s="56" t="s">
        <v>912</v>
      </c>
      <c r="C208" s="56" t="s">
        <v>399</v>
      </c>
      <c r="D208" s="11">
        <v>100</v>
      </c>
      <c r="E208" s="56" t="s">
        <v>912</v>
      </c>
      <c r="F208" s="11">
        <v>0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udf59eligibility</v>
      </c>
      <c r="J208" s="3" t="str">
        <f t="shared" si="15"/>
        <v>udf59eligibility</v>
      </c>
    </row>
    <row r="209" spans="2:10" x14ac:dyDescent="0.25">
      <c r="B209" s="56" t="s">
        <v>913</v>
      </c>
      <c r="C209" s="56" t="s">
        <v>399</v>
      </c>
      <c r="D209" s="11">
        <v>100</v>
      </c>
      <c r="E209" s="56" t="s">
        <v>913</v>
      </c>
      <c r="F209" s="11">
        <v>0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udf60eligibility</v>
      </c>
      <c r="J209" s="3" t="str">
        <f t="shared" si="15"/>
        <v>udf60eligibility</v>
      </c>
    </row>
    <row r="210" spans="2:10" x14ac:dyDescent="0.25">
      <c r="B210" s="56" t="s">
        <v>914</v>
      </c>
      <c r="C210" s="56" t="s">
        <v>399</v>
      </c>
      <c r="D210" s="11">
        <v>100</v>
      </c>
      <c r="E210" s="56" t="s">
        <v>914</v>
      </c>
      <c r="F210" s="11">
        <v>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udf61eligibility</v>
      </c>
      <c r="J210" s="3" t="str">
        <f t="shared" si="15"/>
        <v>udf61eligibility</v>
      </c>
    </row>
    <row r="211" spans="2:10" x14ac:dyDescent="0.25">
      <c r="B211" s="56" t="s">
        <v>915</v>
      </c>
      <c r="C211" s="56" t="s">
        <v>399</v>
      </c>
      <c r="D211" s="11">
        <v>100</v>
      </c>
      <c r="E211" s="56" t="s">
        <v>915</v>
      </c>
      <c r="F211" s="11">
        <v>0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udf62eligibility</v>
      </c>
      <c r="J211" s="3" t="str">
        <f t="shared" si="15"/>
        <v>udf62eligibility</v>
      </c>
    </row>
    <row r="212" spans="2:10" x14ac:dyDescent="0.25">
      <c r="B212" s="56" t="s">
        <v>916</v>
      </c>
      <c r="C212" s="56" t="s">
        <v>399</v>
      </c>
      <c r="D212" s="11">
        <v>100</v>
      </c>
      <c r="E212" s="56" t="s">
        <v>916</v>
      </c>
      <c r="F212" s="11">
        <v>0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udf63eligibility</v>
      </c>
      <c r="J212" s="3" t="str">
        <f t="shared" si="15"/>
        <v>udf63eligibility</v>
      </c>
    </row>
    <row r="213" spans="2:10" x14ac:dyDescent="0.25">
      <c r="B213" s="56" t="s">
        <v>917</v>
      </c>
      <c r="C213" s="56" t="s">
        <v>399</v>
      </c>
      <c r="D213" s="11">
        <v>100</v>
      </c>
      <c r="E213" s="56" t="s">
        <v>917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udf64eligibility</v>
      </c>
      <c r="J213" s="3" t="str">
        <f t="shared" si="15"/>
        <v>udf64eligibility</v>
      </c>
    </row>
    <row r="214" spans="2:10" x14ac:dyDescent="0.25">
      <c r="B214" s="56" t="s">
        <v>918</v>
      </c>
      <c r="C214" s="56" t="s">
        <v>399</v>
      </c>
      <c r="D214" s="11">
        <v>100</v>
      </c>
      <c r="E214" s="56" t="s">
        <v>918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udf65eligibility</v>
      </c>
      <c r="J214" s="3" t="str">
        <f t="shared" si="15"/>
        <v>udf65eligibility</v>
      </c>
    </row>
    <row r="215" spans="2:10" x14ac:dyDescent="0.25">
      <c r="B215" s="56" t="s">
        <v>919</v>
      </c>
      <c r="C215" s="56" t="s">
        <v>399</v>
      </c>
      <c r="D215" s="11">
        <v>100</v>
      </c>
      <c r="E215" s="56" t="s">
        <v>919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udf66eligibility</v>
      </c>
      <c r="J215" s="3" t="str">
        <f t="shared" si="15"/>
        <v>udf66eligibility</v>
      </c>
    </row>
    <row r="216" spans="2:10" x14ac:dyDescent="0.25">
      <c r="B216" s="56" t="s">
        <v>920</v>
      </c>
      <c r="C216" s="56" t="s">
        <v>399</v>
      </c>
      <c r="D216" s="11">
        <v>100</v>
      </c>
      <c r="E216" s="56" t="s">
        <v>920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udf67eligibility</v>
      </c>
      <c r="J216" s="3" t="str">
        <f t="shared" si="15"/>
        <v>udf67eligibility</v>
      </c>
    </row>
    <row r="217" spans="2:10" x14ac:dyDescent="0.25">
      <c r="B217" s="56" t="s">
        <v>921</v>
      </c>
      <c r="C217" s="56" t="s">
        <v>399</v>
      </c>
      <c r="D217" s="11">
        <v>100</v>
      </c>
      <c r="E217" s="56" t="s">
        <v>921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udf68eligibility</v>
      </c>
      <c r="J217" s="3" t="str">
        <f t="shared" si="15"/>
        <v>udf68eligibility</v>
      </c>
    </row>
    <row r="218" spans="2:10" x14ac:dyDescent="0.25">
      <c r="B218" s="56" t="s">
        <v>922</v>
      </c>
      <c r="C218" s="56" t="s">
        <v>399</v>
      </c>
      <c r="D218" s="11">
        <v>100</v>
      </c>
      <c r="E218" s="56" t="s">
        <v>922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udf69eligibility</v>
      </c>
      <c r="J218" s="3" t="str">
        <f t="shared" si="15"/>
        <v>udf69eligibility</v>
      </c>
    </row>
    <row r="219" spans="2:10" x14ac:dyDescent="0.25">
      <c r="B219" s="56" t="s">
        <v>923</v>
      </c>
      <c r="C219" s="56" t="s">
        <v>399</v>
      </c>
      <c r="D219" s="11">
        <v>100</v>
      </c>
      <c r="E219" s="56" t="s">
        <v>923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udf70eligibility</v>
      </c>
      <c r="J219" s="3" t="str">
        <f t="shared" si="15"/>
        <v>udf70eligibility</v>
      </c>
    </row>
    <row r="220" spans="2:10" x14ac:dyDescent="0.25">
      <c r="B220" s="56" t="s">
        <v>924</v>
      </c>
      <c r="C220" s="56" t="s">
        <v>399</v>
      </c>
      <c r="D220" s="11">
        <v>100</v>
      </c>
      <c r="E220" s="56" t="s">
        <v>924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udf1osha</v>
      </c>
      <c r="J220" s="3" t="str">
        <f t="shared" si="15"/>
        <v>udf1osha</v>
      </c>
    </row>
    <row r="221" spans="2:10" x14ac:dyDescent="0.25">
      <c r="B221" s="56" t="s">
        <v>925</v>
      </c>
      <c r="C221" s="56" t="s">
        <v>399</v>
      </c>
      <c r="D221" s="11">
        <v>100</v>
      </c>
      <c r="E221" s="56" t="s">
        <v>925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udf2osha</v>
      </c>
      <c r="J221" s="3" t="str">
        <f t="shared" si="15"/>
        <v>udf2osha</v>
      </c>
    </row>
    <row r="222" spans="2:10" x14ac:dyDescent="0.25">
      <c r="B222" s="56" t="s">
        <v>926</v>
      </c>
      <c r="C222" s="56" t="s">
        <v>399</v>
      </c>
      <c r="D222" s="11">
        <v>100</v>
      </c>
      <c r="E222" s="56" t="s">
        <v>926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udf3osha</v>
      </c>
      <c r="J222" s="3" t="str">
        <f t="shared" si="15"/>
        <v>udf3osha</v>
      </c>
    </row>
    <row r="223" spans="2:10" x14ac:dyDescent="0.25">
      <c r="B223" s="56" t="s">
        <v>927</v>
      </c>
      <c r="C223" s="56" t="s">
        <v>399</v>
      </c>
      <c r="D223" s="11">
        <v>100</v>
      </c>
      <c r="E223" s="56" t="s">
        <v>927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udf4osha</v>
      </c>
      <c r="J223" s="3" t="str">
        <f t="shared" si="15"/>
        <v>udf4osha</v>
      </c>
    </row>
    <row r="224" spans="2:10" x14ac:dyDescent="0.25">
      <c r="B224" s="56" t="s">
        <v>928</v>
      </c>
      <c r="C224" s="56" t="s">
        <v>399</v>
      </c>
      <c r="D224" s="11">
        <v>100</v>
      </c>
      <c r="E224" s="56" t="s">
        <v>928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udf5osha</v>
      </c>
      <c r="J224" s="3" t="str">
        <f t="shared" si="15"/>
        <v>udf5osha</v>
      </c>
    </row>
    <row r="225" spans="2:10" x14ac:dyDescent="0.25">
      <c r="B225" s="56" t="s">
        <v>929</v>
      </c>
      <c r="C225" s="56" t="s">
        <v>399</v>
      </c>
      <c r="D225" s="11">
        <v>100</v>
      </c>
      <c r="E225" s="56" t="s">
        <v>929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udf6osha</v>
      </c>
      <c r="J225" s="3" t="str">
        <f t="shared" si="15"/>
        <v>udf6osha</v>
      </c>
    </row>
    <row r="226" spans="2:10" x14ac:dyDescent="0.25">
      <c r="B226" s="56" t="s">
        <v>930</v>
      </c>
      <c r="C226" s="56" t="s">
        <v>399</v>
      </c>
      <c r="D226" s="11">
        <v>100</v>
      </c>
      <c r="E226" s="56" t="s">
        <v>930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udf7osha</v>
      </c>
      <c r="J226" s="3" t="str">
        <f t="shared" si="15"/>
        <v>udf7osha</v>
      </c>
    </row>
    <row r="227" spans="2:10" x14ac:dyDescent="0.25">
      <c r="B227" s="56" t="s">
        <v>931</v>
      </c>
      <c r="C227" s="56" t="s">
        <v>399</v>
      </c>
      <c r="D227" s="11">
        <v>100</v>
      </c>
      <c r="E227" s="56" t="s">
        <v>931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udf8osha</v>
      </c>
      <c r="J227" s="3" t="str">
        <f t="shared" si="15"/>
        <v>udf8osha</v>
      </c>
    </row>
    <row r="228" spans="2:10" x14ac:dyDescent="0.25">
      <c r="B228" s="56" t="s">
        <v>932</v>
      </c>
      <c r="C228" s="56" t="s">
        <v>399</v>
      </c>
      <c r="D228" s="11">
        <v>100</v>
      </c>
      <c r="E228" s="56" t="s">
        <v>932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udf9osha</v>
      </c>
      <c r="J228" s="3" t="str">
        <f t="shared" si="15"/>
        <v>udf9osha</v>
      </c>
    </row>
    <row r="229" spans="2:10" x14ac:dyDescent="0.25">
      <c r="B229" s="56" t="s">
        <v>933</v>
      </c>
      <c r="C229" s="56" t="s">
        <v>399</v>
      </c>
      <c r="D229" s="45">
        <v>100</v>
      </c>
      <c r="E229" s="56" t="s">
        <v>933</v>
      </c>
      <c r="F229" s="11">
        <v>0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udf10osha</v>
      </c>
      <c r="J229" s="3" t="str">
        <f t="shared" si="15"/>
        <v>udf10osha</v>
      </c>
    </row>
    <row r="230" spans="2:10" x14ac:dyDescent="0.25">
      <c r="B230" s="56" t="s">
        <v>934</v>
      </c>
      <c r="C230" s="56" t="s">
        <v>399</v>
      </c>
      <c r="D230" s="11">
        <v>100</v>
      </c>
      <c r="E230" s="56" t="s">
        <v>934</v>
      </c>
      <c r="F230" s="11">
        <v>0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udf11osha</v>
      </c>
      <c r="J230" s="3" t="str">
        <f t="shared" si="15"/>
        <v>udf11osha</v>
      </c>
    </row>
    <row r="231" spans="2:10" x14ac:dyDescent="0.25">
      <c r="B231" s="56" t="s">
        <v>935</v>
      </c>
      <c r="C231" s="56" t="s">
        <v>399</v>
      </c>
      <c r="D231" s="11">
        <v>100</v>
      </c>
      <c r="E231" s="56" t="s">
        <v>935</v>
      </c>
      <c r="F231" s="11">
        <v>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udf12osha</v>
      </c>
      <c r="J231" s="3" t="str">
        <f t="shared" si="15"/>
        <v>udf12osha</v>
      </c>
    </row>
    <row r="232" spans="2:10" x14ac:dyDescent="0.25">
      <c r="B232" s="56" t="s">
        <v>936</v>
      </c>
      <c r="C232" s="56" t="s">
        <v>399</v>
      </c>
      <c r="D232" s="11">
        <v>100</v>
      </c>
      <c r="E232" s="56" t="s">
        <v>936</v>
      </c>
      <c r="F232" s="11">
        <v>0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udf13osha</v>
      </c>
      <c r="J232" s="3" t="str">
        <f t="shared" si="15"/>
        <v>udf13osha</v>
      </c>
    </row>
    <row r="233" spans="2:10" x14ac:dyDescent="0.25">
      <c r="B233" s="56" t="s">
        <v>937</v>
      </c>
      <c r="C233" s="56" t="s">
        <v>399</v>
      </c>
      <c r="D233" s="11">
        <v>100</v>
      </c>
      <c r="E233" s="56" t="s">
        <v>937</v>
      </c>
      <c r="F233" s="11">
        <v>0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udf14osha</v>
      </c>
      <c r="J233" s="3" t="str">
        <f t="shared" si="15"/>
        <v>udf14osha</v>
      </c>
    </row>
    <row r="234" spans="2:10" x14ac:dyDescent="0.25">
      <c r="B234" s="56" t="s">
        <v>938</v>
      </c>
      <c r="C234" s="56" t="s">
        <v>399</v>
      </c>
      <c r="D234" s="11">
        <v>100</v>
      </c>
      <c r="E234" s="56" t="s">
        <v>938</v>
      </c>
      <c r="F234" s="11">
        <v>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udf15osha</v>
      </c>
      <c r="J234" s="3" t="str">
        <f t="shared" si="15"/>
        <v>udf15osha</v>
      </c>
    </row>
    <row r="235" spans="2:10" x14ac:dyDescent="0.25">
      <c r="B235" s="56" t="s">
        <v>939</v>
      </c>
      <c r="C235" s="56" t="s">
        <v>399</v>
      </c>
      <c r="D235" s="11">
        <v>100</v>
      </c>
      <c r="E235" s="56" t="s">
        <v>939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udf31osha</v>
      </c>
      <c r="J235" s="3" t="str">
        <f t="shared" si="15"/>
        <v>udf31osha</v>
      </c>
    </row>
    <row r="236" spans="2:10" x14ac:dyDescent="0.25">
      <c r="B236" s="56" t="s">
        <v>940</v>
      </c>
      <c r="C236" s="56" t="s">
        <v>399</v>
      </c>
      <c r="D236" s="11">
        <v>100</v>
      </c>
      <c r="E236" s="56" t="s">
        <v>940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udf32osha</v>
      </c>
      <c r="J236" s="3" t="str">
        <f t="shared" si="15"/>
        <v>udf32osha</v>
      </c>
    </row>
    <row r="237" spans="2:10" x14ac:dyDescent="0.25">
      <c r="B237" s="56" t="s">
        <v>941</v>
      </c>
      <c r="C237" s="56" t="s">
        <v>399</v>
      </c>
      <c r="D237" s="11">
        <v>100</v>
      </c>
      <c r="E237" s="56" t="s">
        <v>941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udf33osha</v>
      </c>
      <c r="J237" s="3" t="str">
        <f t="shared" si="15"/>
        <v>udf33osha</v>
      </c>
    </row>
    <row r="238" spans="2:10" x14ac:dyDescent="0.25">
      <c r="B238" s="56" t="s">
        <v>942</v>
      </c>
      <c r="C238" s="56" t="s">
        <v>399</v>
      </c>
      <c r="D238" s="11">
        <v>100</v>
      </c>
      <c r="E238" s="56" t="s">
        <v>942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udf34osha</v>
      </c>
      <c r="J238" s="3" t="str">
        <f t="shared" si="15"/>
        <v>udf34osha</v>
      </c>
    </row>
    <row r="239" spans="2:10" x14ac:dyDescent="0.25">
      <c r="B239" s="56" t="s">
        <v>943</v>
      </c>
      <c r="C239" s="56" t="s">
        <v>399</v>
      </c>
      <c r="D239" s="11">
        <v>100</v>
      </c>
      <c r="E239" s="56" t="s">
        <v>943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udf35osha</v>
      </c>
      <c r="J239" s="3" t="str">
        <f t="shared" si="15"/>
        <v>udf35osha</v>
      </c>
    </row>
    <row r="240" spans="2:10" x14ac:dyDescent="0.25">
      <c r="B240" s="56" t="s">
        <v>944</v>
      </c>
      <c r="C240" s="56" t="s">
        <v>399</v>
      </c>
      <c r="D240" s="11">
        <v>100</v>
      </c>
      <c r="E240" s="56" t="s">
        <v>944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udf36osha</v>
      </c>
      <c r="J240" s="3" t="str">
        <f t="shared" si="15"/>
        <v>udf36osha</v>
      </c>
    </row>
    <row r="241" spans="2:10" x14ac:dyDescent="0.25">
      <c r="B241" s="56" t="s">
        <v>945</v>
      </c>
      <c r="C241" s="56" t="s">
        <v>399</v>
      </c>
      <c r="D241" s="11">
        <v>100</v>
      </c>
      <c r="E241" s="56" t="s">
        <v>945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udf37osha</v>
      </c>
      <c r="J241" s="3" t="str">
        <f t="shared" si="15"/>
        <v>udf37osha</v>
      </c>
    </row>
    <row r="242" spans="2:10" x14ac:dyDescent="0.25">
      <c r="B242" s="56" t="s">
        <v>946</v>
      </c>
      <c r="C242" s="56" t="s">
        <v>399</v>
      </c>
      <c r="D242" s="11">
        <v>100</v>
      </c>
      <c r="E242" s="56" t="s">
        <v>946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udf38osha</v>
      </c>
      <c r="J242" s="3" t="str">
        <f t="shared" si="15"/>
        <v>udf38osha</v>
      </c>
    </row>
    <row r="243" spans="2:10" x14ac:dyDescent="0.25">
      <c r="B243" s="56" t="s">
        <v>947</v>
      </c>
      <c r="C243" s="56" t="s">
        <v>399</v>
      </c>
      <c r="D243" s="11">
        <v>100</v>
      </c>
      <c r="E243" s="56" t="s">
        <v>947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udf39osha</v>
      </c>
      <c r="J243" s="3" t="str">
        <f t="shared" si="15"/>
        <v>udf39osha</v>
      </c>
    </row>
    <row r="244" spans="2:10" x14ac:dyDescent="0.25">
      <c r="B244" s="56" t="s">
        <v>948</v>
      </c>
      <c r="C244" s="56" t="s">
        <v>399</v>
      </c>
      <c r="D244" s="11">
        <v>100</v>
      </c>
      <c r="E244" s="56" t="s">
        <v>948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udf40osha</v>
      </c>
      <c r="J244" s="3" t="str">
        <f t="shared" si="15"/>
        <v>udf40osha</v>
      </c>
    </row>
    <row r="245" spans="2:10" x14ac:dyDescent="0.25">
      <c r="B245" s="56" t="s">
        <v>949</v>
      </c>
      <c r="C245" s="56" t="s">
        <v>399</v>
      </c>
      <c r="D245" s="11">
        <v>100</v>
      </c>
      <c r="E245" s="56" t="s">
        <v>949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udf41osha</v>
      </c>
      <c r="J245" s="3" t="str">
        <f t="shared" si="15"/>
        <v>udf41osha</v>
      </c>
    </row>
    <row r="246" spans="2:10" x14ac:dyDescent="0.25">
      <c r="B246" s="56" t="s">
        <v>950</v>
      </c>
      <c r="C246" s="56" t="s">
        <v>399</v>
      </c>
      <c r="D246" s="11">
        <v>100</v>
      </c>
      <c r="E246" s="56" t="s">
        <v>950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udf42osha</v>
      </c>
      <c r="J246" s="3" t="str">
        <f t="shared" si="15"/>
        <v>udf42osha</v>
      </c>
    </row>
    <row r="247" spans="2:10" x14ac:dyDescent="0.25">
      <c r="B247" s="56" t="s">
        <v>951</v>
      </c>
      <c r="C247" s="56" t="s">
        <v>399</v>
      </c>
      <c r="D247" s="11">
        <v>100</v>
      </c>
      <c r="E247" s="56" t="s">
        <v>951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udf43osha</v>
      </c>
      <c r="J247" s="3" t="str">
        <f t="shared" si="15"/>
        <v>udf43osha</v>
      </c>
    </row>
    <row r="248" spans="2:10" x14ac:dyDescent="0.25">
      <c r="B248" s="56" t="s">
        <v>952</v>
      </c>
      <c r="C248" s="56" t="s">
        <v>399</v>
      </c>
      <c r="D248" s="11">
        <v>100</v>
      </c>
      <c r="E248" s="56" t="s">
        <v>952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udf44osha</v>
      </c>
      <c r="J248" s="3" t="str">
        <f t="shared" si="15"/>
        <v>udf44osha</v>
      </c>
    </row>
    <row r="249" spans="2:10" x14ac:dyDescent="0.25">
      <c r="B249" s="56" t="s">
        <v>953</v>
      </c>
      <c r="C249" s="56" t="s">
        <v>399</v>
      </c>
      <c r="D249" s="11">
        <v>100</v>
      </c>
      <c r="E249" s="56" t="s">
        <v>953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udf45osha</v>
      </c>
      <c r="J249" s="3" t="str">
        <f t="shared" si="15"/>
        <v>udf45osha</v>
      </c>
    </row>
    <row r="250" spans="2:10" x14ac:dyDescent="0.25">
      <c r="B250" s="56" t="s">
        <v>954</v>
      </c>
      <c r="C250" s="56" t="s">
        <v>399</v>
      </c>
      <c r="D250" s="11">
        <v>100</v>
      </c>
      <c r="E250" s="56" t="s">
        <v>954</v>
      </c>
      <c r="F250" s="11">
        <v>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udf46osha</v>
      </c>
      <c r="J250" s="3" t="str">
        <f t="shared" si="15"/>
        <v>udf46osha</v>
      </c>
    </row>
    <row r="251" spans="2:10" x14ac:dyDescent="0.25">
      <c r="B251" s="56" t="s">
        <v>955</v>
      </c>
      <c r="C251" s="56" t="s">
        <v>399</v>
      </c>
      <c r="D251" s="11">
        <v>100</v>
      </c>
      <c r="E251" s="56" t="s">
        <v>955</v>
      </c>
      <c r="F251" s="11">
        <v>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udf47osha</v>
      </c>
      <c r="J251" s="3" t="str">
        <f t="shared" si="15"/>
        <v>udf47osha</v>
      </c>
    </row>
    <row r="252" spans="2:10" x14ac:dyDescent="0.25">
      <c r="B252" s="56" t="s">
        <v>956</v>
      </c>
      <c r="C252" s="56" t="s">
        <v>399</v>
      </c>
      <c r="D252" s="11">
        <v>100</v>
      </c>
      <c r="E252" s="56" t="s">
        <v>956</v>
      </c>
      <c r="F252" s="11">
        <v>0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udf48osha</v>
      </c>
      <c r="J252" s="3" t="str">
        <f t="shared" si="15"/>
        <v>udf48osha</v>
      </c>
    </row>
    <row r="253" spans="2:10" x14ac:dyDescent="0.25">
      <c r="B253" s="56" t="s">
        <v>957</v>
      </c>
      <c r="C253" s="56" t="s">
        <v>399</v>
      </c>
      <c r="D253" s="11">
        <v>100</v>
      </c>
      <c r="E253" s="56" t="s">
        <v>957</v>
      </c>
      <c r="F253" s="11">
        <v>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udf49osha</v>
      </c>
      <c r="J253" s="3" t="str">
        <f t="shared" si="15"/>
        <v>udf49osha</v>
      </c>
    </row>
    <row r="254" spans="2:10" x14ac:dyDescent="0.25">
      <c r="B254" s="56" t="s">
        <v>958</v>
      </c>
      <c r="C254" s="56" t="s">
        <v>399</v>
      </c>
      <c r="D254" s="11">
        <v>100</v>
      </c>
      <c r="E254" s="56" t="s">
        <v>958</v>
      </c>
      <c r="F254" s="11">
        <v>0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udf50osha</v>
      </c>
      <c r="J254" s="3" t="str">
        <f t="shared" si="15"/>
        <v>udf50osha</v>
      </c>
    </row>
    <row r="255" spans="2:10" x14ac:dyDescent="0.25">
      <c r="B255" s="56" t="s">
        <v>650</v>
      </c>
      <c r="C255" s="56" t="s">
        <v>399</v>
      </c>
      <c r="D255" s="11">
        <v>1</v>
      </c>
      <c r="E255" s="56" t="s">
        <v>650</v>
      </c>
      <c r="F255" s="11">
        <v>1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dwmembermatch</v>
      </c>
      <c r="J255" s="3" t="str">
        <f t="shared" si="15"/>
        <v>dwmembermatch</v>
      </c>
    </row>
    <row r="256" spans="2:10" x14ac:dyDescent="0.25">
      <c r="B256" s="56" t="s">
        <v>651</v>
      </c>
      <c r="C256" s="56" t="s">
        <v>400</v>
      </c>
      <c r="D256" s="11"/>
      <c r="E256" s="56" t="s">
        <v>651</v>
      </c>
      <c r="F256" s="11">
        <v>10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dwcreateddate</v>
      </c>
      <c r="J256" s="3" t="str">
        <f t="shared" si="15"/>
        <v>dwcreateddate</v>
      </c>
    </row>
    <row r="257" spans="2:10" x14ac:dyDescent="0.25">
      <c r="B257" s="56" t="s">
        <v>652</v>
      </c>
      <c r="C257" s="56" t="s">
        <v>399</v>
      </c>
      <c r="D257" s="11">
        <v>10</v>
      </c>
      <c r="E257" s="56" t="s">
        <v>652</v>
      </c>
      <c r="F257" s="11">
        <v>10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dwdatathroughdate</v>
      </c>
      <c r="J257" s="3" t="str">
        <f t="shared" si="15"/>
        <v>dwdatathroughdate</v>
      </c>
    </row>
    <row r="258" spans="2:10" x14ac:dyDescent="0.25">
      <c r="B258" s="56" t="s">
        <v>437</v>
      </c>
      <c r="C258" s="56" t="s">
        <v>458</v>
      </c>
      <c r="D258" s="11">
        <v>100</v>
      </c>
      <c r="E258" s="56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56" t="s">
        <v>438</v>
      </c>
      <c r="C259" s="56" t="s">
        <v>458</v>
      </c>
      <c r="D259" s="11">
        <v>100</v>
      </c>
      <c r="E259" s="56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56" t="s">
        <v>439</v>
      </c>
      <c r="C260" s="56" t="s">
        <v>458</v>
      </c>
      <c r="D260" s="11">
        <v>100</v>
      </c>
      <c r="E260" s="56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56" t="s">
        <v>440</v>
      </c>
      <c r="C261" s="56" t="s">
        <v>458</v>
      </c>
      <c r="D261" s="11">
        <v>100</v>
      </c>
      <c r="E261" s="56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56" t="s">
        <v>441</v>
      </c>
      <c r="C262" s="56" t="s">
        <v>458</v>
      </c>
      <c r="D262" s="11">
        <v>100</v>
      </c>
      <c r="E262" s="56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56" t="s">
        <v>442</v>
      </c>
      <c r="C263" s="56" t="s">
        <v>458</v>
      </c>
      <c r="D263" s="11">
        <v>100</v>
      </c>
      <c r="E263" s="56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56" t="s">
        <v>443</v>
      </c>
      <c r="C264" s="56" t="s">
        <v>458</v>
      </c>
      <c r="D264" s="11">
        <v>100</v>
      </c>
      <c r="E264" s="56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56" t="s">
        <v>444</v>
      </c>
      <c r="C265" s="56" t="s">
        <v>458</v>
      </c>
      <c r="D265" s="11">
        <v>100</v>
      </c>
      <c r="E265" s="56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56" t="s">
        <v>445</v>
      </c>
      <c r="C266" s="56" t="s">
        <v>458</v>
      </c>
      <c r="D266" s="11">
        <v>100</v>
      </c>
      <c r="E266" s="56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56" t="s">
        <v>446</v>
      </c>
      <c r="C267" s="56" t="s">
        <v>458</v>
      </c>
      <c r="D267" s="11">
        <v>100</v>
      </c>
      <c r="E267" s="56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56" t="s">
        <v>447</v>
      </c>
      <c r="C268" s="56" t="s">
        <v>458</v>
      </c>
      <c r="D268" s="11">
        <v>100</v>
      </c>
      <c r="E268" s="56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56" t="s">
        <v>448</v>
      </c>
      <c r="C269" s="56" t="s">
        <v>458</v>
      </c>
      <c r="D269" s="11">
        <v>100</v>
      </c>
      <c r="E269" s="56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56" t="s">
        <v>449</v>
      </c>
      <c r="C270" s="56" t="s">
        <v>458</v>
      </c>
      <c r="D270" s="11">
        <v>100</v>
      </c>
      <c r="E270" s="56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56" t="s">
        <v>450</v>
      </c>
      <c r="C271" s="56" t="s">
        <v>458</v>
      </c>
      <c r="D271" s="11">
        <v>100</v>
      </c>
      <c r="E271" s="56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56" t="s">
        <v>451</v>
      </c>
      <c r="C272" s="56" t="s">
        <v>458</v>
      </c>
      <c r="D272" s="11">
        <v>100</v>
      </c>
      <c r="E272" s="56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56" t="s">
        <v>452</v>
      </c>
      <c r="C273" s="56" t="s">
        <v>458</v>
      </c>
      <c r="D273" s="11">
        <v>100</v>
      </c>
      <c r="E273" s="56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56" t="s">
        <v>453</v>
      </c>
      <c r="C274" s="56" t="s">
        <v>458</v>
      </c>
      <c r="D274" s="11">
        <v>100</v>
      </c>
      <c r="E274" s="56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56" t="s">
        <v>454</v>
      </c>
      <c r="C275" s="56" t="s">
        <v>458</v>
      </c>
      <c r="D275" s="11">
        <v>100</v>
      </c>
      <c r="E275" s="56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56" t="s">
        <v>455</v>
      </c>
      <c r="C276" s="56" t="s">
        <v>458</v>
      </c>
      <c r="D276" s="11">
        <v>100</v>
      </c>
      <c r="E276" s="56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31" priority="5" operator="equal">
      <formula>"Fail"</formula>
    </cfRule>
    <cfRule type="cellIs" dxfId="130" priority="6" operator="equal">
      <formula>"Pass"</formula>
    </cfRule>
  </conditionalFormatting>
  <conditionalFormatting sqref="M6:N7">
    <cfRule type="cellIs" dxfId="129" priority="3" operator="equal">
      <formula>"Fail"</formula>
    </cfRule>
    <cfRule type="cellIs" dxfId="128" priority="4" operator="equal">
      <formula>"Pass"</formula>
    </cfRule>
  </conditionalFormatting>
  <conditionalFormatting sqref="M8">
    <cfRule type="containsText" dxfId="127" priority="1" operator="containsText" text="Pass">
      <formula>NOT(ISERROR(SEARCH("Pass",M8)))</formula>
    </cfRule>
    <cfRule type="containsText" dxfId="126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56" t="s">
        <v>83</v>
      </c>
      <c r="C2" s="56" t="s">
        <v>399</v>
      </c>
      <c r="D2" s="45">
        <v>20</v>
      </c>
      <c r="E2" s="56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262130</v>
      </c>
      <c r="M2" s="19">
        <v>262130</v>
      </c>
      <c r="N2" s="22">
        <f>L2-M2</f>
        <v>0</v>
      </c>
    </row>
    <row r="3" spans="2:15" x14ac:dyDescent="0.25">
      <c r="B3" s="56" t="s">
        <v>84</v>
      </c>
      <c r="C3" s="56" t="s">
        <v>399</v>
      </c>
      <c r="D3" s="11">
        <v>20</v>
      </c>
      <c r="E3" s="56" t="s">
        <v>84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dwaccountid</v>
      </c>
      <c r="J3" s="3" t="str">
        <f t="shared" ref="J3:J66" si="3">SUBSTITUTE(E3,"_","")</f>
        <v>dwaccountid</v>
      </c>
      <c r="L3" s="20" t="s">
        <v>468</v>
      </c>
      <c r="M3" s="21"/>
      <c r="N3" s="22">
        <f>L2-M3</f>
        <v>262130</v>
      </c>
    </row>
    <row r="4" spans="2:15" x14ac:dyDescent="0.25">
      <c r="B4" s="56" t="s">
        <v>85</v>
      </c>
      <c r="C4" s="56" t="s">
        <v>399</v>
      </c>
      <c r="D4" s="11">
        <v>20</v>
      </c>
      <c r="E4" s="56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56" t="s">
        <v>71</v>
      </c>
      <c r="C5" s="56" t="s">
        <v>399</v>
      </c>
      <c r="D5" s="11">
        <v>200</v>
      </c>
      <c r="E5" s="56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7" t="s">
        <v>401</v>
      </c>
      <c r="N5" s="41"/>
    </row>
    <row r="6" spans="2:15" x14ac:dyDescent="0.25">
      <c r="B6" s="56" t="s">
        <v>555</v>
      </c>
      <c r="C6" s="56" t="s">
        <v>399</v>
      </c>
      <c r="D6" s="11">
        <v>200</v>
      </c>
      <c r="E6" s="56" t="s">
        <v>555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56" t="s">
        <v>556</v>
      </c>
      <c r="C7" s="56" t="s">
        <v>399</v>
      </c>
      <c r="D7" s="11">
        <v>200</v>
      </c>
      <c r="E7" s="56" t="s">
        <v>556</v>
      </c>
      <c r="F7" s="11">
        <v>13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56" t="s">
        <v>960</v>
      </c>
      <c r="C8" s="56" t="s">
        <v>400</v>
      </c>
      <c r="D8" s="45" t="s">
        <v>476</v>
      </c>
      <c r="E8" s="56" t="s">
        <v>960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activeMonth</v>
      </c>
      <c r="J8" s="3" t="str">
        <f t="shared" si="3"/>
        <v>activeMonth</v>
      </c>
      <c r="K8" t="s">
        <v>959</v>
      </c>
      <c r="L8" s="23" t="s">
        <v>465</v>
      </c>
      <c r="M8" s="39" t="str">
        <f>IF(N2=0,"Pass","Fail")</f>
        <v>Pass</v>
      </c>
    </row>
    <row r="9" spans="2:15" x14ac:dyDescent="0.25">
      <c r="B9" s="56" t="s">
        <v>961</v>
      </c>
      <c r="C9" s="56" t="s">
        <v>399</v>
      </c>
      <c r="D9" s="11">
        <v>5</v>
      </c>
      <c r="E9" s="56" t="s">
        <v>961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memberGenderId</v>
      </c>
      <c r="J9" s="3" t="str">
        <f t="shared" si="3"/>
        <v>memberGenderId</v>
      </c>
      <c r="L9" s="23" t="s">
        <v>467</v>
      </c>
      <c r="M9" s="40">
        <f>IF(M3=0,0%,N3/M3)</f>
        <v>0</v>
      </c>
    </row>
    <row r="10" spans="2:15" x14ac:dyDescent="0.25">
      <c r="B10" s="56" t="s">
        <v>750</v>
      </c>
      <c r="C10" s="56" t="s">
        <v>399</v>
      </c>
      <c r="D10" s="11">
        <v>5</v>
      </c>
      <c r="E10" s="56" t="s">
        <v>750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memberAge</v>
      </c>
      <c r="J10" s="3" t="str">
        <f t="shared" si="3"/>
        <v>memberAge</v>
      </c>
      <c r="L10" s="23" t="s">
        <v>466</v>
      </c>
      <c r="M10" s="40" t="e">
        <f>File_Size_Comparision!F12</f>
        <v>#VALUE!</v>
      </c>
    </row>
    <row r="11" spans="2:15" x14ac:dyDescent="0.25">
      <c r="B11" s="56" t="s">
        <v>962</v>
      </c>
      <c r="C11" s="56" t="s">
        <v>399</v>
      </c>
      <c r="D11" s="11">
        <v>12</v>
      </c>
      <c r="E11" s="56" t="s">
        <v>962</v>
      </c>
      <c r="F11" s="11">
        <v>9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memberZipId</v>
      </c>
      <c r="J11" s="3" t="str">
        <f t="shared" si="3"/>
        <v>memberZipId</v>
      </c>
    </row>
    <row r="12" spans="2:15" x14ac:dyDescent="0.25">
      <c r="B12" s="56" t="s">
        <v>339</v>
      </c>
      <c r="C12" s="56" t="s">
        <v>399</v>
      </c>
      <c r="D12" s="45">
        <v>30</v>
      </c>
      <c r="E12" s="56" t="s">
        <v>339</v>
      </c>
      <c r="F12" s="11">
        <v>15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memberFirstName</v>
      </c>
      <c r="J12" s="3" t="str">
        <f t="shared" si="3"/>
        <v>memberFirstName</v>
      </c>
    </row>
    <row r="13" spans="2:15" x14ac:dyDescent="0.25">
      <c r="B13" s="56" t="s">
        <v>551</v>
      </c>
      <c r="C13" s="56" t="s">
        <v>399</v>
      </c>
      <c r="D13" s="11">
        <v>30</v>
      </c>
      <c r="E13" s="56" t="s">
        <v>551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memberMiddleName</v>
      </c>
      <c r="J13" s="3" t="str">
        <f t="shared" si="3"/>
        <v>memberMiddleName</v>
      </c>
    </row>
    <row r="14" spans="2:15" x14ac:dyDescent="0.25">
      <c r="B14" s="56" t="s">
        <v>340</v>
      </c>
      <c r="C14" s="56" t="s">
        <v>399</v>
      </c>
      <c r="D14" s="11">
        <v>30</v>
      </c>
      <c r="E14" s="56" t="s">
        <v>340</v>
      </c>
      <c r="F14" s="11">
        <v>26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memberLastName</v>
      </c>
      <c r="J14" s="3" t="str">
        <f t="shared" si="3"/>
        <v>memberLastName</v>
      </c>
    </row>
    <row r="15" spans="2:15" x14ac:dyDescent="0.25">
      <c r="B15" s="56" t="s">
        <v>963</v>
      </c>
      <c r="C15" s="56" t="s">
        <v>399</v>
      </c>
      <c r="D15" s="45">
        <v>100</v>
      </c>
      <c r="E15" s="56" t="s">
        <v>963</v>
      </c>
      <c r="F15" s="11">
        <v>9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relationshipClassDesc</v>
      </c>
      <c r="J15" s="3" t="str">
        <f t="shared" si="3"/>
        <v>relationshipClassDesc</v>
      </c>
    </row>
    <row r="16" spans="2:15" x14ac:dyDescent="0.25">
      <c r="B16" s="56" t="s">
        <v>964</v>
      </c>
      <c r="C16" s="56" t="s">
        <v>398</v>
      </c>
      <c r="D16" s="11">
        <v>10</v>
      </c>
      <c r="E16" s="56" t="s">
        <v>964</v>
      </c>
      <c r="F16" s="11">
        <v>1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benefitTypeId</v>
      </c>
      <c r="J16" s="3" t="str">
        <f t="shared" si="3"/>
        <v>benefitTypeId</v>
      </c>
    </row>
    <row r="17" spans="2:10" x14ac:dyDescent="0.25">
      <c r="B17" s="56" t="s">
        <v>965</v>
      </c>
      <c r="C17" s="56" t="s">
        <v>399</v>
      </c>
      <c r="D17" s="11">
        <v>100</v>
      </c>
      <c r="E17" s="56" t="s">
        <v>965</v>
      </c>
      <c r="F17" s="1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benefitType</v>
      </c>
      <c r="J17" s="3" t="str">
        <f t="shared" si="3"/>
        <v>benefitType</v>
      </c>
    </row>
    <row r="18" spans="2:10" x14ac:dyDescent="0.25">
      <c r="B18" s="56" t="s">
        <v>966</v>
      </c>
      <c r="C18" s="56" t="s">
        <v>399</v>
      </c>
      <c r="D18" s="11">
        <v>100</v>
      </c>
      <c r="E18" s="56" t="s">
        <v>966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carrierCode1</v>
      </c>
      <c r="J18" s="3" t="str">
        <f t="shared" si="3"/>
        <v>carrierCode1</v>
      </c>
    </row>
    <row r="19" spans="2:10" x14ac:dyDescent="0.25">
      <c r="B19" s="56" t="s">
        <v>967</v>
      </c>
      <c r="C19" s="56" t="s">
        <v>399</v>
      </c>
      <c r="D19" s="45">
        <v>100</v>
      </c>
      <c r="E19" s="56" t="s">
        <v>967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carrierCode2</v>
      </c>
      <c r="J19" s="3" t="str">
        <f t="shared" si="3"/>
        <v>carrierCode2</v>
      </c>
    </row>
    <row r="20" spans="2:10" x14ac:dyDescent="0.25">
      <c r="B20" s="56" t="s">
        <v>968</v>
      </c>
      <c r="C20" s="56" t="s">
        <v>399</v>
      </c>
      <c r="D20" s="45">
        <v>100</v>
      </c>
      <c r="E20" s="56" t="s">
        <v>968</v>
      </c>
      <c r="F20" s="11">
        <v>0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carrierCode3</v>
      </c>
      <c r="J20" s="3" t="str">
        <f t="shared" si="3"/>
        <v>carrierCode3</v>
      </c>
    </row>
    <row r="21" spans="2:10" x14ac:dyDescent="0.25">
      <c r="B21" s="56" t="s">
        <v>969</v>
      </c>
      <c r="C21" s="56" t="s">
        <v>399</v>
      </c>
      <c r="D21" s="11">
        <v>100</v>
      </c>
      <c r="E21" s="56" t="s">
        <v>969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groupFundingType</v>
      </c>
      <c r="J21" s="3" t="str">
        <f t="shared" si="3"/>
        <v>groupFundingType</v>
      </c>
    </row>
    <row r="22" spans="2:10" x14ac:dyDescent="0.25">
      <c r="B22" s="56" t="s">
        <v>970</v>
      </c>
      <c r="C22" s="56" t="s">
        <v>399</v>
      </c>
      <c r="D22" s="11">
        <v>50</v>
      </c>
      <c r="E22" s="56" t="s">
        <v>970</v>
      </c>
      <c r="F22" s="11">
        <v>1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coverageTierCode</v>
      </c>
      <c r="J22" s="3" t="str">
        <f t="shared" si="3"/>
        <v>coverageTierCode</v>
      </c>
    </row>
    <row r="23" spans="2:10" x14ac:dyDescent="0.25">
      <c r="B23" s="56" t="s">
        <v>764</v>
      </c>
      <c r="C23" s="56" t="s">
        <v>399</v>
      </c>
      <c r="D23" s="11">
        <v>20</v>
      </c>
      <c r="E23" s="56" t="s">
        <v>764</v>
      </c>
      <c r="F23" s="11">
        <v>10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contractTypeId</v>
      </c>
      <c r="J23" s="3" t="str">
        <f t="shared" si="3"/>
        <v>contractTypeId</v>
      </c>
    </row>
    <row r="24" spans="2:10" x14ac:dyDescent="0.25">
      <c r="B24" s="56" t="s">
        <v>599</v>
      </c>
      <c r="C24" s="56" t="s">
        <v>399</v>
      </c>
      <c r="D24" s="11">
        <v>100</v>
      </c>
      <c r="E24" s="56" t="s">
        <v>599</v>
      </c>
      <c r="F24" s="11">
        <v>24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coverageTypeDesc</v>
      </c>
      <c r="J24" s="3" t="str">
        <f t="shared" si="3"/>
        <v>coverageTypeDesc</v>
      </c>
    </row>
    <row r="25" spans="2:10" x14ac:dyDescent="0.25">
      <c r="B25" s="56" t="s">
        <v>971</v>
      </c>
      <c r="C25" s="56" t="s">
        <v>405</v>
      </c>
      <c r="D25" s="11" t="s">
        <v>571</v>
      </c>
      <c r="E25" s="56" t="s">
        <v>971</v>
      </c>
      <c r="F25" s="11">
        <v>3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bpFundingRate</v>
      </c>
      <c r="J25" s="3" t="str">
        <f t="shared" si="3"/>
        <v>bpFundingRate</v>
      </c>
    </row>
    <row r="26" spans="2:10" x14ac:dyDescent="0.25">
      <c r="B26" s="56" t="s">
        <v>972</v>
      </c>
      <c r="C26" s="56" t="s">
        <v>405</v>
      </c>
      <c r="D26" s="11" t="s">
        <v>571</v>
      </c>
      <c r="E26" s="56" t="s">
        <v>972</v>
      </c>
      <c r="F26" s="11">
        <v>3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bpHsaRate</v>
      </c>
      <c r="J26" s="3" t="str">
        <f t="shared" si="3"/>
        <v>bpHsaRate</v>
      </c>
    </row>
    <row r="27" spans="2:10" x14ac:dyDescent="0.25">
      <c r="B27" s="56" t="s">
        <v>973</v>
      </c>
      <c r="C27" s="56" t="s">
        <v>405</v>
      </c>
      <c r="D27" s="11" t="s">
        <v>571</v>
      </c>
      <c r="E27" s="56" t="s">
        <v>973</v>
      </c>
      <c r="F27" s="11">
        <v>3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bpEEContributionRate</v>
      </c>
      <c r="J27" s="3" t="str">
        <f t="shared" si="3"/>
        <v>bpEEContributionRate</v>
      </c>
    </row>
    <row r="28" spans="2:10" x14ac:dyDescent="0.25">
      <c r="B28" s="56" t="s">
        <v>974</v>
      </c>
      <c r="C28" s="56" t="s">
        <v>405</v>
      </c>
      <c r="D28" s="11" t="s">
        <v>571</v>
      </c>
      <c r="E28" s="56" t="s">
        <v>974</v>
      </c>
      <c r="F28" s="11">
        <v>3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bpFixedCosts</v>
      </c>
      <c r="J28" s="3" t="str">
        <f t="shared" si="3"/>
        <v>bpFixedCosts</v>
      </c>
    </row>
    <row r="29" spans="2:10" x14ac:dyDescent="0.25">
      <c r="B29" s="56" t="s">
        <v>975</v>
      </c>
      <c r="C29" s="56" t="s">
        <v>405</v>
      </c>
      <c r="D29" s="11" t="s">
        <v>571</v>
      </c>
      <c r="E29" s="56" t="s">
        <v>975</v>
      </c>
      <c r="F29" s="11">
        <v>1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benefitPlanCovered</v>
      </c>
      <c r="J29" s="3" t="str">
        <f t="shared" si="3"/>
        <v>benefitPlanCovered</v>
      </c>
    </row>
    <row r="30" spans="2:10" x14ac:dyDescent="0.25">
      <c r="B30" s="56" t="s">
        <v>976</v>
      </c>
      <c r="C30" s="56" t="s">
        <v>405</v>
      </c>
      <c r="D30" s="11" t="s">
        <v>571</v>
      </c>
      <c r="E30" s="56" t="s">
        <v>976</v>
      </c>
      <c r="F30" s="11">
        <v>3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slIslFee</v>
      </c>
      <c r="J30" s="3" t="str">
        <f t="shared" si="3"/>
        <v>slIslFee</v>
      </c>
    </row>
    <row r="31" spans="2:10" x14ac:dyDescent="0.25">
      <c r="B31" s="56" t="s">
        <v>977</v>
      </c>
      <c r="C31" s="56" t="s">
        <v>405</v>
      </c>
      <c r="D31" s="11" t="s">
        <v>571</v>
      </c>
      <c r="E31" s="56" t="s">
        <v>977</v>
      </c>
      <c r="F31" s="11">
        <v>3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slAggFee</v>
      </c>
      <c r="J31" s="3" t="str">
        <f t="shared" si="3"/>
        <v>slAggFee</v>
      </c>
    </row>
    <row r="32" spans="2:10" x14ac:dyDescent="0.25">
      <c r="B32" s="56" t="s">
        <v>978</v>
      </c>
      <c r="C32" s="56" t="s">
        <v>405</v>
      </c>
      <c r="D32" s="11" t="s">
        <v>571</v>
      </c>
      <c r="E32" s="56" t="s">
        <v>978</v>
      </c>
      <c r="F32" s="11">
        <v>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slAslFactor</v>
      </c>
      <c r="J32" s="3" t="str">
        <f t="shared" si="3"/>
        <v>slAslFactor</v>
      </c>
    </row>
    <row r="33" spans="2:10" x14ac:dyDescent="0.25">
      <c r="B33" s="56" t="s">
        <v>979</v>
      </c>
      <c r="C33" s="56" t="s">
        <v>399</v>
      </c>
      <c r="D33" s="11">
        <v>100</v>
      </c>
      <c r="E33" s="56" t="s">
        <v>979</v>
      </c>
      <c r="F33" s="11">
        <v>1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slIslLaser</v>
      </c>
      <c r="J33" s="3" t="str">
        <f t="shared" si="3"/>
        <v>slIslLaser</v>
      </c>
    </row>
    <row r="34" spans="2:10" x14ac:dyDescent="0.25">
      <c r="B34" s="56" t="s">
        <v>980</v>
      </c>
      <c r="C34" s="56" t="s">
        <v>405</v>
      </c>
      <c r="D34" s="11" t="s">
        <v>571</v>
      </c>
      <c r="E34" s="56" t="s">
        <v>980</v>
      </c>
      <c r="F34" s="11">
        <v>3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slIslDeductible</v>
      </c>
      <c r="J34" s="3" t="str">
        <f t="shared" si="3"/>
        <v>slIslDeductible</v>
      </c>
    </row>
    <row r="35" spans="2:10" x14ac:dyDescent="0.25">
      <c r="B35" s="56" t="s">
        <v>981</v>
      </c>
      <c r="C35" s="56" t="s">
        <v>405</v>
      </c>
      <c r="D35" s="11" t="s">
        <v>571</v>
      </c>
      <c r="E35" s="56" t="s">
        <v>981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slAslMinDeductible</v>
      </c>
      <c r="J35" s="3" t="str">
        <f t="shared" si="3"/>
        <v>slAslMinDeductible</v>
      </c>
    </row>
    <row r="36" spans="2:10" x14ac:dyDescent="0.25">
      <c r="B36" s="56" t="s">
        <v>982</v>
      </c>
      <c r="C36" s="56" t="s">
        <v>405</v>
      </c>
      <c r="D36" s="45" t="s">
        <v>571</v>
      </c>
      <c r="E36" s="56" t="s">
        <v>982</v>
      </c>
      <c r="F36" s="11">
        <v>3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slIslAggDeductible</v>
      </c>
      <c r="J36" s="3" t="str">
        <f t="shared" si="3"/>
        <v>slIslAggDeductible</v>
      </c>
    </row>
    <row r="37" spans="2:10" x14ac:dyDescent="0.25">
      <c r="B37" s="56" t="s">
        <v>560</v>
      </c>
      <c r="C37" s="56" t="s">
        <v>399</v>
      </c>
      <c r="D37" s="45">
        <v>100</v>
      </c>
      <c r="E37" s="56" t="s">
        <v>560</v>
      </c>
      <c r="F37" s="11">
        <v>6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groupId</v>
      </c>
      <c r="J37" s="3" t="str">
        <f t="shared" si="3"/>
        <v>groupId</v>
      </c>
    </row>
    <row r="38" spans="2:10" x14ac:dyDescent="0.25">
      <c r="B38" s="56" t="s">
        <v>983</v>
      </c>
      <c r="C38" s="56" t="s">
        <v>399</v>
      </c>
      <c r="D38" s="11">
        <v>100</v>
      </c>
      <c r="E38" s="56" t="s">
        <v>983</v>
      </c>
      <c r="F38" s="11">
        <v>53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divisionId</v>
      </c>
      <c r="J38" s="3" t="str">
        <f t="shared" si="3"/>
        <v>divisionId</v>
      </c>
    </row>
    <row r="39" spans="2:10" x14ac:dyDescent="0.25">
      <c r="B39" s="56" t="s">
        <v>608</v>
      </c>
      <c r="C39" s="56" t="s">
        <v>399</v>
      </c>
      <c r="D39" s="11">
        <v>15</v>
      </c>
      <c r="E39" s="56" t="s">
        <v>608</v>
      </c>
      <c r="F39" s="11">
        <v>3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relationshipCode</v>
      </c>
      <c r="J39" s="3" t="str">
        <f t="shared" si="3"/>
        <v>relationshipCode</v>
      </c>
    </row>
    <row r="40" spans="2:10" x14ac:dyDescent="0.25">
      <c r="B40" s="56" t="s">
        <v>984</v>
      </c>
      <c r="C40" s="56" t="s">
        <v>399</v>
      </c>
      <c r="D40" s="11">
        <v>100</v>
      </c>
      <c r="E40" s="56" t="s">
        <v>984</v>
      </c>
      <c r="F40" s="11">
        <v>66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planId</v>
      </c>
      <c r="J40" s="3" t="str">
        <f t="shared" si="3"/>
        <v>planId</v>
      </c>
    </row>
    <row r="41" spans="2:10" x14ac:dyDescent="0.25">
      <c r="B41" s="56" t="s">
        <v>755</v>
      </c>
      <c r="C41" s="56" t="s">
        <v>399</v>
      </c>
      <c r="D41" s="11">
        <v>100</v>
      </c>
      <c r="E41" s="56" t="s">
        <v>755</v>
      </c>
      <c r="F41" s="11">
        <v>20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planTypeId</v>
      </c>
      <c r="J41" s="3" t="str">
        <f t="shared" si="3"/>
        <v>planTypeId</v>
      </c>
    </row>
    <row r="42" spans="2:10" x14ac:dyDescent="0.25">
      <c r="B42" s="56" t="s">
        <v>985</v>
      </c>
      <c r="C42" s="56" t="s">
        <v>399</v>
      </c>
      <c r="D42" s="11">
        <v>100</v>
      </c>
      <c r="E42" s="56" t="s">
        <v>985</v>
      </c>
      <c r="F42" s="11">
        <v>10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carrierId</v>
      </c>
      <c r="J42" s="3" t="str">
        <f t="shared" si="3"/>
        <v>carrierId</v>
      </c>
    </row>
    <row r="43" spans="2:10" x14ac:dyDescent="0.25">
      <c r="B43" s="56" t="s">
        <v>986</v>
      </c>
      <c r="C43" s="56" t="s">
        <v>399</v>
      </c>
      <c r="D43" s="11">
        <v>100</v>
      </c>
      <c r="E43" s="56" t="s">
        <v>986</v>
      </c>
      <c r="F43" s="11">
        <v>4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udf16Id</v>
      </c>
      <c r="J43" s="3" t="str">
        <f t="shared" si="3"/>
        <v>udf16Id</v>
      </c>
    </row>
    <row r="44" spans="2:10" x14ac:dyDescent="0.25">
      <c r="B44" s="56" t="s">
        <v>987</v>
      </c>
      <c r="C44" s="56" t="s">
        <v>399</v>
      </c>
      <c r="D44" s="45">
        <v>100</v>
      </c>
      <c r="E44" s="56" t="s">
        <v>987</v>
      </c>
      <c r="F44" s="11">
        <v>7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udf17Id</v>
      </c>
      <c r="J44" s="3" t="str">
        <f t="shared" si="3"/>
        <v>udf17Id</v>
      </c>
    </row>
    <row r="45" spans="2:10" x14ac:dyDescent="0.25">
      <c r="B45" s="56" t="s">
        <v>988</v>
      </c>
      <c r="C45" s="56" t="s">
        <v>399</v>
      </c>
      <c r="D45" s="11">
        <v>100</v>
      </c>
      <c r="E45" s="56" t="s">
        <v>988</v>
      </c>
      <c r="F45" s="11">
        <v>2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udf18Id</v>
      </c>
      <c r="J45" s="3" t="str">
        <f t="shared" si="3"/>
        <v>udf18Id</v>
      </c>
    </row>
    <row r="46" spans="2:10" x14ac:dyDescent="0.25">
      <c r="B46" s="56" t="s">
        <v>989</v>
      </c>
      <c r="C46" s="56" t="s">
        <v>399</v>
      </c>
      <c r="D46" s="11">
        <v>100</v>
      </c>
      <c r="E46" s="56" t="s">
        <v>989</v>
      </c>
      <c r="F46" s="11">
        <v>7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udf19Id</v>
      </c>
      <c r="J46" s="3" t="str">
        <f t="shared" si="3"/>
        <v>udf19Id</v>
      </c>
    </row>
    <row r="47" spans="2:10" x14ac:dyDescent="0.25">
      <c r="B47" s="56" t="s">
        <v>990</v>
      </c>
      <c r="C47" s="56" t="s">
        <v>399</v>
      </c>
      <c r="D47" s="11">
        <v>100</v>
      </c>
      <c r="E47" s="56" t="s">
        <v>990</v>
      </c>
      <c r="F47" s="11">
        <v>1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udf20Id</v>
      </c>
      <c r="J47" s="3" t="str">
        <f t="shared" si="3"/>
        <v>udf20Id</v>
      </c>
    </row>
    <row r="48" spans="2:10" x14ac:dyDescent="0.25">
      <c r="B48" s="56" t="s">
        <v>991</v>
      </c>
      <c r="C48" s="56" t="s">
        <v>399</v>
      </c>
      <c r="D48" s="45">
        <v>100</v>
      </c>
      <c r="E48" s="56" t="s">
        <v>991</v>
      </c>
      <c r="F48" s="11">
        <v>7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udf21Id</v>
      </c>
      <c r="J48" s="3" t="str">
        <f t="shared" si="3"/>
        <v>udf21Id</v>
      </c>
    </row>
    <row r="49" spans="2:10" x14ac:dyDescent="0.25">
      <c r="B49" s="56" t="s">
        <v>992</v>
      </c>
      <c r="C49" s="56" t="s">
        <v>399</v>
      </c>
      <c r="D49" s="45">
        <v>100</v>
      </c>
      <c r="E49" s="56" t="s">
        <v>992</v>
      </c>
      <c r="F49" s="11">
        <v>5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udf22Id</v>
      </c>
      <c r="J49" s="3" t="str">
        <f t="shared" si="3"/>
        <v>udf22Id</v>
      </c>
    </row>
    <row r="50" spans="2:10" x14ac:dyDescent="0.25">
      <c r="B50" s="56" t="s">
        <v>993</v>
      </c>
      <c r="C50" s="56" t="s">
        <v>399</v>
      </c>
      <c r="D50" s="45">
        <v>100</v>
      </c>
      <c r="E50" s="56" t="s">
        <v>993</v>
      </c>
      <c r="F50" s="11">
        <v>5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udf23Id</v>
      </c>
      <c r="J50" s="3" t="str">
        <f t="shared" si="3"/>
        <v>udf23Id</v>
      </c>
    </row>
    <row r="51" spans="2:10" x14ac:dyDescent="0.25">
      <c r="B51" s="56" t="s">
        <v>994</v>
      </c>
      <c r="C51" s="56" t="s">
        <v>399</v>
      </c>
      <c r="D51" s="45">
        <v>100</v>
      </c>
      <c r="E51" s="56" t="s">
        <v>994</v>
      </c>
      <c r="F51" s="11">
        <v>5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udf24Id</v>
      </c>
      <c r="J51" s="3" t="str">
        <f t="shared" si="3"/>
        <v>udf24Id</v>
      </c>
    </row>
    <row r="52" spans="2:10" x14ac:dyDescent="0.25">
      <c r="B52" s="56" t="s">
        <v>995</v>
      </c>
      <c r="C52" s="56" t="s">
        <v>399</v>
      </c>
      <c r="D52" s="45">
        <v>100</v>
      </c>
      <c r="E52" s="56" t="s">
        <v>995</v>
      </c>
      <c r="F52" s="11">
        <v>5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udf25Id</v>
      </c>
      <c r="J52" s="3" t="str">
        <f t="shared" si="3"/>
        <v>udf25Id</v>
      </c>
    </row>
    <row r="53" spans="2:10" x14ac:dyDescent="0.25">
      <c r="B53" s="56" t="s">
        <v>996</v>
      </c>
      <c r="C53" s="56" t="s">
        <v>399</v>
      </c>
      <c r="D53" s="45">
        <v>100</v>
      </c>
      <c r="E53" s="56" t="s">
        <v>996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udf26Id</v>
      </c>
      <c r="J53" s="3" t="str">
        <f t="shared" si="3"/>
        <v>udf26Id</v>
      </c>
    </row>
    <row r="54" spans="2:10" x14ac:dyDescent="0.25">
      <c r="B54" s="56" t="s">
        <v>997</v>
      </c>
      <c r="C54" s="56" t="s">
        <v>399</v>
      </c>
      <c r="D54" s="45">
        <v>100</v>
      </c>
      <c r="E54" s="56" t="s">
        <v>997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udf27Id</v>
      </c>
      <c r="J54" s="3" t="str">
        <f t="shared" si="3"/>
        <v>udf27Id</v>
      </c>
    </row>
    <row r="55" spans="2:10" x14ac:dyDescent="0.25">
      <c r="B55" s="56" t="s">
        <v>998</v>
      </c>
      <c r="C55" s="56" t="s">
        <v>399</v>
      </c>
      <c r="D55" s="45">
        <v>100</v>
      </c>
      <c r="E55" s="56" t="s">
        <v>998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udf28Id</v>
      </c>
      <c r="J55" s="3" t="str">
        <f t="shared" si="3"/>
        <v>udf28Id</v>
      </c>
    </row>
    <row r="56" spans="2:10" x14ac:dyDescent="0.25">
      <c r="B56" s="56" t="s">
        <v>999</v>
      </c>
      <c r="C56" s="56" t="s">
        <v>399</v>
      </c>
      <c r="D56" s="45">
        <v>100</v>
      </c>
      <c r="E56" s="56" t="s">
        <v>999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udf29Id</v>
      </c>
      <c r="J56" s="3" t="str">
        <f t="shared" si="3"/>
        <v>udf29Id</v>
      </c>
    </row>
    <row r="57" spans="2:10" x14ac:dyDescent="0.25">
      <c r="B57" s="56" t="s">
        <v>1000</v>
      </c>
      <c r="C57" s="56" t="s">
        <v>399</v>
      </c>
      <c r="D57" s="45">
        <v>100</v>
      </c>
      <c r="E57" s="56" t="s">
        <v>1000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udf30Id</v>
      </c>
      <c r="J57" s="3" t="str">
        <f t="shared" si="3"/>
        <v>udf30Id</v>
      </c>
    </row>
    <row r="58" spans="2:10" x14ac:dyDescent="0.25">
      <c r="B58" s="56" t="s">
        <v>561</v>
      </c>
      <c r="C58" s="56" t="s">
        <v>562</v>
      </c>
      <c r="D58" s="45" t="s">
        <v>476</v>
      </c>
      <c r="E58" s="56" t="s">
        <v>561</v>
      </c>
      <c r="F58" s="11">
        <v>20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prospectiveInpatient</v>
      </c>
      <c r="J58" s="3" t="str">
        <f t="shared" si="3"/>
        <v>prospectiveInpatient</v>
      </c>
    </row>
    <row r="59" spans="2:10" x14ac:dyDescent="0.25">
      <c r="B59" s="56" t="s">
        <v>563</v>
      </c>
      <c r="C59" s="56" t="s">
        <v>562</v>
      </c>
      <c r="D59" s="45" t="s">
        <v>476</v>
      </c>
      <c r="E59" s="56" t="s">
        <v>563</v>
      </c>
      <c r="F59" s="11">
        <v>20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prospectiveMedical</v>
      </c>
      <c r="J59" s="3" t="str">
        <f t="shared" si="3"/>
        <v>prospectiveMedical</v>
      </c>
    </row>
    <row r="60" spans="2:10" x14ac:dyDescent="0.25">
      <c r="B60" s="56" t="s">
        <v>564</v>
      </c>
      <c r="C60" s="56" t="s">
        <v>562</v>
      </c>
      <c r="D60" s="45" t="s">
        <v>476</v>
      </c>
      <c r="E60" s="56" t="s">
        <v>564</v>
      </c>
      <c r="F60" s="11">
        <v>20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prospectiveOutpatient</v>
      </c>
      <c r="J60" s="3" t="str">
        <f t="shared" si="3"/>
        <v>prospectiveOutpatient</v>
      </c>
    </row>
    <row r="61" spans="2:10" x14ac:dyDescent="0.25">
      <c r="B61" s="56" t="s">
        <v>565</v>
      </c>
      <c r="C61" s="56" t="s">
        <v>562</v>
      </c>
      <c r="D61" s="45" t="s">
        <v>476</v>
      </c>
      <c r="E61" s="56" t="s">
        <v>565</v>
      </c>
      <c r="F61" s="11">
        <v>20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prospectivePharmacy</v>
      </c>
      <c r="J61" s="3" t="str">
        <f t="shared" si="3"/>
        <v>prospectivePharmacy</v>
      </c>
    </row>
    <row r="62" spans="2:10" x14ac:dyDescent="0.25">
      <c r="B62" s="56" t="s">
        <v>566</v>
      </c>
      <c r="C62" s="56" t="s">
        <v>562</v>
      </c>
      <c r="D62" s="45" t="s">
        <v>476</v>
      </c>
      <c r="E62" s="56" t="s">
        <v>566</v>
      </c>
      <c r="F62" s="11">
        <v>20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prospectivePhysician</v>
      </c>
      <c r="J62" s="3" t="str">
        <f t="shared" si="3"/>
        <v>prospectivePhysician</v>
      </c>
    </row>
    <row r="63" spans="2:10" x14ac:dyDescent="0.25">
      <c r="B63" s="56" t="s">
        <v>567</v>
      </c>
      <c r="C63" s="56" t="s">
        <v>562</v>
      </c>
      <c r="D63" s="45" t="s">
        <v>476</v>
      </c>
      <c r="E63" s="56" t="s">
        <v>567</v>
      </c>
      <c r="F63" s="11">
        <v>20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prospectiveEr</v>
      </c>
      <c r="J63" s="3" t="str">
        <f t="shared" si="3"/>
        <v>prospectiveEr</v>
      </c>
    </row>
    <row r="64" spans="2:10" x14ac:dyDescent="0.25">
      <c r="B64" s="56" t="s">
        <v>568</v>
      </c>
      <c r="C64" s="56" t="s">
        <v>562</v>
      </c>
      <c r="D64" s="45" t="s">
        <v>476</v>
      </c>
      <c r="E64" s="56" t="s">
        <v>568</v>
      </c>
      <c r="F64" s="11">
        <v>20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prospectiveOther</v>
      </c>
      <c r="J64" s="3" t="str">
        <f t="shared" si="3"/>
        <v>prospectiveOther</v>
      </c>
    </row>
    <row r="65" spans="2:10" x14ac:dyDescent="0.25">
      <c r="B65" s="56" t="s">
        <v>569</v>
      </c>
      <c r="C65" s="56" t="s">
        <v>562</v>
      </c>
      <c r="D65" s="45" t="s">
        <v>476</v>
      </c>
      <c r="E65" s="56" t="s">
        <v>569</v>
      </c>
      <c r="F65" s="11">
        <v>20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prospectiveTotal</v>
      </c>
      <c r="J65" s="3" t="str">
        <f t="shared" si="3"/>
        <v>prospectiveTotal</v>
      </c>
    </row>
    <row r="66" spans="2:10" x14ac:dyDescent="0.25">
      <c r="B66" s="56" t="s">
        <v>570</v>
      </c>
      <c r="C66" s="56" t="s">
        <v>405</v>
      </c>
      <c r="D66" s="45" t="s">
        <v>571</v>
      </c>
      <c r="E66" s="56" t="s">
        <v>570</v>
      </c>
      <c r="F66" s="11">
        <v>18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prospectiveEstimate</v>
      </c>
      <c r="J66" s="3" t="str">
        <f t="shared" si="3"/>
        <v>prospectiveEstimate</v>
      </c>
    </row>
    <row r="67" spans="2:10" x14ac:dyDescent="0.25">
      <c r="B67" s="56" t="s">
        <v>101</v>
      </c>
      <c r="C67" s="56" t="s">
        <v>562</v>
      </c>
      <c r="D67" s="45" t="s">
        <v>476</v>
      </c>
      <c r="E67" s="56" t="s">
        <v>101</v>
      </c>
      <c r="F67" s="11">
        <v>20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concurrentInpatient</v>
      </c>
      <c r="J67" s="3" t="str">
        <f t="shared" ref="J67:J130" si="7">SUBSTITUTE(E67,"_","")</f>
        <v>concurrentInpatient</v>
      </c>
    </row>
    <row r="68" spans="2:10" x14ac:dyDescent="0.25">
      <c r="B68" s="56" t="s">
        <v>102</v>
      </c>
      <c r="C68" s="56" t="s">
        <v>562</v>
      </c>
      <c r="D68" s="45" t="s">
        <v>476</v>
      </c>
      <c r="E68" s="56" t="s">
        <v>102</v>
      </c>
      <c r="F68" s="11">
        <v>20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concurrentMedical</v>
      </c>
      <c r="J68" s="3" t="str">
        <f t="shared" si="7"/>
        <v>concurrentMedical</v>
      </c>
    </row>
    <row r="69" spans="2:10" x14ac:dyDescent="0.25">
      <c r="B69" s="56" t="s">
        <v>103</v>
      </c>
      <c r="C69" s="56" t="s">
        <v>562</v>
      </c>
      <c r="D69" s="45" t="s">
        <v>476</v>
      </c>
      <c r="E69" s="56" t="s">
        <v>103</v>
      </c>
      <c r="F69" s="11">
        <v>20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concurrentOutpatient</v>
      </c>
      <c r="J69" s="3" t="str">
        <f t="shared" si="7"/>
        <v>concurrentOutpatient</v>
      </c>
    </row>
    <row r="70" spans="2:10" x14ac:dyDescent="0.25">
      <c r="B70" s="56" t="s">
        <v>104</v>
      </c>
      <c r="C70" s="56" t="s">
        <v>562</v>
      </c>
      <c r="D70" s="45" t="s">
        <v>476</v>
      </c>
      <c r="E70" s="56" t="s">
        <v>104</v>
      </c>
      <c r="F70" s="11">
        <v>20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concurrentPharmacy</v>
      </c>
      <c r="J70" s="3" t="str">
        <f t="shared" si="7"/>
        <v>concurrentPharmacy</v>
      </c>
    </row>
    <row r="71" spans="2:10" x14ac:dyDescent="0.25">
      <c r="B71" s="56" t="s">
        <v>105</v>
      </c>
      <c r="C71" s="56" t="s">
        <v>562</v>
      </c>
      <c r="D71" s="45" t="s">
        <v>476</v>
      </c>
      <c r="E71" s="56" t="s">
        <v>105</v>
      </c>
      <c r="F71" s="11">
        <v>20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concurrentPhysician</v>
      </c>
      <c r="J71" s="3" t="str">
        <f t="shared" si="7"/>
        <v>concurrentPhysician</v>
      </c>
    </row>
    <row r="72" spans="2:10" x14ac:dyDescent="0.25">
      <c r="B72" s="56" t="s">
        <v>572</v>
      </c>
      <c r="C72" s="56" t="s">
        <v>562</v>
      </c>
      <c r="D72" s="45" t="s">
        <v>476</v>
      </c>
      <c r="E72" s="56" t="s">
        <v>572</v>
      </c>
      <c r="F72" s="11">
        <v>20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concurrentEr</v>
      </c>
      <c r="J72" s="3" t="str">
        <f t="shared" si="7"/>
        <v>concurrentEr</v>
      </c>
    </row>
    <row r="73" spans="2:10" x14ac:dyDescent="0.25">
      <c r="B73" s="56" t="s">
        <v>573</v>
      </c>
      <c r="C73" s="56" t="s">
        <v>562</v>
      </c>
      <c r="D73" s="45" t="s">
        <v>476</v>
      </c>
      <c r="E73" s="56" t="s">
        <v>573</v>
      </c>
      <c r="F73" s="11">
        <v>20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concurrentOther</v>
      </c>
      <c r="J73" s="3" t="str">
        <f t="shared" si="7"/>
        <v>concurrentOther</v>
      </c>
    </row>
    <row r="74" spans="2:10" x14ac:dyDescent="0.25">
      <c r="B74" s="56" t="s">
        <v>574</v>
      </c>
      <c r="C74" s="56" t="s">
        <v>562</v>
      </c>
      <c r="D74" s="45" t="s">
        <v>476</v>
      </c>
      <c r="E74" s="56" t="s">
        <v>574</v>
      </c>
      <c r="F74" s="11">
        <v>20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concurrentTotal</v>
      </c>
      <c r="J74" s="3" t="str">
        <f t="shared" si="7"/>
        <v>concurrentTotal</v>
      </c>
    </row>
    <row r="75" spans="2:10" x14ac:dyDescent="0.25">
      <c r="B75" s="56" t="s">
        <v>575</v>
      </c>
      <c r="C75" s="56" t="s">
        <v>405</v>
      </c>
      <c r="D75" s="45" t="s">
        <v>571</v>
      </c>
      <c r="E75" s="56" t="s">
        <v>575</v>
      </c>
      <c r="F75" s="11">
        <v>18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concurrentEstimate</v>
      </c>
      <c r="J75" s="3" t="str">
        <f t="shared" si="7"/>
        <v>concurrentEstimate</v>
      </c>
    </row>
    <row r="76" spans="2:10" x14ac:dyDescent="0.25">
      <c r="B76" s="56" t="s">
        <v>576</v>
      </c>
      <c r="C76" s="56" t="s">
        <v>398</v>
      </c>
      <c r="D76" s="45" t="s">
        <v>476</v>
      </c>
      <c r="E76" s="56" t="s">
        <v>576</v>
      </c>
      <c r="F76" s="11">
        <v>2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concurrentExposureMonths</v>
      </c>
      <c r="J76" s="3" t="str">
        <f t="shared" si="7"/>
        <v>concurrentExposureMonths</v>
      </c>
    </row>
    <row r="77" spans="2:10" x14ac:dyDescent="0.25">
      <c r="B77" s="56" t="s">
        <v>577</v>
      </c>
      <c r="C77" s="56" t="s">
        <v>405</v>
      </c>
      <c r="D77" s="45" t="s">
        <v>571</v>
      </c>
      <c r="E77" s="56" t="s">
        <v>577</v>
      </c>
      <c r="F77" s="11">
        <v>22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concurrentActualPaid</v>
      </c>
      <c r="J77" s="3" t="str">
        <f t="shared" si="7"/>
        <v>concurrentActualPaid</v>
      </c>
    </row>
    <row r="78" spans="2:10" x14ac:dyDescent="0.25">
      <c r="B78" s="56" t="s">
        <v>578</v>
      </c>
      <c r="C78" s="56" t="s">
        <v>405</v>
      </c>
      <c r="D78" s="45" t="s">
        <v>571</v>
      </c>
      <c r="E78" s="56" t="s">
        <v>578</v>
      </c>
      <c r="F78" s="11">
        <v>23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concurrentActualAllowed</v>
      </c>
      <c r="J78" s="3" t="str">
        <f t="shared" si="7"/>
        <v>concurrentActualAllowed</v>
      </c>
    </row>
    <row r="79" spans="2:10" x14ac:dyDescent="0.25">
      <c r="B79" s="56" t="s">
        <v>579</v>
      </c>
      <c r="C79" s="56" t="s">
        <v>562</v>
      </c>
      <c r="D79" s="11" t="s">
        <v>476</v>
      </c>
      <c r="E79" s="56" t="s">
        <v>579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prospectiveInpatientRaw</v>
      </c>
      <c r="J79" s="3" t="str">
        <f t="shared" si="7"/>
        <v>prospectiveInpatientRaw</v>
      </c>
    </row>
    <row r="80" spans="2:10" x14ac:dyDescent="0.25">
      <c r="B80" s="56" t="s">
        <v>580</v>
      </c>
      <c r="C80" s="56" t="s">
        <v>562</v>
      </c>
      <c r="D80" s="11" t="s">
        <v>476</v>
      </c>
      <c r="E80" s="56" t="s">
        <v>580</v>
      </c>
      <c r="F80" s="11">
        <v>5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prospectiveMedicalRaw</v>
      </c>
      <c r="J80" s="3" t="str">
        <f t="shared" si="7"/>
        <v>prospectiveMedicalRaw</v>
      </c>
    </row>
    <row r="81" spans="2:10" x14ac:dyDescent="0.25">
      <c r="B81" s="56" t="s">
        <v>581</v>
      </c>
      <c r="C81" s="56" t="s">
        <v>562</v>
      </c>
      <c r="D81" s="11" t="s">
        <v>476</v>
      </c>
      <c r="E81" s="56" t="s">
        <v>581</v>
      </c>
      <c r="F81" s="11">
        <v>5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prospectiveOutpatientRaw</v>
      </c>
      <c r="J81" s="3" t="str">
        <f t="shared" si="7"/>
        <v>prospectiveOutpatientRaw</v>
      </c>
    </row>
    <row r="82" spans="2:10" x14ac:dyDescent="0.25">
      <c r="B82" s="56" t="s">
        <v>582</v>
      </c>
      <c r="C82" s="56" t="s">
        <v>562</v>
      </c>
      <c r="D82" s="11" t="s">
        <v>476</v>
      </c>
      <c r="E82" s="56" t="s">
        <v>582</v>
      </c>
      <c r="F82" s="11">
        <v>5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prospectivePharmacyRaw</v>
      </c>
      <c r="J82" s="3" t="str">
        <f t="shared" si="7"/>
        <v>prospectivePharmacyRaw</v>
      </c>
    </row>
    <row r="83" spans="2:10" x14ac:dyDescent="0.25">
      <c r="B83" s="56" t="s">
        <v>583</v>
      </c>
      <c r="C83" s="56" t="s">
        <v>562</v>
      </c>
      <c r="D83" s="11" t="s">
        <v>476</v>
      </c>
      <c r="E83" s="56" t="s">
        <v>583</v>
      </c>
      <c r="F83" s="11">
        <v>4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prospectivePhysicianRaw</v>
      </c>
      <c r="J83" s="3" t="str">
        <f t="shared" si="7"/>
        <v>prospectivePhysicianRaw</v>
      </c>
    </row>
    <row r="84" spans="2:10" x14ac:dyDescent="0.25">
      <c r="B84" s="56" t="s">
        <v>584</v>
      </c>
      <c r="C84" s="56" t="s">
        <v>562</v>
      </c>
      <c r="D84" s="11" t="s">
        <v>476</v>
      </c>
      <c r="E84" s="56" t="s">
        <v>584</v>
      </c>
      <c r="F84" s="11">
        <v>4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prospectiveErRaw</v>
      </c>
      <c r="J84" s="3" t="str">
        <f t="shared" si="7"/>
        <v>prospectiveErRaw</v>
      </c>
    </row>
    <row r="85" spans="2:10" x14ac:dyDescent="0.25">
      <c r="B85" s="56" t="s">
        <v>585</v>
      </c>
      <c r="C85" s="56" t="s">
        <v>562</v>
      </c>
      <c r="D85" s="11" t="s">
        <v>476</v>
      </c>
      <c r="E85" s="56" t="s">
        <v>585</v>
      </c>
      <c r="F85" s="11">
        <v>4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prospectiveOtherRaw</v>
      </c>
      <c r="J85" s="3" t="str">
        <f t="shared" si="7"/>
        <v>prospectiveOtherRaw</v>
      </c>
    </row>
    <row r="86" spans="2:10" x14ac:dyDescent="0.25">
      <c r="B86" s="56" t="s">
        <v>586</v>
      </c>
      <c r="C86" s="56" t="s">
        <v>562</v>
      </c>
      <c r="D86" s="11" t="s">
        <v>476</v>
      </c>
      <c r="E86" s="56" t="s">
        <v>586</v>
      </c>
      <c r="F86" s="11">
        <v>5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prospectiveTotalRaw</v>
      </c>
      <c r="J86" s="3" t="str">
        <f t="shared" si="7"/>
        <v>prospectiveTotalRaw</v>
      </c>
    </row>
    <row r="87" spans="2:10" x14ac:dyDescent="0.25">
      <c r="B87" s="56" t="s">
        <v>587</v>
      </c>
      <c r="C87" s="56" t="s">
        <v>562</v>
      </c>
      <c r="D87" s="11" t="s">
        <v>476</v>
      </c>
      <c r="E87" s="56" t="s">
        <v>587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concurrentInpatientRaw</v>
      </c>
      <c r="J87" s="3" t="str">
        <f t="shared" si="7"/>
        <v>concurrentInpatientRaw</v>
      </c>
    </row>
    <row r="88" spans="2:10" x14ac:dyDescent="0.25">
      <c r="B88" s="56" t="s">
        <v>588</v>
      </c>
      <c r="C88" s="56" t="s">
        <v>562</v>
      </c>
      <c r="D88" s="11" t="s">
        <v>476</v>
      </c>
      <c r="E88" s="56" t="s">
        <v>588</v>
      </c>
      <c r="F88" s="11">
        <v>5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concurrentMedicalRaw</v>
      </c>
      <c r="J88" s="3" t="str">
        <f t="shared" si="7"/>
        <v>concurrentMedicalRaw</v>
      </c>
    </row>
    <row r="89" spans="2:10" x14ac:dyDescent="0.25">
      <c r="B89" s="56" t="s">
        <v>589</v>
      </c>
      <c r="C89" s="56" t="s">
        <v>562</v>
      </c>
      <c r="D89" s="11" t="s">
        <v>476</v>
      </c>
      <c r="E89" s="56" t="s">
        <v>589</v>
      </c>
      <c r="F89" s="11">
        <v>5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concurrentOutpatientRaw</v>
      </c>
      <c r="J89" s="3" t="str">
        <f t="shared" si="7"/>
        <v>concurrentOutpatientRaw</v>
      </c>
    </row>
    <row r="90" spans="2:10" x14ac:dyDescent="0.25">
      <c r="B90" s="56" t="s">
        <v>590</v>
      </c>
      <c r="C90" s="56" t="s">
        <v>562</v>
      </c>
      <c r="D90" s="11" t="s">
        <v>476</v>
      </c>
      <c r="E90" s="56" t="s">
        <v>590</v>
      </c>
      <c r="F90" s="11">
        <v>5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concurrentPharmacyRaw</v>
      </c>
      <c r="J90" s="3" t="str">
        <f t="shared" si="7"/>
        <v>concurrentPharmacyRaw</v>
      </c>
    </row>
    <row r="91" spans="2:10" x14ac:dyDescent="0.25">
      <c r="B91" s="56" t="s">
        <v>591</v>
      </c>
      <c r="C91" s="56" t="s">
        <v>562</v>
      </c>
      <c r="D91" s="11" t="s">
        <v>476</v>
      </c>
      <c r="E91" s="56" t="s">
        <v>591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concurrentPhysicianRaw</v>
      </c>
      <c r="J91" s="3" t="str">
        <f t="shared" si="7"/>
        <v>concurrentPhysicianRaw</v>
      </c>
    </row>
    <row r="92" spans="2:10" x14ac:dyDescent="0.25">
      <c r="B92" s="56" t="s">
        <v>592</v>
      </c>
      <c r="C92" s="56" t="s">
        <v>562</v>
      </c>
      <c r="D92" s="11" t="s">
        <v>476</v>
      </c>
      <c r="E92" s="56" t="s">
        <v>592</v>
      </c>
      <c r="F92" s="1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concurrentErRaw</v>
      </c>
      <c r="J92" s="3" t="str">
        <f t="shared" si="7"/>
        <v>concurrentErRaw</v>
      </c>
    </row>
    <row r="93" spans="2:10" x14ac:dyDescent="0.25">
      <c r="B93" s="56" t="s">
        <v>593</v>
      </c>
      <c r="C93" s="56" t="s">
        <v>562</v>
      </c>
      <c r="D93" s="11" t="s">
        <v>476</v>
      </c>
      <c r="E93" s="56" t="s">
        <v>593</v>
      </c>
      <c r="F93" s="11">
        <v>4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concurrentOtherRaw</v>
      </c>
      <c r="J93" s="3" t="str">
        <f t="shared" si="7"/>
        <v>concurrentOtherRaw</v>
      </c>
    </row>
    <row r="94" spans="2:10" x14ac:dyDescent="0.25">
      <c r="B94" s="56" t="s">
        <v>594</v>
      </c>
      <c r="C94" s="56" t="s">
        <v>562</v>
      </c>
      <c r="D94" s="11" t="s">
        <v>476</v>
      </c>
      <c r="E94" s="56" t="s">
        <v>594</v>
      </c>
      <c r="F94" s="11">
        <v>5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concurrentTotalRaw</v>
      </c>
      <c r="J94" s="3" t="str">
        <f t="shared" si="7"/>
        <v>concurrentTotalRaw</v>
      </c>
    </row>
    <row r="95" spans="2:10" x14ac:dyDescent="0.25">
      <c r="B95" s="56" t="s">
        <v>558</v>
      </c>
      <c r="C95" s="56" t="s">
        <v>562</v>
      </c>
      <c r="D95" s="45" t="s">
        <v>476</v>
      </c>
      <c r="E95" s="56" t="s">
        <v>558</v>
      </c>
      <c r="F95" s="11">
        <v>1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latestScoreFlag</v>
      </c>
      <c r="J95" s="3" t="str">
        <f t="shared" si="7"/>
        <v>latestScoreFlag</v>
      </c>
    </row>
    <row r="96" spans="2:10" x14ac:dyDescent="0.25">
      <c r="B96" s="56" t="s">
        <v>756</v>
      </c>
      <c r="C96" s="56" t="s">
        <v>399</v>
      </c>
      <c r="D96" s="11">
        <v>100</v>
      </c>
      <c r="E96" s="56" t="s">
        <v>756</v>
      </c>
      <c r="F96" s="11">
        <v>8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groupName</v>
      </c>
      <c r="J96" s="3" t="str">
        <f t="shared" si="7"/>
        <v>groupName</v>
      </c>
    </row>
    <row r="97" spans="2:11" x14ac:dyDescent="0.25">
      <c r="B97" s="56" t="s">
        <v>607</v>
      </c>
      <c r="C97" s="56" t="s">
        <v>399</v>
      </c>
      <c r="D97" s="53">
        <v>68</v>
      </c>
      <c r="E97" s="56" t="s">
        <v>607</v>
      </c>
      <c r="F97" s="11">
        <v>68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divisionName</v>
      </c>
      <c r="J97" s="3" t="str">
        <f t="shared" si="7"/>
        <v>divisionName</v>
      </c>
      <c r="K97" t="s">
        <v>1003</v>
      </c>
    </row>
    <row r="98" spans="2:11" x14ac:dyDescent="0.25">
      <c r="B98" s="56" t="s">
        <v>1001</v>
      </c>
      <c r="C98" s="56" t="s">
        <v>399</v>
      </c>
      <c r="D98" s="11">
        <v>50</v>
      </c>
      <c r="E98" s="56" t="s">
        <v>1001</v>
      </c>
      <c r="F98" s="11">
        <v>42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memberRelationshipDesc</v>
      </c>
      <c r="J98" s="3" t="str">
        <f t="shared" si="7"/>
        <v>memberRelationshipDesc</v>
      </c>
    </row>
    <row r="99" spans="2:11" x14ac:dyDescent="0.25">
      <c r="B99" s="56" t="s">
        <v>601</v>
      </c>
      <c r="C99" s="56" t="s">
        <v>399</v>
      </c>
      <c r="D99" s="11">
        <v>100</v>
      </c>
      <c r="E99" s="56" t="s">
        <v>601</v>
      </c>
      <c r="F99" s="11">
        <v>86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planDesc</v>
      </c>
      <c r="J99" s="3" t="str">
        <f t="shared" si="7"/>
        <v>planDesc</v>
      </c>
    </row>
    <row r="100" spans="2:11" x14ac:dyDescent="0.25">
      <c r="B100" s="56" t="s">
        <v>603</v>
      </c>
      <c r="C100" s="56" t="s">
        <v>399</v>
      </c>
      <c r="D100" s="11">
        <v>100</v>
      </c>
      <c r="E100" s="56" t="s">
        <v>603</v>
      </c>
      <c r="F100" s="11">
        <v>20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planTypeDesc</v>
      </c>
      <c r="J100" s="3" t="str">
        <f t="shared" si="7"/>
        <v>planTypeDesc</v>
      </c>
    </row>
    <row r="101" spans="2:11" x14ac:dyDescent="0.25">
      <c r="B101" s="56" t="s">
        <v>1002</v>
      </c>
      <c r="C101" s="56" t="s">
        <v>399</v>
      </c>
      <c r="D101" s="11">
        <v>50</v>
      </c>
      <c r="E101" s="56" t="s">
        <v>1002</v>
      </c>
      <c r="F101" s="11">
        <v>36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carrierName</v>
      </c>
      <c r="J101" s="3" t="str">
        <f t="shared" si="7"/>
        <v>carrierName</v>
      </c>
    </row>
    <row r="102" spans="2:11" x14ac:dyDescent="0.25">
      <c r="B102" s="56" t="s">
        <v>749</v>
      </c>
      <c r="C102" s="56" t="s">
        <v>399</v>
      </c>
      <c r="D102" s="45">
        <v>200</v>
      </c>
      <c r="E102" s="56" t="s">
        <v>749</v>
      </c>
      <c r="F102" s="11">
        <v>35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memberFullName</v>
      </c>
      <c r="J102" s="3" t="str">
        <f t="shared" si="7"/>
        <v>memberFullName</v>
      </c>
    </row>
    <row r="103" spans="2:11" x14ac:dyDescent="0.25">
      <c r="B103" s="56" t="s">
        <v>650</v>
      </c>
      <c r="C103" s="56" t="s">
        <v>399</v>
      </c>
      <c r="D103" s="11">
        <v>1</v>
      </c>
      <c r="E103" s="56" t="s">
        <v>650</v>
      </c>
      <c r="F103" s="11">
        <v>1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dwmembermatch</v>
      </c>
      <c r="J103" s="3" t="str">
        <f t="shared" si="7"/>
        <v>dwmembermatch</v>
      </c>
    </row>
    <row r="104" spans="2:11" x14ac:dyDescent="0.25">
      <c r="B104" s="56" t="s">
        <v>651</v>
      </c>
      <c r="C104" s="56" t="s">
        <v>400</v>
      </c>
      <c r="D104" s="11" t="s">
        <v>476</v>
      </c>
      <c r="E104" s="56" t="s">
        <v>651</v>
      </c>
      <c r="F104" s="11">
        <v>10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dwcreateddate</v>
      </c>
      <c r="J104" s="3" t="str">
        <f t="shared" si="7"/>
        <v>dwcreateddate</v>
      </c>
    </row>
    <row r="105" spans="2:11" x14ac:dyDescent="0.25">
      <c r="B105" s="56" t="s">
        <v>652</v>
      </c>
      <c r="C105" s="56" t="s">
        <v>399</v>
      </c>
      <c r="D105" s="11">
        <v>10</v>
      </c>
      <c r="E105" s="56" t="s">
        <v>652</v>
      </c>
      <c r="F105" s="11">
        <v>10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dwdatathroughdate</v>
      </c>
      <c r="J105" s="3" t="str">
        <f t="shared" si="7"/>
        <v>dwdatathroughdate</v>
      </c>
    </row>
    <row r="106" spans="2:11" x14ac:dyDescent="0.25">
      <c r="B106" s="56" t="s">
        <v>825</v>
      </c>
      <c r="C106" s="56" t="s">
        <v>400</v>
      </c>
      <c r="D106" s="11"/>
      <c r="E106" s="56" t="s">
        <v>825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udf42hra</v>
      </c>
      <c r="J106" s="3" t="str">
        <f t="shared" si="7"/>
        <v>udf42hra</v>
      </c>
    </row>
    <row r="107" spans="2:11" x14ac:dyDescent="0.25">
      <c r="B107" s="56" t="s">
        <v>826</v>
      </c>
      <c r="C107" s="56" t="s">
        <v>400</v>
      </c>
      <c r="D107" s="11"/>
      <c r="E107" s="56" t="s">
        <v>826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udf43hra</v>
      </c>
      <c r="J107" s="3" t="str">
        <f t="shared" si="7"/>
        <v>udf43hra</v>
      </c>
    </row>
    <row r="108" spans="2:11" x14ac:dyDescent="0.25">
      <c r="B108" s="56" t="s">
        <v>827</v>
      </c>
      <c r="C108" s="56" t="s">
        <v>400</v>
      </c>
      <c r="D108" s="11"/>
      <c r="E108" s="56" t="s">
        <v>827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udf44hra</v>
      </c>
      <c r="J108" s="3" t="str">
        <f t="shared" si="7"/>
        <v>udf44hra</v>
      </c>
    </row>
    <row r="109" spans="2:11" x14ac:dyDescent="0.25">
      <c r="B109" s="56" t="s">
        <v>828</v>
      </c>
      <c r="C109" s="56" t="s">
        <v>400</v>
      </c>
      <c r="D109" s="11"/>
      <c r="E109" s="56" t="s">
        <v>828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udf45hra</v>
      </c>
      <c r="J109" s="3" t="str">
        <f t="shared" si="7"/>
        <v>udf45hra</v>
      </c>
    </row>
    <row r="110" spans="2:11" x14ac:dyDescent="0.25">
      <c r="B110" s="56" t="s">
        <v>829</v>
      </c>
      <c r="C110" s="56" t="s">
        <v>400</v>
      </c>
      <c r="D110" s="11"/>
      <c r="E110" s="56" t="s">
        <v>829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udf46hra</v>
      </c>
      <c r="J110" s="3" t="str">
        <f t="shared" si="7"/>
        <v>udf46hra</v>
      </c>
    </row>
    <row r="111" spans="2:11" x14ac:dyDescent="0.25">
      <c r="B111" s="56" t="s">
        <v>830</v>
      </c>
      <c r="C111" s="56" t="s">
        <v>400</v>
      </c>
      <c r="D111" s="11"/>
      <c r="E111" s="56" t="s">
        <v>830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udf47hra</v>
      </c>
      <c r="J111" s="3" t="str">
        <f t="shared" si="7"/>
        <v>udf47hra</v>
      </c>
    </row>
    <row r="112" spans="2:11" x14ac:dyDescent="0.25">
      <c r="B112" s="56" t="s">
        <v>831</v>
      </c>
      <c r="C112" s="56" t="s">
        <v>400</v>
      </c>
      <c r="D112" s="45"/>
      <c r="E112" s="56" t="s">
        <v>831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udf48hra</v>
      </c>
      <c r="J112" s="3" t="str">
        <f t="shared" si="7"/>
        <v>udf48hra</v>
      </c>
    </row>
    <row r="113" spans="2:10" x14ac:dyDescent="0.25">
      <c r="B113" s="56" t="s">
        <v>832</v>
      </c>
      <c r="C113" s="56" t="s">
        <v>400</v>
      </c>
      <c r="D113" s="11"/>
      <c r="E113" s="56" t="s">
        <v>832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udf49hra</v>
      </c>
      <c r="J113" s="3" t="str">
        <f t="shared" si="7"/>
        <v>udf49hra</v>
      </c>
    </row>
    <row r="114" spans="2:10" x14ac:dyDescent="0.25">
      <c r="B114" s="56" t="s">
        <v>833</v>
      </c>
      <c r="C114" s="56" t="s">
        <v>400</v>
      </c>
      <c r="D114" s="11"/>
      <c r="E114" s="56" t="s">
        <v>833</v>
      </c>
      <c r="F114" s="11">
        <v>0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udf50hra</v>
      </c>
      <c r="J114" s="3" t="str">
        <f t="shared" si="7"/>
        <v>udf50hra</v>
      </c>
    </row>
    <row r="115" spans="2:10" x14ac:dyDescent="0.25">
      <c r="B115" s="56" t="s">
        <v>834</v>
      </c>
      <c r="C115" s="56" t="s">
        <v>399</v>
      </c>
      <c r="D115" s="11">
        <v>100</v>
      </c>
      <c r="E115" s="56" t="s">
        <v>834</v>
      </c>
      <c r="F115" s="11">
        <v>0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udf1biometric</v>
      </c>
      <c r="J115" s="3" t="str">
        <f t="shared" si="7"/>
        <v>udf1biometric</v>
      </c>
    </row>
    <row r="116" spans="2:10" x14ac:dyDescent="0.25">
      <c r="B116" s="56" t="s">
        <v>835</v>
      </c>
      <c r="C116" s="56" t="s">
        <v>399</v>
      </c>
      <c r="D116" s="45">
        <v>100</v>
      </c>
      <c r="E116" s="56" t="s">
        <v>835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udf2biometric</v>
      </c>
      <c r="J116" s="3" t="str">
        <f t="shared" si="7"/>
        <v>udf2biometric</v>
      </c>
    </row>
    <row r="117" spans="2:10" x14ac:dyDescent="0.25">
      <c r="B117" s="56" t="s">
        <v>836</v>
      </c>
      <c r="C117" s="56" t="s">
        <v>399</v>
      </c>
      <c r="D117" s="11">
        <v>100</v>
      </c>
      <c r="E117" s="56" t="s">
        <v>836</v>
      </c>
      <c r="F117" s="11">
        <v>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udf3biometric</v>
      </c>
      <c r="J117" s="3" t="str">
        <f t="shared" si="7"/>
        <v>udf3biometric</v>
      </c>
    </row>
    <row r="118" spans="2:10" x14ac:dyDescent="0.25">
      <c r="B118" s="56" t="s">
        <v>837</v>
      </c>
      <c r="C118" s="56" t="s">
        <v>399</v>
      </c>
      <c r="D118" s="11">
        <v>100</v>
      </c>
      <c r="E118" s="56" t="s">
        <v>837</v>
      </c>
      <c r="F118" s="11">
        <v>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udf4biometric</v>
      </c>
      <c r="J118" s="3" t="str">
        <f t="shared" si="7"/>
        <v>udf4biometric</v>
      </c>
    </row>
    <row r="119" spans="2:10" x14ac:dyDescent="0.25">
      <c r="B119" s="56" t="s">
        <v>838</v>
      </c>
      <c r="C119" s="56" t="s">
        <v>399</v>
      </c>
      <c r="D119" s="11">
        <v>100</v>
      </c>
      <c r="E119" s="56" t="s">
        <v>838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udf5biometric</v>
      </c>
      <c r="J119" s="3" t="str">
        <f t="shared" si="7"/>
        <v>udf5biometric</v>
      </c>
    </row>
    <row r="120" spans="2:10" x14ac:dyDescent="0.25">
      <c r="B120" s="56" t="s">
        <v>839</v>
      </c>
      <c r="C120" s="56" t="s">
        <v>399</v>
      </c>
      <c r="D120" s="11">
        <v>100</v>
      </c>
      <c r="E120" s="56" t="s">
        <v>839</v>
      </c>
      <c r="F120" s="11">
        <v>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udf6biometric</v>
      </c>
      <c r="J120" s="3" t="str">
        <f t="shared" si="7"/>
        <v>udf6biometric</v>
      </c>
    </row>
    <row r="121" spans="2:10" x14ac:dyDescent="0.25">
      <c r="B121" s="56" t="s">
        <v>840</v>
      </c>
      <c r="C121" s="56" t="s">
        <v>399</v>
      </c>
      <c r="D121" s="11">
        <v>100</v>
      </c>
      <c r="E121" s="56" t="s">
        <v>840</v>
      </c>
      <c r="F121" s="11">
        <v>0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udf7biometric</v>
      </c>
      <c r="J121" s="3" t="str">
        <f t="shared" si="7"/>
        <v>udf7biometric</v>
      </c>
    </row>
    <row r="122" spans="2:10" x14ac:dyDescent="0.25">
      <c r="B122" s="56" t="s">
        <v>841</v>
      </c>
      <c r="C122" s="56" t="s">
        <v>399</v>
      </c>
      <c r="D122" s="11">
        <v>100</v>
      </c>
      <c r="E122" s="56" t="s">
        <v>841</v>
      </c>
      <c r="F122" s="11">
        <v>0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udf8biometric</v>
      </c>
      <c r="J122" s="3" t="str">
        <f t="shared" si="7"/>
        <v>udf8biometric</v>
      </c>
    </row>
    <row r="123" spans="2:10" x14ac:dyDescent="0.25">
      <c r="B123" s="56" t="s">
        <v>842</v>
      </c>
      <c r="C123" s="56" t="s">
        <v>399</v>
      </c>
      <c r="D123" s="11">
        <v>100</v>
      </c>
      <c r="E123" s="56" t="s">
        <v>842</v>
      </c>
      <c r="F123" s="11">
        <v>0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udf9biometric</v>
      </c>
      <c r="J123" s="3" t="str">
        <f t="shared" si="7"/>
        <v>udf9biometric</v>
      </c>
    </row>
    <row r="124" spans="2:10" x14ac:dyDescent="0.25">
      <c r="B124" s="56" t="s">
        <v>843</v>
      </c>
      <c r="C124" s="56" t="s">
        <v>399</v>
      </c>
      <c r="D124" s="11">
        <v>100</v>
      </c>
      <c r="E124" s="56" t="s">
        <v>843</v>
      </c>
      <c r="F124" s="11">
        <v>0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udf10biometric</v>
      </c>
      <c r="J124" s="3" t="str">
        <f t="shared" si="7"/>
        <v>udf10biometric</v>
      </c>
    </row>
    <row r="125" spans="2:10" x14ac:dyDescent="0.25">
      <c r="B125" s="56" t="s">
        <v>844</v>
      </c>
      <c r="C125" s="56" t="s">
        <v>399</v>
      </c>
      <c r="D125" s="11">
        <v>100</v>
      </c>
      <c r="E125" s="56" t="s">
        <v>844</v>
      </c>
      <c r="F125" s="11">
        <v>0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udf11biometric</v>
      </c>
      <c r="J125" s="3" t="str">
        <f t="shared" si="7"/>
        <v>udf11biometric</v>
      </c>
    </row>
    <row r="126" spans="2:10" x14ac:dyDescent="0.25">
      <c r="B126" s="56" t="s">
        <v>845</v>
      </c>
      <c r="C126" s="56" t="s">
        <v>399</v>
      </c>
      <c r="D126" s="11">
        <v>100</v>
      </c>
      <c r="E126" s="56" t="s">
        <v>845</v>
      </c>
      <c r="F126" s="11">
        <v>0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udf12biometric</v>
      </c>
      <c r="J126" s="3" t="str">
        <f t="shared" si="7"/>
        <v>udf12biometric</v>
      </c>
    </row>
    <row r="127" spans="2:10" x14ac:dyDescent="0.25">
      <c r="B127" s="56" t="s">
        <v>846</v>
      </c>
      <c r="C127" s="56" t="s">
        <v>399</v>
      </c>
      <c r="D127" s="11">
        <v>100</v>
      </c>
      <c r="E127" s="56" t="s">
        <v>846</v>
      </c>
      <c r="F127" s="11">
        <v>0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udf13biometric</v>
      </c>
      <c r="J127" s="3" t="str">
        <f t="shared" si="7"/>
        <v>udf13biometric</v>
      </c>
    </row>
    <row r="128" spans="2:10" x14ac:dyDescent="0.25">
      <c r="B128" s="56" t="s">
        <v>847</v>
      </c>
      <c r="C128" s="56" t="s">
        <v>399</v>
      </c>
      <c r="D128" s="11">
        <v>100</v>
      </c>
      <c r="E128" s="56" t="s">
        <v>847</v>
      </c>
      <c r="F128" s="11">
        <v>0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udf14biometric</v>
      </c>
      <c r="J128" s="3" t="str">
        <f t="shared" si="7"/>
        <v>udf14biometric</v>
      </c>
    </row>
    <row r="129" spans="2:10" x14ac:dyDescent="0.25">
      <c r="B129" s="56" t="s">
        <v>848</v>
      </c>
      <c r="C129" s="56" t="s">
        <v>399</v>
      </c>
      <c r="D129" s="11">
        <v>100</v>
      </c>
      <c r="E129" s="56" t="s">
        <v>848</v>
      </c>
      <c r="F129" s="11">
        <v>0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udf15biometric</v>
      </c>
      <c r="J129" s="3" t="str">
        <f t="shared" si="7"/>
        <v>udf15biometric</v>
      </c>
    </row>
    <row r="130" spans="2:10" x14ac:dyDescent="0.25">
      <c r="B130" s="56" t="s">
        <v>849</v>
      </c>
      <c r="C130" s="56" t="s">
        <v>562</v>
      </c>
      <c r="D130" s="11"/>
      <c r="E130" s="56" t="s">
        <v>849</v>
      </c>
      <c r="F130" s="11">
        <v>0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udf31biometric</v>
      </c>
      <c r="J130" s="3" t="str">
        <f t="shared" si="7"/>
        <v>udf31biometric</v>
      </c>
    </row>
    <row r="131" spans="2:10" x14ac:dyDescent="0.25">
      <c r="B131" s="56" t="s">
        <v>850</v>
      </c>
      <c r="C131" s="56" t="s">
        <v>562</v>
      </c>
      <c r="D131" s="11"/>
      <c r="E131" s="56" t="s">
        <v>850</v>
      </c>
      <c r="F131" s="11">
        <v>0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udf32biometric</v>
      </c>
      <c r="J131" s="3" t="str">
        <f t="shared" ref="J131:J194" si="11">SUBSTITUTE(E131,"_","")</f>
        <v>udf32biometric</v>
      </c>
    </row>
    <row r="132" spans="2:10" x14ac:dyDescent="0.25">
      <c r="B132" s="56" t="s">
        <v>851</v>
      </c>
      <c r="C132" s="56" t="s">
        <v>562</v>
      </c>
      <c r="D132" s="11"/>
      <c r="E132" s="56" t="s">
        <v>851</v>
      </c>
      <c r="F132" s="11">
        <v>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udf33biometric</v>
      </c>
      <c r="J132" s="3" t="str">
        <f t="shared" si="11"/>
        <v>udf33biometric</v>
      </c>
    </row>
    <row r="133" spans="2:10" x14ac:dyDescent="0.25">
      <c r="B133" s="56" t="s">
        <v>852</v>
      </c>
      <c r="C133" s="56" t="s">
        <v>562</v>
      </c>
      <c r="D133" s="11"/>
      <c r="E133" s="56" t="s">
        <v>852</v>
      </c>
      <c r="F133" s="11">
        <v>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udf34biometric</v>
      </c>
      <c r="J133" s="3" t="str">
        <f t="shared" si="11"/>
        <v>udf34biometric</v>
      </c>
    </row>
    <row r="134" spans="2:10" x14ac:dyDescent="0.25">
      <c r="B134" s="56" t="s">
        <v>853</v>
      </c>
      <c r="C134" s="56" t="s">
        <v>562</v>
      </c>
      <c r="D134" s="11"/>
      <c r="E134" s="56" t="s">
        <v>853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udf35biometric</v>
      </c>
      <c r="J134" s="3" t="str">
        <f t="shared" si="11"/>
        <v>udf35biometric</v>
      </c>
    </row>
    <row r="135" spans="2:10" x14ac:dyDescent="0.25">
      <c r="B135" s="56" t="s">
        <v>854</v>
      </c>
      <c r="C135" s="56" t="s">
        <v>562</v>
      </c>
      <c r="D135" s="11"/>
      <c r="E135" s="56" t="s">
        <v>854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udf36biometric</v>
      </c>
      <c r="J135" s="3" t="str">
        <f t="shared" si="11"/>
        <v>udf36biometric</v>
      </c>
    </row>
    <row r="136" spans="2:10" x14ac:dyDescent="0.25">
      <c r="B136" s="56" t="s">
        <v>855</v>
      </c>
      <c r="C136" s="56" t="s">
        <v>562</v>
      </c>
      <c r="D136" s="11"/>
      <c r="E136" s="56" t="s">
        <v>855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udf37biometric</v>
      </c>
      <c r="J136" s="3" t="str">
        <f t="shared" si="11"/>
        <v>udf37biometric</v>
      </c>
    </row>
    <row r="137" spans="2:10" x14ac:dyDescent="0.25">
      <c r="B137" s="56" t="s">
        <v>856</v>
      </c>
      <c r="C137" s="56" t="s">
        <v>562</v>
      </c>
      <c r="D137" s="11"/>
      <c r="E137" s="56" t="s">
        <v>856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udf38biometric</v>
      </c>
      <c r="J137" s="3" t="str">
        <f t="shared" si="11"/>
        <v>udf38biometric</v>
      </c>
    </row>
    <row r="138" spans="2:10" x14ac:dyDescent="0.25">
      <c r="B138" s="56" t="s">
        <v>857</v>
      </c>
      <c r="C138" s="56" t="s">
        <v>562</v>
      </c>
      <c r="D138" s="11"/>
      <c r="E138" s="56" t="s">
        <v>857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udf39biometric</v>
      </c>
      <c r="J138" s="3" t="str">
        <f t="shared" si="11"/>
        <v>udf39biometric</v>
      </c>
    </row>
    <row r="139" spans="2:10" x14ac:dyDescent="0.25">
      <c r="B139" s="56" t="s">
        <v>858</v>
      </c>
      <c r="C139" s="56" t="s">
        <v>562</v>
      </c>
      <c r="D139" s="11"/>
      <c r="E139" s="56" t="s">
        <v>858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udf40biometric</v>
      </c>
      <c r="J139" s="3" t="str">
        <f t="shared" si="11"/>
        <v>udf40biometric</v>
      </c>
    </row>
    <row r="140" spans="2:10" x14ac:dyDescent="0.25">
      <c r="B140" s="56" t="s">
        <v>859</v>
      </c>
      <c r="C140" s="56" t="s">
        <v>400</v>
      </c>
      <c r="D140" s="11"/>
      <c r="E140" s="56" t="s">
        <v>859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udf41biometric</v>
      </c>
      <c r="J140" s="3" t="str">
        <f t="shared" si="11"/>
        <v>udf41biometric</v>
      </c>
    </row>
    <row r="141" spans="2:10" x14ac:dyDescent="0.25">
      <c r="B141" s="56" t="s">
        <v>860</v>
      </c>
      <c r="C141" s="56" t="s">
        <v>400</v>
      </c>
      <c r="D141" s="45"/>
      <c r="E141" s="56" t="s">
        <v>860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udf42biometric</v>
      </c>
      <c r="J141" s="3" t="str">
        <f t="shared" si="11"/>
        <v>udf42biometric</v>
      </c>
    </row>
    <row r="142" spans="2:10" x14ac:dyDescent="0.25">
      <c r="B142" s="56" t="s">
        <v>861</v>
      </c>
      <c r="C142" s="56" t="s">
        <v>400</v>
      </c>
      <c r="D142" s="11"/>
      <c r="E142" s="56" t="s">
        <v>861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udf43biometric</v>
      </c>
      <c r="J142" s="3" t="str">
        <f t="shared" si="11"/>
        <v>udf43biometric</v>
      </c>
    </row>
    <row r="143" spans="2:10" x14ac:dyDescent="0.25">
      <c r="B143" s="56" t="s">
        <v>862</v>
      </c>
      <c r="C143" s="56" t="s">
        <v>400</v>
      </c>
      <c r="D143" s="11"/>
      <c r="E143" s="56" t="s">
        <v>862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udf44biometric</v>
      </c>
      <c r="J143" s="3" t="str">
        <f t="shared" si="11"/>
        <v>udf44biometric</v>
      </c>
    </row>
    <row r="144" spans="2:10" x14ac:dyDescent="0.25">
      <c r="B144" s="56" t="s">
        <v>863</v>
      </c>
      <c r="C144" s="56" t="s">
        <v>400</v>
      </c>
      <c r="D144" s="11"/>
      <c r="E144" s="56" t="s">
        <v>863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udf45biometric</v>
      </c>
      <c r="J144" s="3" t="str">
        <f t="shared" si="11"/>
        <v>udf45biometric</v>
      </c>
    </row>
    <row r="145" spans="2:10" x14ac:dyDescent="0.25">
      <c r="B145" s="56" t="s">
        <v>864</v>
      </c>
      <c r="C145" s="56" t="s">
        <v>400</v>
      </c>
      <c r="D145" s="11"/>
      <c r="E145" s="56" t="s">
        <v>864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udf46biometric</v>
      </c>
      <c r="J145" s="3" t="str">
        <f t="shared" si="11"/>
        <v>udf46biometric</v>
      </c>
    </row>
    <row r="146" spans="2:10" x14ac:dyDescent="0.25">
      <c r="B146" s="56" t="s">
        <v>865</v>
      </c>
      <c r="C146" s="56" t="s">
        <v>400</v>
      </c>
      <c r="D146" s="11"/>
      <c r="E146" s="56" t="s">
        <v>865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udf47biometric</v>
      </c>
      <c r="J146" s="3" t="str">
        <f t="shared" si="11"/>
        <v>udf47biometric</v>
      </c>
    </row>
    <row r="147" spans="2:10" x14ac:dyDescent="0.25">
      <c r="B147" s="56" t="s">
        <v>866</v>
      </c>
      <c r="C147" s="56" t="s">
        <v>400</v>
      </c>
      <c r="D147" s="11"/>
      <c r="E147" s="56" t="s">
        <v>866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udf48biometric</v>
      </c>
      <c r="J147" s="3" t="str">
        <f t="shared" si="11"/>
        <v>udf48biometric</v>
      </c>
    </row>
    <row r="148" spans="2:10" x14ac:dyDescent="0.25">
      <c r="B148" s="56" t="s">
        <v>867</v>
      </c>
      <c r="C148" s="56" t="s">
        <v>400</v>
      </c>
      <c r="D148" s="11"/>
      <c r="E148" s="56" t="s">
        <v>867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udf49biometric</v>
      </c>
      <c r="J148" s="3" t="str">
        <f t="shared" si="11"/>
        <v>udf49biometric</v>
      </c>
    </row>
    <row r="149" spans="2:10" x14ac:dyDescent="0.25">
      <c r="B149" s="56" t="s">
        <v>868</v>
      </c>
      <c r="C149" s="56" t="s">
        <v>400</v>
      </c>
      <c r="D149" s="11"/>
      <c r="E149" s="56" t="s">
        <v>868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udf50biometric</v>
      </c>
      <c r="J149" s="3" t="str">
        <f t="shared" si="11"/>
        <v>udf50biometric</v>
      </c>
    </row>
    <row r="150" spans="2:10" x14ac:dyDescent="0.25">
      <c r="B150" s="56" t="s">
        <v>869</v>
      </c>
      <c r="C150" s="56" t="s">
        <v>399</v>
      </c>
      <c r="D150" s="11">
        <v>100</v>
      </c>
      <c r="E150" s="56" t="s">
        <v>869</v>
      </c>
      <c r="F150" s="11">
        <v>33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udf1eligibility</v>
      </c>
      <c r="J150" s="3" t="str">
        <f t="shared" si="11"/>
        <v>udf1eligibility</v>
      </c>
    </row>
    <row r="151" spans="2:10" x14ac:dyDescent="0.25">
      <c r="B151" s="56" t="s">
        <v>870</v>
      </c>
      <c r="C151" s="56" t="s">
        <v>399</v>
      </c>
      <c r="D151" s="11">
        <v>100</v>
      </c>
      <c r="E151" s="56" t="s">
        <v>870</v>
      </c>
      <c r="F151" s="11">
        <v>34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udf2eligibility</v>
      </c>
      <c r="J151" s="3" t="str">
        <f t="shared" si="11"/>
        <v>udf2eligibility</v>
      </c>
    </row>
    <row r="152" spans="2:10" x14ac:dyDescent="0.25">
      <c r="B152" s="56" t="s">
        <v>871</v>
      </c>
      <c r="C152" s="56" t="s">
        <v>399</v>
      </c>
      <c r="D152" s="11">
        <v>100</v>
      </c>
      <c r="E152" s="56" t="s">
        <v>871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udf3eligibility</v>
      </c>
      <c r="J152" s="3" t="str">
        <f t="shared" si="11"/>
        <v>udf3eligibility</v>
      </c>
    </row>
    <row r="153" spans="2:10" x14ac:dyDescent="0.25">
      <c r="B153" s="56" t="s">
        <v>872</v>
      </c>
      <c r="C153" s="56" t="s">
        <v>399</v>
      </c>
      <c r="D153" s="11">
        <v>100</v>
      </c>
      <c r="E153" s="56" t="s">
        <v>872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udf4eligibility</v>
      </c>
      <c r="J153" s="3" t="str">
        <f t="shared" si="11"/>
        <v>udf4eligibility</v>
      </c>
    </row>
    <row r="154" spans="2:10" x14ac:dyDescent="0.25">
      <c r="B154" s="56" t="s">
        <v>873</v>
      </c>
      <c r="C154" s="56" t="s">
        <v>399</v>
      </c>
      <c r="D154" s="11">
        <v>100</v>
      </c>
      <c r="E154" s="56" t="s">
        <v>873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udf5eligibility</v>
      </c>
      <c r="J154" s="3" t="str">
        <f t="shared" si="11"/>
        <v>udf5eligibility</v>
      </c>
    </row>
    <row r="155" spans="2:10" x14ac:dyDescent="0.25">
      <c r="B155" s="56" t="s">
        <v>874</v>
      </c>
      <c r="C155" s="56" t="s">
        <v>399</v>
      </c>
      <c r="D155" s="11">
        <v>100</v>
      </c>
      <c r="E155" s="56" t="s">
        <v>874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udf6eligibility</v>
      </c>
      <c r="J155" s="3" t="str">
        <f t="shared" si="11"/>
        <v>udf6eligibility</v>
      </c>
    </row>
    <row r="156" spans="2:10" x14ac:dyDescent="0.25">
      <c r="B156" s="56" t="s">
        <v>875</v>
      </c>
      <c r="C156" s="56" t="s">
        <v>399</v>
      </c>
      <c r="D156" s="11">
        <v>100</v>
      </c>
      <c r="E156" s="56" t="s">
        <v>875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udf7eligibility</v>
      </c>
      <c r="J156" s="3" t="str">
        <f t="shared" si="11"/>
        <v>udf7eligibility</v>
      </c>
    </row>
    <row r="157" spans="2:10" x14ac:dyDescent="0.25">
      <c r="B157" s="56" t="s">
        <v>876</v>
      </c>
      <c r="C157" s="56" t="s">
        <v>399</v>
      </c>
      <c r="D157" s="11">
        <v>100</v>
      </c>
      <c r="E157" s="56" t="s">
        <v>876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udf8eligibility</v>
      </c>
      <c r="J157" s="3" t="str">
        <f t="shared" si="11"/>
        <v>udf8eligibility</v>
      </c>
    </row>
    <row r="158" spans="2:10" x14ac:dyDescent="0.25">
      <c r="B158" s="56" t="s">
        <v>877</v>
      </c>
      <c r="C158" s="56" t="s">
        <v>399</v>
      </c>
      <c r="D158" s="11">
        <v>100</v>
      </c>
      <c r="E158" s="56" t="s">
        <v>877</v>
      </c>
      <c r="F158" s="11">
        <v>0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udf9eligibility</v>
      </c>
      <c r="J158" s="3" t="str">
        <f t="shared" si="11"/>
        <v>udf9eligibility</v>
      </c>
    </row>
    <row r="159" spans="2:10" x14ac:dyDescent="0.25">
      <c r="B159" s="56" t="s">
        <v>878</v>
      </c>
      <c r="C159" s="56" t="s">
        <v>399</v>
      </c>
      <c r="D159" s="11">
        <v>100</v>
      </c>
      <c r="E159" s="56" t="s">
        <v>878</v>
      </c>
      <c r="F159" s="11">
        <v>0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udf10eligibility</v>
      </c>
      <c r="J159" s="3" t="str">
        <f t="shared" si="11"/>
        <v>udf10eligibility</v>
      </c>
    </row>
    <row r="160" spans="2:10" x14ac:dyDescent="0.25">
      <c r="B160" s="56" t="s">
        <v>879</v>
      </c>
      <c r="C160" s="56" t="s">
        <v>399</v>
      </c>
      <c r="D160" s="11">
        <v>100</v>
      </c>
      <c r="E160" s="56" t="s">
        <v>879</v>
      </c>
      <c r="F160" s="11">
        <v>0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udf11eligibility</v>
      </c>
      <c r="J160" s="3" t="str">
        <f t="shared" si="11"/>
        <v>udf11eligibility</v>
      </c>
    </row>
    <row r="161" spans="2:10" x14ac:dyDescent="0.25">
      <c r="B161" s="56" t="s">
        <v>880</v>
      </c>
      <c r="C161" s="56" t="s">
        <v>399</v>
      </c>
      <c r="D161" s="11">
        <v>100</v>
      </c>
      <c r="E161" s="56" t="s">
        <v>880</v>
      </c>
      <c r="F161" s="11">
        <v>0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udf12eligibility</v>
      </c>
      <c r="J161" s="3" t="str">
        <f t="shared" si="11"/>
        <v>udf12eligibility</v>
      </c>
    </row>
    <row r="162" spans="2:10" x14ac:dyDescent="0.25">
      <c r="B162" s="56" t="s">
        <v>881</v>
      </c>
      <c r="C162" s="56" t="s">
        <v>399</v>
      </c>
      <c r="D162" s="11">
        <v>100</v>
      </c>
      <c r="E162" s="56" t="s">
        <v>881</v>
      </c>
      <c r="F162" s="11">
        <v>0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udf13eligibility</v>
      </c>
      <c r="J162" s="3" t="str">
        <f t="shared" si="11"/>
        <v>udf13eligibility</v>
      </c>
    </row>
    <row r="163" spans="2:10" x14ac:dyDescent="0.25">
      <c r="B163" s="56" t="s">
        <v>882</v>
      </c>
      <c r="C163" s="56" t="s">
        <v>399</v>
      </c>
      <c r="D163" s="11">
        <v>100</v>
      </c>
      <c r="E163" s="56" t="s">
        <v>882</v>
      </c>
      <c r="F163" s="11">
        <v>0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udf14eligibility</v>
      </c>
      <c r="J163" s="3" t="str">
        <f t="shared" si="11"/>
        <v>udf14eligibility</v>
      </c>
    </row>
    <row r="164" spans="2:10" x14ac:dyDescent="0.25">
      <c r="B164" s="56" t="s">
        <v>883</v>
      </c>
      <c r="C164" s="56" t="s">
        <v>399</v>
      </c>
      <c r="D164" s="11">
        <v>100</v>
      </c>
      <c r="E164" s="56" t="s">
        <v>883</v>
      </c>
      <c r="F164" s="11">
        <v>0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udf15eligibility</v>
      </c>
      <c r="J164" s="3" t="str">
        <f t="shared" si="11"/>
        <v>udf15eligibility</v>
      </c>
    </row>
    <row r="165" spans="2:10" x14ac:dyDescent="0.25">
      <c r="B165" s="56" t="s">
        <v>66</v>
      </c>
      <c r="C165" s="56" t="s">
        <v>399</v>
      </c>
      <c r="D165" s="11">
        <v>100</v>
      </c>
      <c r="E165" s="56" t="s">
        <v>66</v>
      </c>
      <c r="F165" s="11">
        <v>8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udf16</v>
      </c>
      <c r="J165" s="3" t="str">
        <f t="shared" si="11"/>
        <v>udf16</v>
      </c>
    </row>
    <row r="166" spans="2:10" x14ac:dyDescent="0.25">
      <c r="B166" s="56" t="s">
        <v>67</v>
      </c>
      <c r="C166" s="56" t="s">
        <v>399</v>
      </c>
      <c r="D166" s="11">
        <v>100</v>
      </c>
      <c r="E166" s="56" t="s">
        <v>67</v>
      </c>
      <c r="F166" s="11">
        <v>14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udf17</v>
      </c>
      <c r="J166" s="3" t="str">
        <f t="shared" si="11"/>
        <v>udf17</v>
      </c>
    </row>
    <row r="167" spans="2:10" x14ac:dyDescent="0.25">
      <c r="B167" s="56" t="s">
        <v>68</v>
      </c>
      <c r="C167" s="56" t="s">
        <v>399</v>
      </c>
      <c r="D167" s="11">
        <v>100</v>
      </c>
      <c r="E167" s="56" t="s">
        <v>68</v>
      </c>
      <c r="F167" s="11">
        <v>8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udf18</v>
      </c>
      <c r="J167" s="3" t="str">
        <f t="shared" si="11"/>
        <v>udf18</v>
      </c>
    </row>
    <row r="168" spans="2:10" x14ac:dyDescent="0.25">
      <c r="B168" s="56" t="s">
        <v>69</v>
      </c>
      <c r="C168" s="56" t="s">
        <v>399</v>
      </c>
      <c r="D168" s="11">
        <v>100</v>
      </c>
      <c r="E168" s="56" t="s">
        <v>69</v>
      </c>
      <c r="F168" s="11">
        <v>14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udf19</v>
      </c>
      <c r="J168" s="3" t="str">
        <f t="shared" si="11"/>
        <v>udf19</v>
      </c>
    </row>
    <row r="169" spans="2:10" x14ac:dyDescent="0.25">
      <c r="B169" s="56" t="s">
        <v>70</v>
      </c>
      <c r="C169" s="56" t="s">
        <v>399</v>
      </c>
      <c r="D169" s="11">
        <v>100</v>
      </c>
      <c r="E169" s="56" t="s">
        <v>70</v>
      </c>
      <c r="F169" s="11">
        <v>8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udf20</v>
      </c>
      <c r="J169" s="3" t="str">
        <f t="shared" si="11"/>
        <v>udf20</v>
      </c>
    </row>
    <row r="170" spans="2:10" x14ac:dyDescent="0.25">
      <c r="B170" s="56" t="s">
        <v>436</v>
      </c>
      <c r="C170" s="56" t="s">
        <v>399</v>
      </c>
      <c r="D170" s="11">
        <v>100</v>
      </c>
      <c r="E170" s="56" t="s">
        <v>436</v>
      </c>
      <c r="F170" s="11">
        <v>14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udf21</v>
      </c>
      <c r="J170" s="3" t="str">
        <f t="shared" si="11"/>
        <v>udf21</v>
      </c>
    </row>
    <row r="171" spans="2:10" x14ac:dyDescent="0.25">
      <c r="B171" s="56" t="s">
        <v>437</v>
      </c>
      <c r="C171" s="56" t="s">
        <v>399</v>
      </c>
      <c r="D171" s="11">
        <v>100</v>
      </c>
      <c r="E171" s="56" t="s">
        <v>437</v>
      </c>
      <c r="F171" s="11">
        <v>5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udf22</v>
      </c>
      <c r="J171" s="3" t="str">
        <f t="shared" si="11"/>
        <v>udf22</v>
      </c>
    </row>
    <row r="172" spans="2:10" x14ac:dyDescent="0.25">
      <c r="B172" s="56" t="s">
        <v>438</v>
      </c>
      <c r="C172" s="56" t="s">
        <v>399</v>
      </c>
      <c r="D172" s="11">
        <v>100</v>
      </c>
      <c r="E172" s="56" t="s">
        <v>438</v>
      </c>
      <c r="F172" s="11">
        <v>5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udf23</v>
      </c>
      <c r="J172" s="3" t="str">
        <f t="shared" si="11"/>
        <v>udf23</v>
      </c>
    </row>
    <row r="173" spans="2:10" x14ac:dyDescent="0.25">
      <c r="B173" s="56" t="s">
        <v>439</v>
      </c>
      <c r="C173" s="56" t="s">
        <v>399</v>
      </c>
      <c r="D173" s="11">
        <v>100</v>
      </c>
      <c r="E173" s="56" t="s">
        <v>439</v>
      </c>
      <c r="F173" s="11">
        <v>5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udf24</v>
      </c>
      <c r="J173" s="3" t="str">
        <f t="shared" si="11"/>
        <v>udf24</v>
      </c>
    </row>
    <row r="174" spans="2:10" x14ac:dyDescent="0.25">
      <c r="B174" s="56" t="s">
        <v>440</v>
      </c>
      <c r="C174" s="56" t="s">
        <v>399</v>
      </c>
      <c r="D174" s="11">
        <v>100</v>
      </c>
      <c r="E174" s="56" t="s">
        <v>440</v>
      </c>
      <c r="F174" s="11">
        <v>5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udf25</v>
      </c>
      <c r="J174" s="3" t="str">
        <f t="shared" si="11"/>
        <v>udf25</v>
      </c>
    </row>
    <row r="175" spans="2:10" x14ac:dyDescent="0.25">
      <c r="B175" s="56" t="s">
        <v>441</v>
      </c>
      <c r="C175" s="56" t="s">
        <v>399</v>
      </c>
      <c r="D175" s="11">
        <v>100</v>
      </c>
      <c r="E175" s="56" t="s">
        <v>441</v>
      </c>
      <c r="F175" s="11">
        <v>0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udf26</v>
      </c>
      <c r="J175" s="3" t="str">
        <f t="shared" si="11"/>
        <v>udf26</v>
      </c>
    </row>
    <row r="176" spans="2:10" x14ac:dyDescent="0.25">
      <c r="B176" s="56" t="s">
        <v>442</v>
      </c>
      <c r="C176" s="56" t="s">
        <v>399</v>
      </c>
      <c r="D176" s="11">
        <v>100</v>
      </c>
      <c r="E176" s="56" t="s">
        <v>442</v>
      </c>
      <c r="F176" s="11">
        <v>0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udf27</v>
      </c>
      <c r="J176" s="3" t="str">
        <f t="shared" si="11"/>
        <v>udf27</v>
      </c>
    </row>
    <row r="177" spans="2:10" x14ac:dyDescent="0.25">
      <c r="B177" s="56" t="s">
        <v>443</v>
      </c>
      <c r="C177" s="56" t="s">
        <v>399</v>
      </c>
      <c r="D177" s="11">
        <v>100</v>
      </c>
      <c r="E177" s="56" t="s">
        <v>443</v>
      </c>
      <c r="F177" s="11">
        <v>0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udf28</v>
      </c>
      <c r="J177" s="3" t="str">
        <f t="shared" si="11"/>
        <v>udf28</v>
      </c>
    </row>
    <row r="178" spans="2:10" x14ac:dyDescent="0.25">
      <c r="B178" s="56" t="s">
        <v>444</v>
      </c>
      <c r="C178" s="56" t="s">
        <v>399</v>
      </c>
      <c r="D178" s="11">
        <v>100</v>
      </c>
      <c r="E178" s="56" t="s">
        <v>444</v>
      </c>
      <c r="F178" s="11">
        <v>0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udf29</v>
      </c>
      <c r="J178" s="3" t="str">
        <f t="shared" si="11"/>
        <v>udf29</v>
      </c>
    </row>
    <row r="179" spans="2:10" x14ac:dyDescent="0.25">
      <c r="B179" s="56" t="s">
        <v>445</v>
      </c>
      <c r="C179" s="56" t="s">
        <v>399</v>
      </c>
      <c r="D179" s="11">
        <v>100</v>
      </c>
      <c r="E179" s="56" t="s">
        <v>445</v>
      </c>
      <c r="F179" s="11">
        <v>0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udf30</v>
      </c>
      <c r="J179" s="3" t="str">
        <f t="shared" si="11"/>
        <v>udf30</v>
      </c>
    </row>
    <row r="180" spans="2:10" x14ac:dyDescent="0.25">
      <c r="B180" s="56" t="s">
        <v>884</v>
      </c>
      <c r="C180" s="56" t="s">
        <v>562</v>
      </c>
      <c r="D180" s="11"/>
      <c r="E180" s="56" t="s">
        <v>884</v>
      </c>
      <c r="F180" s="11">
        <v>0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udf31eligibility</v>
      </c>
      <c r="J180" s="3" t="str">
        <f t="shared" si="11"/>
        <v>udf31eligibility</v>
      </c>
    </row>
    <row r="181" spans="2:10" x14ac:dyDescent="0.25">
      <c r="B181" s="56" t="s">
        <v>885</v>
      </c>
      <c r="C181" s="56" t="s">
        <v>562</v>
      </c>
      <c r="D181" s="11"/>
      <c r="E181" s="56" t="s">
        <v>885</v>
      </c>
      <c r="F181" s="11">
        <v>0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udf32eligibility</v>
      </c>
      <c r="J181" s="3" t="str">
        <f t="shared" si="11"/>
        <v>udf32eligibility</v>
      </c>
    </row>
    <row r="182" spans="2:10" x14ac:dyDescent="0.25">
      <c r="B182" s="56" t="s">
        <v>886</v>
      </c>
      <c r="C182" s="56" t="s">
        <v>562</v>
      </c>
      <c r="D182" s="11"/>
      <c r="E182" s="56" t="s">
        <v>886</v>
      </c>
      <c r="F182" s="11">
        <v>0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udf33eligibility</v>
      </c>
      <c r="J182" s="3" t="str">
        <f t="shared" si="11"/>
        <v>udf33eligibility</v>
      </c>
    </row>
    <row r="183" spans="2:10" x14ac:dyDescent="0.25">
      <c r="B183" s="56" t="s">
        <v>887</v>
      </c>
      <c r="C183" s="56" t="s">
        <v>562</v>
      </c>
      <c r="D183" s="11"/>
      <c r="E183" s="56" t="s">
        <v>887</v>
      </c>
      <c r="F183" s="11">
        <v>0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udf34eligibility</v>
      </c>
      <c r="J183" s="3" t="str">
        <f t="shared" si="11"/>
        <v>udf34eligibility</v>
      </c>
    </row>
    <row r="184" spans="2:10" x14ac:dyDescent="0.25">
      <c r="B184" s="56" t="s">
        <v>888</v>
      </c>
      <c r="C184" s="56" t="s">
        <v>562</v>
      </c>
      <c r="D184" s="11"/>
      <c r="E184" s="56" t="s">
        <v>888</v>
      </c>
      <c r="F184" s="11">
        <v>0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udf35eligibility</v>
      </c>
      <c r="J184" s="3" t="str">
        <f t="shared" si="11"/>
        <v>udf35eligibility</v>
      </c>
    </row>
    <row r="185" spans="2:10" x14ac:dyDescent="0.25">
      <c r="B185" s="56" t="s">
        <v>889</v>
      </c>
      <c r="C185" s="56" t="s">
        <v>562</v>
      </c>
      <c r="D185" s="11"/>
      <c r="E185" s="56" t="s">
        <v>889</v>
      </c>
      <c r="F185" s="11">
        <v>0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udf36eligibility</v>
      </c>
      <c r="J185" s="3" t="str">
        <f t="shared" si="11"/>
        <v>udf36eligibility</v>
      </c>
    </row>
    <row r="186" spans="2:10" x14ac:dyDescent="0.25">
      <c r="B186" s="56" t="s">
        <v>890</v>
      </c>
      <c r="C186" s="56" t="s">
        <v>562</v>
      </c>
      <c r="D186" s="11"/>
      <c r="E186" s="56" t="s">
        <v>890</v>
      </c>
      <c r="F186" s="11">
        <v>0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udf37eligibility</v>
      </c>
      <c r="J186" s="3" t="str">
        <f t="shared" si="11"/>
        <v>udf37eligibility</v>
      </c>
    </row>
    <row r="187" spans="2:10" x14ac:dyDescent="0.25">
      <c r="B187" s="56" t="s">
        <v>891</v>
      </c>
      <c r="C187" s="56" t="s">
        <v>562</v>
      </c>
      <c r="D187" s="11"/>
      <c r="E187" s="56" t="s">
        <v>891</v>
      </c>
      <c r="F187" s="11">
        <v>0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udf38eligibility</v>
      </c>
      <c r="J187" s="3" t="str">
        <f t="shared" si="11"/>
        <v>udf38eligibility</v>
      </c>
    </row>
    <row r="188" spans="2:10" x14ac:dyDescent="0.25">
      <c r="B188" s="56" t="s">
        <v>892</v>
      </c>
      <c r="C188" s="56" t="s">
        <v>562</v>
      </c>
      <c r="D188" s="11"/>
      <c r="E188" s="56" t="s">
        <v>892</v>
      </c>
      <c r="F188" s="11">
        <v>0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udf39eligibility</v>
      </c>
      <c r="J188" s="3" t="str">
        <f t="shared" si="11"/>
        <v>udf39eligibility</v>
      </c>
    </row>
    <row r="189" spans="2:10" x14ac:dyDescent="0.25">
      <c r="B189" s="56" t="s">
        <v>893</v>
      </c>
      <c r="C189" s="56" t="s">
        <v>562</v>
      </c>
      <c r="D189" s="11"/>
      <c r="E189" s="56" t="s">
        <v>893</v>
      </c>
      <c r="F189" s="11">
        <v>0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udf40eligibility</v>
      </c>
      <c r="J189" s="3" t="str">
        <f t="shared" si="11"/>
        <v>udf40eligibility</v>
      </c>
    </row>
    <row r="190" spans="2:10" x14ac:dyDescent="0.25">
      <c r="B190" s="56" t="s">
        <v>894</v>
      </c>
      <c r="C190" s="56" t="s">
        <v>400</v>
      </c>
      <c r="D190" s="11"/>
      <c r="E190" s="56" t="s">
        <v>894</v>
      </c>
      <c r="F190" s="11">
        <v>0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udf41eligibility</v>
      </c>
      <c r="J190" s="3" t="str">
        <f t="shared" si="11"/>
        <v>udf41eligibility</v>
      </c>
    </row>
    <row r="191" spans="2:10" x14ac:dyDescent="0.25">
      <c r="B191" s="56" t="s">
        <v>895</v>
      </c>
      <c r="C191" s="56" t="s">
        <v>400</v>
      </c>
      <c r="D191" s="11"/>
      <c r="E191" s="56" t="s">
        <v>895</v>
      </c>
      <c r="F191" s="11">
        <v>0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udf42eligibility</v>
      </c>
      <c r="J191" s="3" t="str">
        <f t="shared" si="11"/>
        <v>udf42eligibility</v>
      </c>
    </row>
    <row r="192" spans="2:10" x14ac:dyDescent="0.25">
      <c r="B192" s="56" t="s">
        <v>896</v>
      </c>
      <c r="C192" s="56" t="s">
        <v>400</v>
      </c>
      <c r="D192" s="11"/>
      <c r="E192" s="56" t="s">
        <v>896</v>
      </c>
      <c r="F192" s="11">
        <v>0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udf43eligibility</v>
      </c>
      <c r="J192" s="3" t="str">
        <f t="shared" si="11"/>
        <v>udf43eligibility</v>
      </c>
    </row>
    <row r="193" spans="2:10" x14ac:dyDescent="0.25">
      <c r="B193" s="56" t="s">
        <v>897</v>
      </c>
      <c r="C193" s="56" t="s">
        <v>400</v>
      </c>
      <c r="D193" s="11"/>
      <c r="E193" s="56" t="s">
        <v>897</v>
      </c>
      <c r="F193" s="11">
        <v>0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udf44eligibility</v>
      </c>
      <c r="J193" s="3" t="str">
        <f t="shared" si="11"/>
        <v>udf44eligibility</v>
      </c>
    </row>
    <row r="194" spans="2:10" x14ac:dyDescent="0.25">
      <c r="B194" s="56" t="s">
        <v>898</v>
      </c>
      <c r="C194" s="56" t="s">
        <v>400</v>
      </c>
      <c r="D194" s="11"/>
      <c r="E194" s="56" t="s">
        <v>898</v>
      </c>
      <c r="F194" s="11">
        <v>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udf45eligibility</v>
      </c>
      <c r="J194" s="3" t="str">
        <f t="shared" si="11"/>
        <v>udf45eligibility</v>
      </c>
    </row>
    <row r="195" spans="2:10" x14ac:dyDescent="0.25">
      <c r="B195" s="56" t="s">
        <v>899</v>
      </c>
      <c r="C195" s="56" t="s">
        <v>400</v>
      </c>
      <c r="D195" s="11"/>
      <c r="E195" s="56" t="s">
        <v>899</v>
      </c>
      <c r="F195" s="11">
        <v>0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udf46eligibility</v>
      </c>
      <c r="J195" s="3" t="str">
        <f t="shared" ref="J195:J258" si="15">SUBSTITUTE(E195,"_","")</f>
        <v>udf46eligibility</v>
      </c>
    </row>
    <row r="196" spans="2:10" x14ac:dyDescent="0.25">
      <c r="B196" s="56" t="s">
        <v>900</v>
      </c>
      <c r="C196" s="56" t="s">
        <v>400</v>
      </c>
      <c r="D196" s="11"/>
      <c r="E196" s="56" t="s">
        <v>900</v>
      </c>
      <c r="F196" s="11">
        <v>0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udf47eligibility</v>
      </c>
      <c r="J196" s="3" t="str">
        <f t="shared" si="15"/>
        <v>udf47eligibility</v>
      </c>
    </row>
    <row r="197" spans="2:10" x14ac:dyDescent="0.25">
      <c r="B197" s="56" t="s">
        <v>901</v>
      </c>
      <c r="C197" s="56" t="s">
        <v>400</v>
      </c>
      <c r="D197" s="11"/>
      <c r="E197" s="56" t="s">
        <v>901</v>
      </c>
      <c r="F197" s="11">
        <v>0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udf48eligibility</v>
      </c>
      <c r="J197" s="3" t="str">
        <f t="shared" si="15"/>
        <v>udf48eligibility</v>
      </c>
    </row>
    <row r="198" spans="2:10" x14ac:dyDescent="0.25">
      <c r="B198" s="56" t="s">
        <v>902</v>
      </c>
      <c r="C198" s="56" t="s">
        <v>400</v>
      </c>
      <c r="D198" s="11"/>
      <c r="E198" s="56" t="s">
        <v>902</v>
      </c>
      <c r="F198" s="11">
        <v>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udf49eligibility</v>
      </c>
      <c r="J198" s="3" t="str">
        <f t="shared" si="15"/>
        <v>udf49eligibility</v>
      </c>
    </row>
    <row r="199" spans="2:10" x14ac:dyDescent="0.25">
      <c r="B199" s="56" t="s">
        <v>903</v>
      </c>
      <c r="C199" s="56" t="s">
        <v>400</v>
      </c>
      <c r="D199" s="11"/>
      <c r="E199" s="56" t="s">
        <v>903</v>
      </c>
      <c r="F199" s="11">
        <v>0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udf50eligibility</v>
      </c>
      <c r="J199" s="3" t="str">
        <f t="shared" si="15"/>
        <v>udf50eligibility</v>
      </c>
    </row>
    <row r="200" spans="2:10" x14ac:dyDescent="0.25">
      <c r="B200" s="56" t="s">
        <v>904</v>
      </c>
      <c r="C200" s="56" t="s">
        <v>399</v>
      </c>
      <c r="D200" s="11">
        <v>100</v>
      </c>
      <c r="E200" s="56" t="s">
        <v>904</v>
      </c>
      <c r="F200" s="11">
        <v>0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udf51eligibility</v>
      </c>
      <c r="J200" s="3" t="str">
        <f t="shared" si="15"/>
        <v>udf51eligibility</v>
      </c>
    </row>
    <row r="201" spans="2:10" x14ac:dyDescent="0.25">
      <c r="B201" s="56" t="s">
        <v>905</v>
      </c>
      <c r="C201" s="56" t="s">
        <v>399</v>
      </c>
      <c r="D201" s="11">
        <v>100</v>
      </c>
      <c r="E201" s="56" t="s">
        <v>905</v>
      </c>
      <c r="F201" s="11">
        <v>0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udf52eligibility</v>
      </c>
      <c r="J201" s="3" t="str">
        <f t="shared" si="15"/>
        <v>udf52eligibility</v>
      </c>
    </row>
    <row r="202" spans="2:10" x14ac:dyDescent="0.25">
      <c r="B202" s="56" t="s">
        <v>906</v>
      </c>
      <c r="C202" s="56" t="s">
        <v>399</v>
      </c>
      <c r="D202" s="11">
        <v>100</v>
      </c>
      <c r="E202" s="56" t="s">
        <v>906</v>
      </c>
      <c r="F202" s="11">
        <v>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udf53eligibility</v>
      </c>
      <c r="J202" s="3" t="str">
        <f t="shared" si="15"/>
        <v>udf53eligibility</v>
      </c>
    </row>
    <row r="203" spans="2:10" x14ac:dyDescent="0.25">
      <c r="B203" s="56" t="s">
        <v>907</v>
      </c>
      <c r="C203" s="56" t="s">
        <v>399</v>
      </c>
      <c r="D203" s="11">
        <v>100</v>
      </c>
      <c r="E203" s="56" t="s">
        <v>907</v>
      </c>
      <c r="F203" s="11">
        <v>0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udf54eligibility</v>
      </c>
      <c r="J203" s="3" t="str">
        <f t="shared" si="15"/>
        <v>udf54eligibility</v>
      </c>
    </row>
    <row r="204" spans="2:10" x14ac:dyDescent="0.25">
      <c r="B204" s="56" t="s">
        <v>908</v>
      </c>
      <c r="C204" s="56" t="s">
        <v>399</v>
      </c>
      <c r="D204" s="11">
        <v>100</v>
      </c>
      <c r="E204" s="56" t="s">
        <v>908</v>
      </c>
      <c r="F204" s="11">
        <v>0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udf55eligibility</v>
      </c>
      <c r="J204" s="3" t="str">
        <f t="shared" si="15"/>
        <v>udf55eligibility</v>
      </c>
    </row>
    <row r="205" spans="2:10" x14ac:dyDescent="0.25">
      <c r="B205" s="56" t="s">
        <v>909</v>
      </c>
      <c r="C205" s="56" t="s">
        <v>399</v>
      </c>
      <c r="D205" s="11">
        <v>100</v>
      </c>
      <c r="E205" s="56" t="s">
        <v>909</v>
      </c>
      <c r="F205" s="11">
        <v>0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udf56eligibility</v>
      </c>
      <c r="J205" s="3" t="str">
        <f t="shared" si="15"/>
        <v>udf56eligibility</v>
      </c>
    </row>
    <row r="206" spans="2:10" x14ac:dyDescent="0.25">
      <c r="B206" s="56" t="s">
        <v>910</v>
      </c>
      <c r="C206" s="56" t="s">
        <v>399</v>
      </c>
      <c r="D206" s="11">
        <v>100</v>
      </c>
      <c r="E206" s="56" t="s">
        <v>910</v>
      </c>
      <c r="F206" s="11">
        <v>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udf57eligibility</v>
      </c>
      <c r="J206" s="3" t="str">
        <f t="shared" si="15"/>
        <v>udf57eligibility</v>
      </c>
    </row>
    <row r="207" spans="2:10" x14ac:dyDescent="0.25">
      <c r="B207" s="56" t="s">
        <v>911</v>
      </c>
      <c r="C207" s="56" t="s">
        <v>399</v>
      </c>
      <c r="D207" s="11">
        <v>100</v>
      </c>
      <c r="E207" s="56" t="s">
        <v>911</v>
      </c>
      <c r="F207" s="11">
        <v>0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udf58eligibility</v>
      </c>
      <c r="J207" s="3" t="str">
        <f t="shared" si="15"/>
        <v>udf58eligibility</v>
      </c>
    </row>
    <row r="208" spans="2:10" x14ac:dyDescent="0.25">
      <c r="B208" s="56" t="s">
        <v>912</v>
      </c>
      <c r="C208" s="56" t="s">
        <v>399</v>
      </c>
      <c r="D208" s="11">
        <v>100</v>
      </c>
      <c r="E208" s="56" t="s">
        <v>912</v>
      </c>
      <c r="F208" s="11">
        <v>0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udf59eligibility</v>
      </c>
      <c r="J208" s="3" t="str">
        <f t="shared" si="15"/>
        <v>udf59eligibility</v>
      </c>
    </row>
    <row r="209" spans="2:10" x14ac:dyDescent="0.25">
      <c r="B209" s="56" t="s">
        <v>913</v>
      </c>
      <c r="C209" s="56" t="s">
        <v>399</v>
      </c>
      <c r="D209" s="11">
        <v>100</v>
      </c>
      <c r="E209" s="56" t="s">
        <v>913</v>
      </c>
      <c r="F209" s="11">
        <v>0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udf60eligibility</v>
      </c>
      <c r="J209" s="3" t="str">
        <f t="shared" si="15"/>
        <v>udf60eligibility</v>
      </c>
    </row>
    <row r="210" spans="2:10" x14ac:dyDescent="0.25">
      <c r="B210" s="56" t="s">
        <v>914</v>
      </c>
      <c r="C210" s="56" t="s">
        <v>399</v>
      </c>
      <c r="D210" s="11">
        <v>100</v>
      </c>
      <c r="E210" s="56" t="s">
        <v>914</v>
      </c>
      <c r="F210" s="11">
        <v>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udf61eligibility</v>
      </c>
      <c r="J210" s="3" t="str">
        <f t="shared" si="15"/>
        <v>udf61eligibility</v>
      </c>
    </row>
    <row r="211" spans="2:10" x14ac:dyDescent="0.25">
      <c r="B211" s="56" t="s">
        <v>915</v>
      </c>
      <c r="C211" s="56" t="s">
        <v>399</v>
      </c>
      <c r="D211" s="11">
        <v>100</v>
      </c>
      <c r="E211" s="56" t="s">
        <v>915</v>
      </c>
      <c r="F211" s="11">
        <v>0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udf62eligibility</v>
      </c>
      <c r="J211" s="3" t="str">
        <f t="shared" si="15"/>
        <v>udf62eligibility</v>
      </c>
    </row>
    <row r="212" spans="2:10" x14ac:dyDescent="0.25">
      <c r="B212" s="56" t="s">
        <v>916</v>
      </c>
      <c r="C212" s="56" t="s">
        <v>399</v>
      </c>
      <c r="D212" s="11">
        <v>100</v>
      </c>
      <c r="E212" s="56" t="s">
        <v>916</v>
      </c>
      <c r="F212" s="11">
        <v>0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udf63eligibility</v>
      </c>
      <c r="J212" s="3" t="str">
        <f t="shared" si="15"/>
        <v>udf63eligibility</v>
      </c>
    </row>
    <row r="213" spans="2:10" x14ac:dyDescent="0.25">
      <c r="B213" s="56" t="s">
        <v>917</v>
      </c>
      <c r="C213" s="56" t="s">
        <v>399</v>
      </c>
      <c r="D213" s="11">
        <v>100</v>
      </c>
      <c r="E213" s="56" t="s">
        <v>917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udf64eligibility</v>
      </c>
      <c r="J213" s="3" t="str">
        <f t="shared" si="15"/>
        <v>udf64eligibility</v>
      </c>
    </row>
    <row r="214" spans="2:10" x14ac:dyDescent="0.25">
      <c r="B214" s="56" t="s">
        <v>918</v>
      </c>
      <c r="C214" s="56" t="s">
        <v>399</v>
      </c>
      <c r="D214" s="11">
        <v>100</v>
      </c>
      <c r="E214" s="56" t="s">
        <v>918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udf65eligibility</v>
      </c>
      <c r="J214" s="3" t="str">
        <f t="shared" si="15"/>
        <v>udf65eligibility</v>
      </c>
    </row>
    <row r="215" spans="2:10" x14ac:dyDescent="0.25">
      <c r="B215" s="56" t="s">
        <v>919</v>
      </c>
      <c r="C215" s="56" t="s">
        <v>399</v>
      </c>
      <c r="D215" s="11">
        <v>100</v>
      </c>
      <c r="E215" s="56" t="s">
        <v>919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udf66eligibility</v>
      </c>
      <c r="J215" s="3" t="str">
        <f t="shared" si="15"/>
        <v>udf66eligibility</v>
      </c>
    </row>
    <row r="216" spans="2:10" x14ac:dyDescent="0.25">
      <c r="B216" s="56" t="s">
        <v>920</v>
      </c>
      <c r="C216" s="56" t="s">
        <v>399</v>
      </c>
      <c r="D216" s="11">
        <v>100</v>
      </c>
      <c r="E216" s="56" t="s">
        <v>920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udf67eligibility</v>
      </c>
      <c r="J216" s="3" t="str">
        <f t="shared" si="15"/>
        <v>udf67eligibility</v>
      </c>
    </row>
    <row r="217" spans="2:10" x14ac:dyDescent="0.25">
      <c r="B217" s="56" t="s">
        <v>921</v>
      </c>
      <c r="C217" s="56" t="s">
        <v>399</v>
      </c>
      <c r="D217" s="11">
        <v>100</v>
      </c>
      <c r="E217" s="56" t="s">
        <v>921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udf68eligibility</v>
      </c>
      <c r="J217" s="3" t="str">
        <f t="shared" si="15"/>
        <v>udf68eligibility</v>
      </c>
    </row>
    <row r="218" spans="2:10" x14ac:dyDescent="0.25">
      <c r="B218" s="56" t="s">
        <v>922</v>
      </c>
      <c r="C218" s="56" t="s">
        <v>399</v>
      </c>
      <c r="D218" s="11">
        <v>100</v>
      </c>
      <c r="E218" s="56" t="s">
        <v>922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udf69eligibility</v>
      </c>
      <c r="J218" s="3" t="str">
        <f t="shared" si="15"/>
        <v>udf69eligibility</v>
      </c>
    </row>
    <row r="219" spans="2:10" x14ac:dyDescent="0.25">
      <c r="B219" s="56" t="s">
        <v>923</v>
      </c>
      <c r="C219" s="56" t="s">
        <v>399</v>
      </c>
      <c r="D219" s="11">
        <v>100</v>
      </c>
      <c r="E219" s="56" t="s">
        <v>923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udf70eligibility</v>
      </c>
      <c r="J219" s="3" t="str">
        <f t="shared" si="15"/>
        <v>udf70eligibility</v>
      </c>
    </row>
    <row r="220" spans="2:10" x14ac:dyDescent="0.25">
      <c r="B220" s="56" t="s">
        <v>924</v>
      </c>
      <c r="C220" s="56" t="s">
        <v>399</v>
      </c>
      <c r="D220" s="11">
        <v>100</v>
      </c>
      <c r="E220" s="56" t="s">
        <v>924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udf1osha</v>
      </c>
      <c r="J220" s="3" t="str">
        <f t="shared" si="15"/>
        <v>udf1osha</v>
      </c>
    </row>
    <row r="221" spans="2:10" x14ac:dyDescent="0.25">
      <c r="B221" s="56" t="s">
        <v>925</v>
      </c>
      <c r="C221" s="56" t="s">
        <v>399</v>
      </c>
      <c r="D221" s="11">
        <v>100</v>
      </c>
      <c r="E221" s="56" t="s">
        <v>925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udf2osha</v>
      </c>
      <c r="J221" s="3" t="str">
        <f t="shared" si="15"/>
        <v>udf2osha</v>
      </c>
    </row>
    <row r="222" spans="2:10" x14ac:dyDescent="0.25">
      <c r="B222" s="56" t="s">
        <v>926</v>
      </c>
      <c r="C222" s="56" t="s">
        <v>399</v>
      </c>
      <c r="D222" s="11">
        <v>100</v>
      </c>
      <c r="E222" s="56" t="s">
        <v>926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udf3osha</v>
      </c>
      <c r="J222" s="3" t="str">
        <f t="shared" si="15"/>
        <v>udf3osha</v>
      </c>
    </row>
    <row r="223" spans="2:10" x14ac:dyDescent="0.25">
      <c r="B223" s="56" t="s">
        <v>927</v>
      </c>
      <c r="C223" s="56" t="s">
        <v>399</v>
      </c>
      <c r="D223" s="11">
        <v>100</v>
      </c>
      <c r="E223" s="56" t="s">
        <v>927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udf4osha</v>
      </c>
      <c r="J223" s="3" t="str">
        <f t="shared" si="15"/>
        <v>udf4osha</v>
      </c>
    </row>
    <row r="224" spans="2:10" x14ac:dyDescent="0.25">
      <c r="B224" s="56" t="s">
        <v>928</v>
      </c>
      <c r="C224" s="56" t="s">
        <v>399</v>
      </c>
      <c r="D224" s="11">
        <v>100</v>
      </c>
      <c r="E224" s="56" t="s">
        <v>928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udf5osha</v>
      </c>
      <c r="J224" s="3" t="str">
        <f t="shared" si="15"/>
        <v>udf5osha</v>
      </c>
    </row>
    <row r="225" spans="2:10" x14ac:dyDescent="0.25">
      <c r="B225" s="56" t="s">
        <v>929</v>
      </c>
      <c r="C225" s="56" t="s">
        <v>399</v>
      </c>
      <c r="D225" s="11">
        <v>100</v>
      </c>
      <c r="E225" s="56" t="s">
        <v>929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udf6osha</v>
      </c>
      <c r="J225" s="3" t="str">
        <f t="shared" si="15"/>
        <v>udf6osha</v>
      </c>
    </row>
    <row r="226" spans="2:10" x14ac:dyDescent="0.25">
      <c r="B226" s="56" t="s">
        <v>930</v>
      </c>
      <c r="C226" s="56" t="s">
        <v>399</v>
      </c>
      <c r="D226" s="11">
        <v>100</v>
      </c>
      <c r="E226" s="56" t="s">
        <v>930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udf7osha</v>
      </c>
      <c r="J226" s="3" t="str">
        <f t="shared" si="15"/>
        <v>udf7osha</v>
      </c>
    </row>
    <row r="227" spans="2:10" x14ac:dyDescent="0.25">
      <c r="B227" s="56" t="s">
        <v>931</v>
      </c>
      <c r="C227" s="56" t="s">
        <v>399</v>
      </c>
      <c r="D227" s="11">
        <v>100</v>
      </c>
      <c r="E227" s="56" t="s">
        <v>931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udf8osha</v>
      </c>
      <c r="J227" s="3" t="str">
        <f t="shared" si="15"/>
        <v>udf8osha</v>
      </c>
    </row>
    <row r="228" spans="2:10" x14ac:dyDescent="0.25">
      <c r="B228" s="56" t="s">
        <v>932</v>
      </c>
      <c r="C228" s="56" t="s">
        <v>399</v>
      </c>
      <c r="D228" s="11">
        <v>100</v>
      </c>
      <c r="E228" s="56" t="s">
        <v>932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udf9osha</v>
      </c>
      <c r="J228" s="3" t="str">
        <f t="shared" si="15"/>
        <v>udf9osha</v>
      </c>
    </row>
    <row r="229" spans="2:10" x14ac:dyDescent="0.25">
      <c r="B229" s="56" t="s">
        <v>933</v>
      </c>
      <c r="C229" s="56" t="s">
        <v>399</v>
      </c>
      <c r="D229" s="45">
        <v>100</v>
      </c>
      <c r="E229" s="56" t="s">
        <v>933</v>
      </c>
      <c r="F229" s="11">
        <v>0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udf10osha</v>
      </c>
      <c r="J229" s="3" t="str">
        <f t="shared" si="15"/>
        <v>udf10osha</v>
      </c>
    </row>
    <row r="230" spans="2:10" x14ac:dyDescent="0.25">
      <c r="B230" s="56" t="s">
        <v>934</v>
      </c>
      <c r="C230" s="56" t="s">
        <v>399</v>
      </c>
      <c r="D230" s="11">
        <v>100</v>
      </c>
      <c r="E230" s="56" t="s">
        <v>934</v>
      </c>
      <c r="F230" s="11">
        <v>0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udf11osha</v>
      </c>
      <c r="J230" s="3" t="str">
        <f t="shared" si="15"/>
        <v>udf11osha</v>
      </c>
    </row>
    <row r="231" spans="2:10" x14ac:dyDescent="0.25">
      <c r="B231" s="56" t="s">
        <v>935</v>
      </c>
      <c r="C231" s="56" t="s">
        <v>399</v>
      </c>
      <c r="D231" s="11">
        <v>100</v>
      </c>
      <c r="E231" s="56" t="s">
        <v>935</v>
      </c>
      <c r="F231" s="11">
        <v>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udf12osha</v>
      </c>
      <c r="J231" s="3" t="str">
        <f t="shared" si="15"/>
        <v>udf12osha</v>
      </c>
    </row>
    <row r="232" spans="2:10" x14ac:dyDescent="0.25">
      <c r="B232" s="56" t="s">
        <v>936</v>
      </c>
      <c r="C232" s="56" t="s">
        <v>399</v>
      </c>
      <c r="D232" s="11">
        <v>100</v>
      </c>
      <c r="E232" s="56" t="s">
        <v>936</v>
      </c>
      <c r="F232" s="11">
        <v>0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udf13osha</v>
      </c>
      <c r="J232" s="3" t="str">
        <f t="shared" si="15"/>
        <v>udf13osha</v>
      </c>
    </row>
    <row r="233" spans="2:10" x14ac:dyDescent="0.25">
      <c r="B233" s="56" t="s">
        <v>937</v>
      </c>
      <c r="C233" s="56" t="s">
        <v>399</v>
      </c>
      <c r="D233" s="11">
        <v>100</v>
      </c>
      <c r="E233" s="56" t="s">
        <v>937</v>
      </c>
      <c r="F233" s="11">
        <v>0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udf14osha</v>
      </c>
      <c r="J233" s="3" t="str">
        <f t="shared" si="15"/>
        <v>udf14osha</v>
      </c>
    </row>
    <row r="234" spans="2:10" x14ac:dyDescent="0.25">
      <c r="B234" s="56" t="s">
        <v>938</v>
      </c>
      <c r="C234" s="56" t="s">
        <v>399</v>
      </c>
      <c r="D234" s="11">
        <v>100</v>
      </c>
      <c r="E234" s="56" t="s">
        <v>938</v>
      </c>
      <c r="F234" s="11">
        <v>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udf15osha</v>
      </c>
      <c r="J234" s="3" t="str">
        <f t="shared" si="15"/>
        <v>udf15osha</v>
      </c>
    </row>
    <row r="235" spans="2:10" x14ac:dyDescent="0.25">
      <c r="B235" s="56" t="s">
        <v>939</v>
      </c>
      <c r="C235" s="56" t="s">
        <v>399</v>
      </c>
      <c r="D235" s="11">
        <v>100</v>
      </c>
      <c r="E235" s="56" t="s">
        <v>939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udf31osha</v>
      </c>
      <c r="J235" s="3" t="str">
        <f t="shared" si="15"/>
        <v>udf31osha</v>
      </c>
    </row>
    <row r="236" spans="2:10" x14ac:dyDescent="0.25">
      <c r="B236" s="56" t="s">
        <v>940</v>
      </c>
      <c r="C236" s="56" t="s">
        <v>399</v>
      </c>
      <c r="D236" s="11">
        <v>100</v>
      </c>
      <c r="E236" s="56" t="s">
        <v>940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udf32osha</v>
      </c>
      <c r="J236" s="3" t="str">
        <f t="shared" si="15"/>
        <v>udf32osha</v>
      </c>
    </row>
    <row r="237" spans="2:10" x14ac:dyDescent="0.25">
      <c r="B237" s="56" t="s">
        <v>941</v>
      </c>
      <c r="C237" s="56" t="s">
        <v>399</v>
      </c>
      <c r="D237" s="11">
        <v>100</v>
      </c>
      <c r="E237" s="56" t="s">
        <v>941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udf33osha</v>
      </c>
      <c r="J237" s="3" t="str">
        <f t="shared" si="15"/>
        <v>udf33osha</v>
      </c>
    </row>
    <row r="238" spans="2:10" x14ac:dyDescent="0.25">
      <c r="B238" s="56" t="s">
        <v>942</v>
      </c>
      <c r="C238" s="56" t="s">
        <v>399</v>
      </c>
      <c r="D238" s="11">
        <v>100</v>
      </c>
      <c r="E238" s="56" t="s">
        <v>942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udf34osha</v>
      </c>
      <c r="J238" s="3" t="str">
        <f t="shared" si="15"/>
        <v>udf34osha</v>
      </c>
    </row>
    <row r="239" spans="2:10" x14ac:dyDescent="0.25">
      <c r="B239" s="56" t="s">
        <v>943</v>
      </c>
      <c r="C239" s="56" t="s">
        <v>399</v>
      </c>
      <c r="D239" s="11">
        <v>100</v>
      </c>
      <c r="E239" s="56" t="s">
        <v>943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udf35osha</v>
      </c>
      <c r="J239" s="3" t="str">
        <f t="shared" si="15"/>
        <v>udf35osha</v>
      </c>
    </row>
    <row r="240" spans="2:10" x14ac:dyDescent="0.25">
      <c r="B240" s="56" t="s">
        <v>944</v>
      </c>
      <c r="C240" s="56" t="s">
        <v>399</v>
      </c>
      <c r="D240" s="11">
        <v>100</v>
      </c>
      <c r="E240" s="56" t="s">
        <v>944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udf36osha</v>
      </c>
      <c r="J240" s="3" t="str">
        <f t="shared" si="15"/>
        <v>udf36osha</v>
      </c>
    </row>
    <row r="241" spans="2:10" x14ac:dyDescent="0.25">
      <c r="B241" s="56" t="s">
        <v>945</v>
      </c>
      <c r="C241" s="56" t="s">
        <v>399</v>
      </c>
      <c r="D241" s="11">
        <v>100</v>
      </c>
      <c r="E241" s="56" t="s">
        <v>945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udf37osha</v>
      </c>
      <c r="J241" s="3" t="str">
        <f t="shared" si="15"/>
        <v>udf37osha</v>
      </c>
    </row>
    <row r="242" spans="2:10" x14ac:dyDescent="0.25">
      <c r="B242" s="56" t="s">
        <v>946</v>
      </c>
      <c r="C242" s="56" t="s">
        <v>399</v>
      </c>
      <c r="D242" s="11">
        <v>100</v>
      </c>
      <c r="E242" s="56" t="s">
        <v>946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udf38osha</v>
      </c>
      <c r="J242" s="3" t="str">
        <f t="shared" si="15"/>
        <v>udf38osha</v>
      </c>
    </row>
    <row r="243" spans="2:10" x14ac:dyDescent="0.25">
      <c r="B243" s="56" t="s">
        <v>947</v>
      </c>
      <c r="C243" s="56" t="s">
        <v>399</v>
      </c>
      <c r="D243" s="11">
        <v>100</v>
      </c>
      <c r="E243" s="56" t="s">
        <v>947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udf39osha</v>
      </c>
      <c r="J243" s="3" t="str">
        <f t="shared" si="15"/>
        <v>udf39osha</v>
      </c>
    </row>
    <row r="244" spans="2:10" x14ac:dyDescent="0.25">
      <c r="B244" s="56" t="s">
        <v>948</v>
      </c>
      <c r="C244" s="56" t="s">
        <v>399</v>
      </c>
      <c r="D244" s="11">
        <v>100</v>
      </c>
      <c r="E244" s="56" t="s">
        <v>948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udf40osha</v>
      </c>
      <c r="J244" s="3" t="str">
        <f t="shared" si="15"/>
        <v>udf40osha</v>
      </c>
    </row>
    <row r="245" spans="2:10" x14ac:dyDescent="0.25">
      <c r="B245" s="56" t="s">
        <v>949</v>
      </c>
      <c r="C245" s="56" t="s">
        <v>399</v>
      </c>
      <c r="D245" s="11">
        <v>100</v>
      </c>
      <c r="E245" s="56" t="s">
        <v>949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udf41osha</v>
      </c>
      <c r="J245" s="3" t="str">
        <f t="shared" si="15"/>
        <v>udf41osha</v>
      </c>
    </row>
    <row r="246" spans="2:10" x14ac:dyDescent="0.25">
      <c r="B246" s="56" t="s">
        <v>950</v>
      </c>
      <c r="C246" s="56" t="s">
        <v>399</v>
      </c>
      <c r="D246" s="11">
        <v>100</v>
      </c>
      <c r="E246" s="56" t="s">
        <v>950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udf42osha</v>
      </c>
      <c r="J246" s="3" t="str">
        <f t="shared" si="15"/>
        <v>udf42osha</v>
      </c>
    </row>
    <row r="247" spans="2:10" x14ac:dyDescent="0.25">
      <c r="B247" s="56" t="s">
        <v>951</v>
      </c>
      <c r="C247" s="56" t="s">
        <v>399</v>
      </c>
      <c r="D247" s="11">
        <v>100</v>
      </c>
      <c r="E247" s="56" t="s">
        <v>951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udf43osha</v>
      </c>
      <c r="J247" s="3" t="str">
        <f t="shared" si="15"/>
        <v>udf43osha</v>
      </c>
    </row>
    <row r="248" spans="2:10" x14ac:dyDescent="0.25">
      <c r="B248" s="56" t="s">
        <v>952</v>
      </c>
      <c r="C248" s="56" t="s">
        <v>399</v>
      </c>
      <c r="D248" s="11">
        <v>100</v>
      </c>
      <c r="E248" s="56" t="s">
        <v>952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udf44osha</v>
      </c>
      <c r="J248" s="3" t="str">
        <f t="shared" si="15"/>
        <v>udf44osha</v>
      </c>
    </row>
    <row r="249" spans="2:10" x14ac:dyDescent="0.25">
      <c r="B249" s="56" t="s">
        <v>953</v>
      </c>
      <c r="C249" s="56" t="s">
        <v>399</v>
      </c>
      <c r="D249" s="11">
        <v>100</v>
      </c>
      <c r="E249" s="56" t="s">
        <v>953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udf45osha</v>
      </c>
      <c r="J249" s="3" t="str">
        <f t="shared" si="15"/>
        <v>udf45osha</v>
      </c>
    </row>
    <row r="250" spans="2:10" x14ac:dyDescent="0.25">
      <c r="B250" s="56" t="s">
        <v>954</v>
      </c>
      <c r="C250" s="56" t="s">
        <v>399</v>
      </c>
      <c r="D250" s="11">
        <v>100</v>
      </c>
      <c r="E250" s="56" t="s">
        <v>954</v>
      </c>
      <c r="F250" s="11">
        <v>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udf46osha</v>
      </c>
      <c r="J250" s="3" t="str">
        <f t="shared" si="15"/>
        <v>udf46osha</v>
      </c>
    </row>
    <row r="251" spans="2:10" x14ac:dyDescent="0.25">
      <c r="B251" s="56" t="s">
        <v>955</v>
      </c>
      <c r="C251" s="56" t="s">
        <v>399</v>
      </c>
      <c r="D251" s="11">
        <v>100</v>
      </c>
      <c r="E251" s="56" t="s">
        <v>955</v>
      </c>
      <c r="F251" s="11">
        <v>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udf47osha</v>
      </c>
      <c r="J251" s="3" t="str">
        <f t="shared" si="15"/>
        <v>udf47osha</v>
      </c>
    </row>
    <row r="252" spans="2:10" x14ac:dyDescent="0.25">
      <c r="B252" s="56" t="s">
        <v>956</v>
      </c>
      <c r="C252" s="56" t="s">
        <v>399</v>
      </c>
      <c r="D252" s="11">
        <v>100</v>
      </c>
      <c r="E252" s="56" t="s">
        <v>956</v>
      </c>
      <c r="F252" s="11">
        <v>0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udf48osha</v>
      </c>
      <c r="J252" s="3" t="str">
        <f t="shared" si="15"/>
        <v>udf48osha</v>
      </c>
    </row>
    <row r="253" spans="2:10" x14ac:dyDescent="0.25">
      <c r="B253" s="56" t="s">
        <v>957</v>
      </c>
      <c r="C253" s="56" t="s">
        <v>399</v>
      </c>
      <c r="D253" s="11">
        <v>100</v>
      </c>
      <c r="E253" s="56" t="s">
        <v>957</v>
      </c>
      <c r="F253" s="11">
        <v>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udf49osha</v>
      </c>
      <c r="J253" s="3" t="str">
        <f t="shared" si="15"/>
        <v>udf49osha</v>
      </c>
    </row>
    <row r="254" spans="2:10" x14ac:dyDescent="0.25">
      <c r="B254" s="56" t="s">
        <v>958</v>
      </c>
      <c r="C254" s="56" t="s">
        <v>399</v>
      </c>
      <c r="D254" s="11">
        <v>100</v>
      </c>
      <c r="E254" s="56" t="s">
        <v>958</v>
      </c>
      <c r="F254" s="11">
        <v>0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udf50osha</v>
      </c>
      <c r="J254" s="3" t="str">
        <f t="shared" si="15"/>
        <v>udf50osha</v>
      </c>
    </row>
    <row r="255" spans="2:10" x14ac:dyDescent="0.25">
      <c r="B255" s="56" t="s">
        <v>650</v>
      </c>
      <c r="C255" s="56" t="s">
        <v>399</v>
      </c>
      <c r="D255" s="11">
        <v>1</v>
      </c>
      <c r="E255" s="56" t="s">
        <v>650</v>
      </c>
      <c r="F255" s="11">
        <v>1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dwmembermatch</v>
      </c>
      <c r="J255" s="3" t="str">
        <f t="shared" si="15"/>
        <v>dwmembermatch</v>
      </c>
    </row>
    <row r="256" spans="2:10" x14ac:dyDescent="0.25">
      <c r="B256" s="56" t="s">
        <v>651</v>
      </c>
      <c r="C256" s="56" t="s">
        <v>400</v>
      </c>
      <c r="D256" s="11"/>
      <c r="E256" s="56" t="s">
        <v>651</v>
      </c>
      <c r="F256" s="11">
        <v>10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dwcreateddate</v>
      </c>
      <c r="J256" s="3" t="str">
        <f t="shared" si="15"/>
        <v>dwcreateddate</v>
      </c>
    </row>
    <row r="257" spans="2:10" x14ac:dyDescent="0.25">
      <c r="B257" s="56" t="s">
        <v>652</v>
      </c>
      <c r="C257" s="56" t="s">
        <v>399</v>
      </c>
      <c r="D257" s="11">
        <v>10</v>
      </c>
      <c r="E257" s="56" t="s">
        <v>652</v>
      </c>
      <c r="F257" s="11">
        <v>10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dwdatathroughdate</v>
      </c>
      <c r="J257" s="3" t="str">
        <f t="shared" si="15"/>
        <v>dwdatathroughdate</v>
      </c>
    </row>
    <row r="258" spans="2:10" x14ac:dyDescent="0.25">
      <c r="B258" s="56" t="s">
        <v>437</v>
      </c>
      <c r="C258" s="56" t="s">
        <v>458</v>
      </c>
      <c r="D258" s="11">
        <v>100</v>
      </c>
      <c r="E258" s="56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56" t="s">
        <v>438</v>
      </c>
      <c r="C259" s="56" t="s">
        <v>458</v>
      </c>
      <c r="D259" s="11">
        <v>100</v>
      </c>
      <c r="E259" s="56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56" t="s">
        <v>439</v>
      </c>
      <c r="C260" s="56" t="s">
        <v>458</v>
      </c>
      <c r="D260" s="11">
        <v>100</v>
      </c>
      <c r="E260" s="56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56" t="s">
        <v>440</v>
      </c>
      <c r="C261" s="56" t="s">
        <v>458</v>
      </c>
      <c r="D261" s="11">
        <v>100</v>
      </c>
      <c r="E261" s="56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56" t="s">
        <v>441</v>
      </c>
      <c r="C262" s="56" t="s">
        <v>458</v>
      </c>
      <c r="D262" s="11">
        <v>100</v>
      </c>
      <c r="E262" s="56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56" t="s">
        <v>442</v>
      </c>
      <c r="C263" s="56" t="s">
        <v>458</v>
      </c>
      <c r="D263" s="11">
        <v>100</v>
      </c>
      <c r="E263" s="56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56" t="s">
        <v>443</v>
      </c>
      <c r="C264" s="56" t="s">
        <v>458</v>
      </c>
      <c r="D264" s="11">
        <v>100</v>
      </c>
      <c r="E264" s="56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56" t="s">
        <v>444</v>
      </c>
      <c r="C265" s="56" t="s">
        <v>458</v>
      </c>
      <c r="D265" s="11">
        <v>100</v>
      </c>
      <c r="E265" s="56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56" t="s">
        <v>445</v>
      </c>
      <c r="C266" s="56" t="s">
        <v>458</v>
      </c>
      <c r="D266" s="11">
        <v>100</v>
      </c>
      <c r="E266" s="56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56" t="s">
        <v>446</v>
      </c>
      <c r="C267" s="56" t="s">
        <v>458</v>
      </c>
      <c r="D267" s="11">
        <v>100</v>
      </c>
      <c r="E267" s="56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56" t="s">
        <v>447</v>
      </c>
      <c r="C268" s="56" t="s">
        <v>458</v>
      </c>
      <c r="D268" s="11">
        <v>100</v>
      </c>
      <c r="E268" s="56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56" t="s">
        <v>448</v>
      </c>
      <c r="C269" s="56" t="s">
        <v>458</v>
      </c>
      <c r="D269" s="11">
        <v>100</v>
      </c>
      <c r="E269" s="56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56" t="s">
        <v>449</v>
      </c>
      <c r="C270" s="56" t="s">
        <v>458</v>
      </c>
      <c r="D270" s="11">
        <v>100</v>
      </c>
      <c r="E270" s="56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56" t="s">
        <v>450</v>
      </c>
      <c r="C271" s="56" t="s">
        <v>458</v>
      </c>
      <c r="D271" s="11">
        <v>100</v>
      </c>
      <c r="E271" s="56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56" t="s">
        <v>451</v>
      </c>
      <c r="C272" s="56" t="s">
        <v>458</v>
      </c>
      <c r="D272" s="11">
        <v>100</v>
      </c>
      <c r="E272" s="56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56" t="s">
        <v>452</v>
      </c>
      <c r="C273" s="56" t="s">
        <v>458</v>
      </c>
      <c r="D273" s="11">
        <v>100</v>
      </c>
      <c r="E273" s="56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56" t="s">
        <v>453</v>
      </c>
      <c r="C274" s="56" t="s">
        <v>458</v>
      </c>
      <c r="D274" s="11">
        <v>100</v>
      </c>
      <c r="E274" s="56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56" t="s">
        <v>454</v>
      </c>
      <c r="C275" s="56" t="s">
        <v>458</v>
      </c>
      <c r="D275" s="11">
        <v>100</v>
      </c>
      <c r="E275" s="56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56" t="s">
        <v>455</v>
      </c>
      <c r="C276" s="56" t="s">
        <v>458</v>
      </c>
      <c r="D276" s="11">
        <v>100</v>
      </c>
      <c r="E276" s="56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25" priority="5" operator="equal">
      <formula>"Fail"</formula>
    </cfRule>
    <cfRule type="cellIs" dxfId="124" priority="6" operator="equal">
      <formula>"Pass"</formula>
    </cfRule>
  </conditionalFormatting>
  <conditionalFormatting sqref="M6:N7">
    <cfRule type="cellIs" dxfId="123" priority="3" operator="equal">
      <formula>"Fail"</formula>
    </cfRule>
    <cfRule type="cellIs" dxfId="122" priority="4" operator="equal">
      <formula>"Pass"</formula>
    </cfRule>
  </conditionalFormatting>
  <conditionalFormatting sqref="M8">
    <cfRule type="containsText" dxfId="121" priority="1" operator="containsText" text="Pass">
      <formula>NOT(ISERROR(SEARCH("Pass",M8)))</formula>
    </cfRule>
    <cfRule type="containsText" dxfId="120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8620</v>
      </c>
      <c r="M3" s="19">
        <v>8505</v>
      </c>
      <c r="N3" s="22">
        <f>L3-M3</f>
        <v>115</v>
      </c>
    </row>
    <row r="4" spans="2:15" x14ac:dyDescent="0.2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IF(ISERROR(VLOOKUP($O$1,$G$2:$G$10,1,)),"Pass","Fail")</f>
        <v>Pass</v>
      </c>
    </row>
    <row r="7" spans="2:15" x14ac:dyDescent="0.25">
      <c r="B7" s="1" t="s">
        <v>299</v>
      </c>
      <c r="C7" s="17" t="s">
        <v>399</v>
      </c>
      <c r="D7" s="11">
        <v>100</v>
      </c>
      <c r="E7" s="1" t="s">
        <v>299</v>
      </c>
      <c r="F7" s="11">
        <v>70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1" t="str">
        <f>IF(ISERROR(VLOOKUP($O$1,$H$2:$H$10,1,)),"Pass","Fail")</f>
        <v>Pass</v>
      </c>
    </row>
    <row r="8" spans="2:15" x14ac:dyDescent="0.25">
      <c r="B8" s="1" t="s">
        <v>300</v>
      </c>
      <c r="C8" s="17" t="s">
        <v>399</v>
      </c>
      <c r="D8" s="11">
        <v>100</v>
      </c>
      <c r="E8" s="1" t="s">
        <v>300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1.3521457965902411E-2</v>
      </c>
    </row>
    <row r="9" spans="2:15" x14ac:dyDescent="0.2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File_Size_Comparision!F13</f>
        <v>1.2654127481713703E-2</v>
      </c>
    </row>
    <row r="10" spans="2:15" x14ac:dyDescent="0.2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 x14ac:dyDescent="0.25">
      <c r="N13" s="43"/>
    </row>
  </sheetData>
  <conditionalFormatting sqref="G2:H10">
    <cfRule type="cellIs" dxfId="119" priority="311" operator="equal">
      <formula>"Fail"</formula>
    </cfRule>
    <cfRule type="cellIs" dxfId="118" priority="312" operator="equal">
      <formula>"Pass"</formula>
    </cfRule>
  </conditionalFormatting>
  <conditionalFormatting sqref="H2:H10">
    <cfRule type="cellIs" dxfId="117" priority="13" operator="equal">
      <formula>"Fail"</formula>
    </cfRule>
    <cfRule type="cellIs" dxfId="116" priority="14" operator="equal">
      <formula>"Pass"</formula>
    </cfRule>
  </conditionalFormatting>
  <conditionalFormatting sqref="H2:H10">
    <cfRule type="cellIs" dxfId="115" priority="11" operator="equal">
      <formula>"Fail"</formula>
    </cfRule>
    <cfRule type="cellIs" dxfId="114" priority="12" operator="equal">
      <formula>"Pass"</formula>
    </cfRule>
  </conditionalFormatting>
  <conditionalFormatting sqref="H2:H10">
    <cfRule type="cellIs" dxfId="113" priority="9" operator="equal">
      <formula>"Fail"</formula>
    </cfRule>
    <cfRule type="cellIs" dxfId="112" priority="10" operator="equal">
      <formula>"Pass"</formula>
    </cfRule>
  </conditionalFormatting>
  <conditionalFormatting sqref="H2:H10">
    <cfRule type="cellIs" dxfId="111" priority="7" operator="equal">
      <formula>"Fail"</formula>
    </cfRule>
    <cfRule type="cellIs" dxfId="110" priority="8" operator="equal">
      <formula>"Pass"</formula>
    </cfRule>
  </conditionalFormatting>
  <conditionalFormatting sqref="H2:H10">
    <cfRule type="cellIs" dxfId="109" priority="5" operator="equal">
      <formula>"Fail"</formula>
    </cfRule>
    <cfRule type="cellIs" dxfId="108" priority="6" operator="equal">
      <formula>"Pass"</formula>
    </cfRule>
  </conditionalFormatting>
  <conditionalFormatting sqref="H2:H10">
    <cfRule type="cellIs" dxfId="107" priority="3" operator="equal">
      <formula>"Fail"</formula>
    </cfRule>
    <cfRule type="cellIs" dxfId="106" priority="4" operator="equal">
      <formula>"Pass"</formula>
    </cfRule>
  </conditionalFormatting>
  <conditionalFormatting sqref="M6:M7">
    <cfRule type="cellIs" dxfId="105" priority="1" operator="equal">
      <formula>"Fail"</formula>
    </cfRule>
    <cfRule type="cellIs" dxfId="104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O1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303</v>
      </c>
      <c r="C2" s="17" t="s">
        <v>399</v>
      </c>
      <c r="D2" s="1">
        <v>80</v>
      </c>
      <c r="E2" s="1" t="s">
        <v>303</v>
      </c>
      <c r="F2" s="1">
        <v>18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202165</v>
      </c>
      <c r="M2" s="19">
        <v>202165</v>
      </c>
      <c r="N2" s="22">
        <f>L2-M2</f>
        <v>0</v>
      </c>
    </row>
    <row r="3" spans="2:15" x14ac:dyDescent="0.25">
      <c r="B3" s="1" t="s">
        <v>20</v>
      </c>
      <c r="C3" s="17" t="s">
        <v>399</v>
      </c>
      <c r="D3" s="1">
        <v>20</v>
      </c>
      <c r="E3" s="1" t="s">
        <v>20</v>
      </c>
      <c r="F3" s="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196605</v>
      </c>
      <c r="N3" s="22">
        <f>L2-M3</f>
        <v>5560</v>
      </c>
    </row>
    <row r="4" spans="2:15" x14ac:dyDescent="0.25">
      <c r="B4" s="1" t="s">
        <v>21</v>
      </c>
      <c r="C4" s="17" t="s">
        <v>399</v>
      </c>
      <c r="D4" s="1">
        <v>255</v>
      </c>
      <c r="E4" s="1" t="s">
        <v>21</v>
      </c>
      <c r="F4" s="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 x14ac:dyDescent="0.25">
      <c r="B5" s="1" t="s">
        <v>0</v>
      </c>
      <c r="C5" s="17" t="s">
        <v>399</v>
      </c>
      <c r="D5" s="32">
        <v>32</v>
      </c>
      <c r="E5" s="1" t="s">
        <v>0</v>
      </c>
      <c r="F5" s="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 x14ac:dyDescent="0.25">
      <c r="B6" s="1" t="s">
        <v>3</v>
      </c>
      <c r="C6" s="17" t="s">
        <v>399</v>
      </c>
      <c r="D6" s="1">
        <v>30</v>
      </c>
      <c r="E6" s="1" t="s">
        <v>3</v>
      </c>
      <c r="F6" s="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 x14ac:dyDescent="0.25">
      <c r="B7" s="1" t="s">
        <v>4</v>
      </c>
      <c r="C7" s="17" t="s">
        <v>399</v>
      </c>
      <c r="D7" s="1">
        <v>30</v>
      </c>
      <c r="E7" s="1" t="s">
        <v>4</v>
      </c>
      <c r="F7" s="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 x14ac:dyDescent="0.25">
      <c r="B8" s="1" t="s">
        <v>5</v>
      </c>
      <c r="C8" s="17" t="s">
        <v>399</v>
      </c>
      <c r="D8" s="1">
        <v>30</v>
      </c>
      <c r="E8" s="1" t="s">
        <v>5</v>
      </c>
      <c r="F8" s="1">
        <v>20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">
        <v>2</v>
      </c>
      <c r="E9" s="1" t="s">
        <v>7</v>
      </c>
      <c r="F9" s="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2.8280053915210702E-2</v>
      </c>
    </row>
    <row r="10" spans="2:15" x14ac:dyDescent="0.25">
      <c r="B10" s="1" t="s">
        <v>8</v>
      </c>
      <c r="C10" s="17" t="s">
        <v>400</v>
      </c>
      <c r="D10" s="1" t="s">
        <v>476</v>
      </c>
      <c r="E10" s="1" t="s">
        <v>8</v>
      </c>
      <c r="F10" s="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File_Size_Comparision!F14</f>
        <v>6.7826219049065717E-2</v>
      </c>
    </row>
    <row r="11" spans="2:15" x14ac:dyDescent="0.25">
      <c r="B11" s="31" t="s">
        <v>11</v>
      </c>
      <c r="C11" s="17" t="s">
        <v>399</v>
      </c>
      <c r="D11" s="1">
        <v>20</v>
      </c>
      <c r="E11" s="31" t="s">
        <v>11</v>
      </c>
      <c r="F11" s="1">
        <v>20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 x14ac:dyDescent="0.25">
      <c r="B12" s="1" t="s">
        <v>12</v>
      </c>
      <c r="C12" s="17" t="s">
        <v>399</v>
      </c>
      <c r="D12" s="1">
        <v>20</v>
      </c>
      <c r="E12" s="1" t="s">
        <v>12</v>
      </c>
      <c r="F12" s="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 x14ac:dyDescent="0.25">
      <c r="B13" s="1" t="s">
        <v>14</v>
      </c>
      <c r="C13" s="17" t="s">
        <v>399</v>
      </c>
      <c r="D13" s="1">
        <v>10</v>
      </c>
      <c r="E13" s="1" t="s">
        <v>14</v>
      </c>
      <c r="F13" s="1">
        <v>9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 x14ac:dyDescent="0.25">
      <c r="B14" s="1" t="s">
        <v>18</v>
      </c>
      <c r="C14" s="17" t="s">
        <v>399</v>
      </c>
      <c r="D14" s="1">
        <v>5</v>
      </c>
      <c r="E14" s="1" t="s">
        <v>18</v>
      </c>
      <c r="F14" s="1">
        <v>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 x14ac:dyDescent="0.25">
      <c r="B15" s="1" t="s">
        <v>19</v>
      </c>
      <c r="C15" s="17" t="s">
        <v>399</v>
      </c>
      <c r="D15" s="32">
        <v>42</v>
      </c>
      <c r="E15" s="1" t="s">
        <v>19</v>
      </c>
      <c r="F15" s="1">
        <v>42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 x14ac:dyDescent="0.25">
      <c r="B16" s="1" t="s">
        <v>22</v>
      </c>
      <c r="C16" s="17" t="s">
        <v>399</v>
      </c>
      <c r="D16" s="1">
        <v>20</v>
      </c>
      <c r="E16" s="1" t="s">
        <v>22</v>
      </c>
      <c r="F16" s="1">
        <v>13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 x14ac:dyDescent="0.25">
      <c r="B17" s="1" t="s">
        <v>23</v>
      </c>
      <c r="C17" s="17" t="s">
        <v>399</v>
      </c>
      <c r="D17" s="1">
        <v>50</v>
      </c>
      <c r="E17" s="1" t="s">
        <v>23</v>
      </c>
      <c r="F17" s="1">
        <v>43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 x14ac:dyDescent="0.25">
      <c r="B18" s="1" t="s">
        <v>24</v>
      </c>
      <c r="C18" s="17" t="s">
        <v>399</v>
      </c>
      <c r="D18" s="1">
        <v>20</v>
      </c>
      <c r="E18" s="1" t="s">
        <v>24</v>
      </c>
      <c r="F18" s="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 x14ac:dyDescent="0.25">
      <c r="B19" s="1" t="s">
        <v>25</v>
      </c>
      <c r="C19" s="17" t="s">
        <v>399</v>
      </c>
      <c r="D19" s="1">
        <v>50</v>
      </c>
      <c r="E19" s="1" t="s">
        <v>25</v>
      </c>
      <c r="F19" s="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 x14ac:dyDescent="0.25">
      <c r="B20" s="1" t="s">
        <v>28</v>
      </c>
      <c r="C20" s="17" t="s">
        <v>399</v>
      </c>
      <c r="D20" s="1">
        <v>20</v>
      </c>
      <c r="E20" s="1" t="s">
        <v>28</v>
      </c>
      <c r="F20" s="1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 x14ac:dyDescent="0.25">
      <c r="B21" s="1" t="s">
        <v>29</v>
      </c>
      <c r="C21" s="17" t="s">
        <v>399</v>
      </c>
      <c r="D21" s="1">
        <v>100</v>
      </c>
      <c r="E21" s="1" t="s">
        <v>29</v>
      </c>
      <c r="F21" s="1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 x14ac:dyDescent="0.25">
      <c r="B22" s="1" t="s">
        <v>30</v>
      </c>
      <c r="C22" s="17" t="s">
        <v>399</v>
      </c>
      <c r="D22" s="32">
        <v>53</v>
      </c>
      <c r="E22" s="1" t="s">
        <v>30</v>
      </c>
      <c r="F22" s="1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 x14ac:dyDescent="0.25">
      <c r="B23" s="1" t="s">
        <v>31</v>
      </c>
      <c r="C23" s="17" t="s">
        <v>399</v>
      </c>
      <c r="D23" s="1">
        <v>100</v>
      </c>
      <c r="E23" s="1" t="s">
        <v>31</v>
      </c>
      <c r="F23" s="1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 x14ac:dyDescent="0.25">
      <c r="B24" s="1" t="s">
        <v>32</v>
      </c>
      <c r="C24" s="17" t="s">
        <v>399</v>
      </c>
      <c r="D24" s="1">
        <v>2</v>
      </c>
      <c r="E24" s="1" t="s">
        <v>32</v>
      </c>
      <c r="F24" s="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 x14ac:dyDescent="0.25">
      <c r="B25" s="1" t="s">
        <v>33</v>
      </c>
      <c r="C25" s="17" t="s">
        <v>399</v>
      </c>
      <c r="D25" s="1">
        <v>30</v>
      </c>
      <c r="E25" s="1" t="s">
        <v>33</v>
      </c>
      <c r="F25" s="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 x14ac:dyDescent="0.25">
      <c r="B26" s="1" t="s">
        <v>304</v>
      </c>
      <c r="C26" s="17" t="s">
        <v>399</v>
      </c>
      <c r="D26" s="1">
        <v>20</v>
      </c>
      <c r="E26" s="33" t="s">
        <v>304</v>
      </c>
      <c r="F26" s="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 x14ac:dyDescent="0.25">
      <c r="B27" s="1" t="s">
        <v>305</v>
      </c>
      <c r="C27" s="17" t="s">
        <v>399</v>
      </c>
      <c r="D27" s="1">
        <v>70</v>
      </c>
      <c r="E27" s="1" t="s">
        <v>305</v>
      </c>
      <c r="F27" s="1">
        <v>62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 x14ac:dyDescent="0.25">
      <c r="B28" s="1" t="s">
        <v>306</v>
      </c>
      <c r="C28" s="17" t="s">
        <v>399</v>
      </c>
      <c r="D28" s="1">
        <v>30</v>
      </c>
      <c r="E28" s="1" t="s">
        <v>306</v>
      </c>
      <c r="F28" s="1">
        <v>16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 x14ac:dyDescent="0.25">
      <c r="B29" s="1" t="s">
        <v>307</v>
      </c>
      <c r="C29" s="17" t="s">
        <v>399</v>
      </c>
      <c r="D29" s="1">
        <v>40</v>
      </c>
      <c r="E29" s="1" t="s">
        <v>307</v>
      </c>
      <c r="F29" s="1">
        <v>23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 x14ac:dyDescent="0.25">
      <c r="B30" s="1" t="s">
        <v>308</v>
      </c>
      <c r="C30" s="17" t="s">
        <v>399</v>
      </c>
      <c r="D30" s="46">
        <v>10</v>
      </c>
      <c r="E30" s="1" t="s">
        <v>308</v>
      </c>
      <c r="F30" s="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 x14ac:dyDescent="0.25">
      <c r="B31" s="1" t="s">
        <v>309</v>
      </c>
      <c r="C31" s="17" t="s">
        <v>399</v>
      </c>
      <c r="D31" s="1">
        <v>50</v>
      </c>
      <c r="E31" s="1" t="s">
        <v>309</v>
      </c>
      <c r="F31" s="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 x14ac:dyDescent="0.25">
      <c r="B32" s="1" t="s">
        <v>310</v>
      </c>
      <c r="C32" s="17" t="s">
        <v>399</v>
      </c>
      <c r="D32" s="1">
        <v>30</v>
      </c>
      <c r="E32" s="1" t="s">
        <v>310</v>
      </c>
      <c r="F32" s="1">
        <v>9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 x14ac:dyDescent="0.25">
      <c r="B33" s="1" t="s">
        <v>114</v>
      </c>
      <c r="C33" s="17" t="s">
        <v>399</v>
      </c>
      <c r="D33" s="1">
        <v>30</v>
      </c>
      <c r="E33" s="1" t="s">
        <v>114</v>
      </c>
      <c r="F33" s="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 x14ac:dyDescent="0.25">
      <c r="B34" s="1" t="s">
        <v>311</v>
      </c>
      <c r="C34" s="17" t="s">
        <v>399</v>
      </c>
      <c r="D34" s="1">
        <v>30</v>
      </c>
      <c r="E34" s="1" t="s">
        <v>311</v>
      </c>
      <c r="F34" s="1">
        <v>7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 x14ac:dyDescent="0.25">
      <c r="B35" s="1" t="s">
        <v>312</v>
      </c>
      <c r="C35" s="17" t="s">
        <v>399</v>
      </c>
      <c r="D35" s="1">
        <v>10</v>
      </c>
      <c r="E35" s="1" t="s">
        <v>312</v>
      </c>
      <c r="F35" s="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 x14ac:dyDescent="0.25">
      <c r="B36" s="1" t="s">
        <v>313</v>
      </c>
      <c r="C36" s="17" t="s">
        <v>400</v>
      </c>
      <c r="D36" s="1" t="s">
        <v>476</v>
      </c>
      <c r="E36" s="1" t="s">
        <v>313</v>
      </c>
      <c r="F36" s="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 x14ac:dyDescent="0.25">
      <c r="B37" s="1" t="s">
        <v>314</v>
      </c>
      <c r="C37" s="17" t="s">
        <v>400</v>
      </c>
      <c r="D37" s="1" t="s">
        <v>476</v>
      </c>
      <c r="E37" s="1" t="s">
        <v>314</v>
      </c>
      <c r="F37" s="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 x14ac:dyDescent="0.25">
      <c r="B38" s="1" t="s">
        <v>315</v>
      </c>
      <c r="C38" s="17" t="s">
        <v>400</v>
      </c>
      <c r="D38" s="1" t="s">
        <v>476</v>
      </c>
      <c r="E38" s="1" t="s">
        <v>315</v>
      </c>
      <c r="F38" s="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 x14ac:dyDescent="0.25">
      <c r="B39" s="1" t="s">
        <v>192</v>
      </c>
      <c r="C39" s="17" t="s">
        <v>400</v>
      </c>
      <c r="D39" s="1" t="s">
        <v>476</v>
      </c>
      <c r="E39" s="1" t="s">
        <v>192</v>
      </c>
      <c r="F39" s="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 x14ac:dyDescent="0.25">
      <c r="B40" s="1" t="s">
        <v>316</v>
      </c>
      <c r="C40" s="17" t="s">
        <v>399</v>
      </c>
      <c r="D40" s="32">
        <v>14</v>
      </c>
      <c r="E40" s="1" t="s">
        <v>316</v>
      </c>
      <c r="F40" s="1">
        <v>14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 x14ac:dyDescent="0.25">
      <c r="B41" s="1" t="s">
        <v>317</v>
      </c>
      <c r="C41" s="17" t="s">
        <v>399</v>
      </c>
      <c r="D41" s="1">
        <v>256</v>
      </c>
      <c r="E41" s="1" t="s">
        <v>317</v>
      </c>
      <c r="F41" s="1">
        <v>37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 x14ac:dyDescent="0.25">
      <c r="B42" s="1" t="s">
        <v>318</v>
      </c>
      <c r="C42" s="17" t="s">
        <v>399</v>
      </c>
      <c r="D42" s="1">
        <v>12</v>
      </c>
      <c r="E42" s="1" t="s">
        <v>318</v>
      </c>
      <c r="F42" s="1">
        <v>2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 x14ac:dyDescent="0.25">
      <c r="B43" s="1" t="s">
        <v>319</v>
      </c>
      <c r="C43" s="17" t="s">
        <v>399</v>
      </c>
      <c r="D43" s="1">
        <v>200</v>
      </c>
      <c r="E43" s="1" t="s">
        <v>319</v>
      </c>
      <c r="F43" s="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 x14ac:dyDescent="0.25">
      <c r="B44" s="1" t="s">
        <v>320</v>
      </c>
      <c r="C44" s="17" t="s">
        <v>399</v>
      </c>
      <c r="D44" s="1">
        <v>200</v>
      </c>
      <c r="E44" s="1" t="s">
        <v>320</v>
      </c>
      <c r="F44" s="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 x14ac:dyDescent="0.25">
      <c r="B45" s="1" t="s">
        <v>321</v>
      </c>
      <c r="C45" s="17" t="s">
        <v>399</v>
      </c>
      <c r="D45" s="1">
        <v>10</v>
      </c>
      <c r="E45" s="1" t="s">
        <v>321</v>
      </c>
      <c r="F45" s="1">
        <v>10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 x14ac:dyDescent="0.25">
      <c r="B46" s="1" t="s">
        <v>322</v>
      </c>
      <c r="C46" s="17" t="s">
        <v>399</v>
      </c>
      <c r="D46" s="1">
        <v>100</v>
      </c>
      <c r="E46" s="1" t="s">
        <v>322</v>
      </c>
      <c r="F46" s="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 x14ac:dyDescent="0.25">
      <c r="B47" s="1" t="s">
        <v>323</v>
      </c>
      <c r="C47" s="17" t="s">
        <v>398</v>
      </c>
      <c r="D47" s="1" t="s">
        <v>476</v>
      </c>
      <c r="E47" s="1" t="s">
        <v>323</v>
      </c>
      <c r="F47" s="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 x14ac:dyDescent="0.25">
      <c r="B48" s="1" t="s">
        <v>324</v>
      </c>
      <c r="C48" s="17" t="s">
        <v>398</v>
      </c>
      <c r="D48" s="1" t="s">
        <v>476</v>
      </c>
      <c r="E48" s="1" t="s">
        <v>324</v>
      </c>
      <c r="F48" s="1">
        <v>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 x14ac:dyDescent="0.25">
      <c r="B49" s="1" t="s">
        <v>325</v>
      </c>
      <c r="C49" s="17" t="s">
        <v>399</v>
      </c>
      <c r="D49" s="1">
        <v>200</v>
      </c>
      <c r="E49" s="1" t="s">
        <v>325</v>
      </c>
      <c r="F49" s="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 x14ac:dyDescent="0.25">
      <c r="B50" s="1" t="s">
        <v>326</v>
      </c>
      <c r="C50" s="17" t="s">
        <v>399</v>
      </c>
      <c r="D50" s="1">
        <v>10</v>
      </c>
      <c r="E50" s="1" t="s">
        <v>326</v>
      </c>
      <c r="F50" s="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 x14ac:dyDescent="0.25">
      <c r="B51" s="1" t="s">
        <v>327</v>
      </c>
      <c r="C51" s="17" t="s">
        <v>399</v>
      </c>
      <c r="D51" s="1">
        <v>1</v>
      </c>
      <c r="E51" s="1" t="s">
        <v>327</v>
      </c>
      <c r="F51" s="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 x14ac:dyDescent="0.25">
      <c r="B52" s="1" t="s">
        <v>328</v>
      </c>
      <c r="C52" s="17" t="s">
        <v>399</v>
      </c>
      <c r="D52" s="1">
        <v>1</v>
      </c>
      <c r="E52" s="1" t="s">
        <v>328</v>
      </c>
      <c r="F52" s="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 x14ac:dyDescent="0.25">
      <c r="B53" s="1" t="s">
        <v>329</v>
      </c>
      <c r="C53" s="17" t="s">
        <v>399</v>
      </c>
      <c r="D53" s="1">
        <v>1</v>
      </c>
      <c r="E53" s="1" t="s">
        <v>329</v>
      </c>
      <c r="F53" s="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 x14ac:dyDescent="0.25">
      <c r="B54" s="1" t="s">
        <v>330</v>
      </c>
      <c r="C54" s="17" t="s">
        <v>398</v>
      </c>
      <c r="D54" s="1" t="s">
        <v>476</v>
      </c>
      <c r="E54" s="1" t="s">
        <v>330</v>
      </c>
      <c r="F54" s="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 x14ac:dyDescent="0.25">
      <c r="B55" s="1" t="s">
        <v>331</v>
      </c>
      <c r="C55" s="17" t="s">
        <v>398</v>
      </c>
      <c r="D55" s="1" t="s">
        <v>476</v>
      </c>
      <c r="E55" s="1" t="s">
        <v>331</v>
      </c>
      <c r="F55" s="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 x14ac:dyDescent="0.25">
      <c r="B56" s="1" t="s">
        <v>332</v>
      </c>
      <c r="C56" s="17" t="s">
        <v>398</v>
      </c>
      <c r="D56" s="1" t="s">
        <v>476</v>
      </c>
      <c r="E56" s="1" t="s">
        <v>332</v>
      </c>
      <c r="F56" s="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 x14ac:dyDescent="0.25">
      <c r="B57" s="1" t="s">
        <v>333</v>
      </c>
      <c r="C57" s="17" t="s">
        <v>399</v>
      </c>
      <c r="D57" s="1">
        <v>10</v>
      </c>
      <c r="E57" s="1" t="s">
        <v>333</v>
      </c>
      <c r="F57" s="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 x14ac:dyDescent="0.25">
      <c r="B58" s="1" t="s">
        <v>334</v>
      </c>
      <c r="C58" s="17" t="s">
        <v>399</v>
      </c>
      <c r="D58" s="32">
        <v>70</v>
      </c>
      <c r="E58" s="1" t="s">
        <v>334</v>
      </c>
      <c r="F58" s="1">
        <v>70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 x14ac:dyDescent="0.25">
      <c r="B59" s="1" t="s">
        <v>195</v>
      </c>
      <c r="C59" s="17" t="s">
        <v>405</v>
      </c>
      <c r="D59" s="31" t="s">
        <v>477</v>
      </c>
      <c r="E59" s="1" t="s">
        <v>195</v>
      </c>
      <c r="F59" s="1">
        <v>19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 x14ac:dyDescent="0.25">
      <c r="B60" s="1" t="s">
        <v>196</v>
      </c>
      <c r="C60" s="17" t="s">
        <v>405</v>
      </c>
      <c r="D60" s="31" t="s">
        <v>298</v>
      </c>
      <c r="E60" s="1" t="s">
        <v>196</v>
      </c>
      <c r="F60" s="1">
        <v>19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 x14ac:dyDescent="0.25">
      <c r="B61" s="1" t="s">
        <v>198</v>
      </c>
      <c r="C61" s="17" t="s">
        <v>405</v>
      </c>
      <c r="D61" s="31" t="s">
        <v>298</v>
      </c>
      <c r="E61" s="1" t="s">
        <v>198</v>
      </c>
      <c r="F61" s="1">
        <v>7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 x14ac:dyDescent="0.25">
      <c r="B62" s="1" t="s">
        <v>199</v>
      </c>
      <c r="C62" s="17" t="s">
        <v>405</v>
      </c>
      <c r="D62" s="31" t="s">
        <v>298</v>
      </c>
      <c r="E62" s="1" t="s">
        <v>199</v>
      </c>
      <c r="F62" s="1">
        <v>8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 x14ac:dyDescent="0.25">
      <c r="B63" s="1" t="s">
        <v>201</v>
      </c>
      <c r="C63" s="17" t="s">
        <v>405</v>
      </c>
      <c r="D63" s="31" t="s">
        <v>298</v>
      </c>
      <c r="E63" s="1" t="s">
        <v>201</v>
      </c>
      <c r="F63" s="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 x14ac:dyDescent="0.25">
      <c r="B64" s="1" t="s">
        <v>335</v>
      </c>
      <c r="C64" s="17" t="s">
        <v>405</v>
      </c>
      <c r="D64" s="31" t="s">
        <v>298</v>
      </c>
      <c r="E64" s="1" t="s">
        <v>335</v>
      </c>
      <c r="F64" s="1">
        <v>6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 x14ac:dyDescent="0.25">
      <c r="B65" s="1" t="s">
        <v>336</v>
      </c>
      <c r="C65" s="17" t="s">
        <v>405</v>
      </c>
      <c r="D65" s="31" t="s">
        <v>477</v>
      </c>
      <c r="E65" s="1" t="s">
        <v>336</v>
      </c>
      <c r="F65" s="1">
        <v>8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 x14ac:dyDescent="0.25">
      <c r="B66" s="1" t="s">
        <v>337</v>
      </c>
      <c r="C66" s="17" t="s">
        <v>405</v>
      </c>
      <c r="D66" s="31" t="s">
        <v>298</v>
      </c>
      <c r="E66" s="1" t="s">
        <v>337</v>
      </c>
      <c r="F66" s="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 x14ac:dyDescent="0.25">
      <c r="B67" s="1" t="s">
        <v>338</v>
      </c>
      <c r="C67" s="17" t="s">
        <v>405</v>
      </c>
      <c r="D67" s="31" t="s">
        <v>477</v>
      </c>
      <c r="E67" s="1" t="s">
        <v>338</v>
      </c>
      <c r="F67" s="1">
        <v>8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 x14ac:dyDescent="0.25">
      <c r="B68" s="1" t="s">
        <v>205</v>
      </c>
      <c r="C68" s="17" t="s">
        <v>405</v>
      </c>
      <c r="D68" s="31" t="s">
        <v>477</v>
      </c>
      <c r="E68" s="1" t="s">
        <v>205</v>
      </c>
      <c r="F68" s="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 x14ac:dyDescent="0.25">
      <c r="B69" s="1" t="s">
        <v>209</v>
      </c>
      <c r="C69" s="17" t="s">
        <v>399</v>
      </c>
      <c r="D69" s="1">
        <v>8</v>
      </c>
      <c r="E69" s="1" t="s">
        <v>209</v>
      </c>
      <c r="F69" s="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 x14ac:dyDescent="0.25">
      <c r="B70" s="1" t="s">
        <v>210</v>
      </c>
      <c r="C70" s="17" t="s">
        <v>399</v>
      </c>
      <c r="D70" s="1">
        <v>50</v>
      </c>
      <c r="E70" s="1" t="s">
        <v>210</v>
      </c>
      <c r="F70" s="1">
        <v>10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 x14ac:dyDescent="0.25">
      <c r="B71" s="1" t="s">
        <v>51</v>
      </c>
      <c r="C71" s="17" t="s">
        <v>399</v>
      </c>
      <c r="D71" s="1">
        <v>100</v>
      </c>
      <c r="E71" s="1" t="s">
        <v>51</v>
      </c>
      <c r="F71" s="1">
        <v>3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 x14ac:dyDescent="0.25">
      <c r="B72" s="1" t="s">
        <v>52</v>
      </c>
      <c r="C72" s="17" t="s">
        <v>399</v>
      </c>
      <c r="D72" s="1">
        <v>100</v>
      </c>
      <c r="E72" s="1" t="s">
        <v>52</v>
      </c>
      <c r="F72" s="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 x14ac:dyDescent="0.25">
      <c r="B73" s="1" t="s">
        <v>53</v>
      </c>
      <c r="C73" s="17" t="s">
        <v>399</v>
      </c>
      <c r="D73" s="1">
        <v>100</v>
      </c>
      <c r="E73" s="1" t="s">
        <v>53</v>
      </c>
      <c r="F73" s="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 x14ac:dyDescent="0.25">
      <c r="B74" s="1" t="s">
        <v>54</v>
      </c>
      <c r="C74" s="17" t="s">
        <v>399</v>
      </c>
      <c r="D74" s="1">
        <v>100</v>
      </c>
      <c r="E74" s="1" t="s">
        <v>54</v>
      </c>
      <c r="F74" s="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 x14ac:dyDescent="0.25">
      <c r="B75" s="1" t="s">
        <v>55</v>
      </c>
      <c r="C75" s="17" t="s">
        <v>399</v>
      </c>
      <c r="D75" s="1">
        <v>100</v>
      </c>
      <c r="E75" s="1" t="s">
        <v>55</v>
      </c>
      <c r="F75" s="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 x14ac:dyDescent="0.25">
      <c r="B76" s="1" t="s">
        <v>56</v>
      </c>
      <c r="C76" s="17" t="s">
        <v>399</v>
      </c>
      <c r="D76" s="1">
        <v>100</v>
      </c>
      <c r="E76" s="1" t="s">
        <v>56</v>
      </c>
      <c r="F76" s="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 x14ac:dyDescent="0.25">
      <c r="B77" s="1" t="s">
        <v>57</v>
      </c>
      <c r="C77" s="17" t="s">
        <v>399</v>
      </c>
      <c r="D77" s="1">
        <v>100</v>
      </c>
      <c r="E77" s="1" t="s">
        <v>57</v>
      </c>
      <c r="F77" s="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 x14ac:dyDescent="0.25">
      <c r="B78" s="1" t="s">
        <v>58</v>
      </c>
      <c r="C78" s="17" t="s">
        <v>399</v>
      </c>
      <c r="D78" s="1">
        <v>100</v>
      </c>
      <c r="E78" s="1" t="s">
        <v>58</v>
      </c>
      <c r="F78" s="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 x14ac:dyDescent="0.25">
      <c r="B79" s="1" t="s">
        <v>59</v>
      </c>
      <c r="C79" s="17" t="s">
        <v>399</v>
      </c>
      <c r="D79" s="1">
        <v>100</v>
      </c>
      <c r="E79" s="1" t="s">
        <v>59</v>
      </c>
      <c r="F79" s="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 x14ac:dyDescent="0.25">
      <c r="B80" s="1" t="s">
        <v>60</v>
      </c>
      <c r="C80" s="17" t="s">
        <v>399</v>
      </c>
      <c r="D80" s="1">
        <v>100</v>
      </c>
      <c r="E80" s="1" t="s">
        <v>60</v>
      </c>
      <c r="F80" s="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 x14ac:dyDescent="0.25">
      <c r="B81" s="1" t="s">
        <v>61</v>
      </c>
      <c r="C81" s="17" t="s">
        <v>399</v>
      </c>
      <c r="D81" s="1">
        <v>100</v>
      </c>
      <c r="E81" s="1" t="s">
        <v>61</v>
      </c>
      <c r="F81" s="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 x14ac:dyDescent="0.25">
      <c r="B82" s="1" t="s">
        <v>62</v>
      </c>
      <c r="C82" s="17" t="s">
        <v>399</v>
      </c>
      <c r="D82" s="1">
        <v>100</v>
      </c>
      <c r="E82" s="1" t="s">
        <v>62</v>
      </c>
      <c r="F82" s="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 x14ac:dyDescent="0.25">
      <c r="B83" s="1" t="s">
        <v>63</v>
      </c>
      <c r="C83" s="17" t="s">
        <v>399</v>
      </c>
      <c r="D83" s="1">
        <v>100</v>
      </c>
      <c r="E83" s="1" t="s">
        <v>63</v>
      </c>
      <c r="F83" s="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 x14ac:dyDescent="0.25">
      <c r="B84" s="1" t="s">
        <v>64</v>
      </c>
      <c r="C84" s="17" t="s">
        <v>399</v>
      </c>
      <c r="D84" s="1">
        <v>100</v>
      </c>
      <c r="E84" s="1" t="s">
        <v>64</v>
      </c>
      <c r="F84" s="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 x14ac:dyDescent="0.25">
      <c r="B85" s="1" t="s">
        <v>65</v>
      </c>
      <c r="C85" s="17" t="s">
        <v>399</v>
      </c>
      <c r="D85" s="1">
        <v>100</v>
      </c>
      <c r="E85" s="1" t="s">
        <v>65</v>
      </c>
      <c r="F85" s="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 x14ac:dyDescent="0.25">
      <c r="B86" s="1" t="s">
        <v>66</v>
      </c>
      <c r="C86" s="17" t="s">
        <v>399</v>
      </c>
      <c r="D86" s="1">
        <v>100</v>
      </c>
      <c r="E86" s="1" t="s">
        <v>66</v>
      </c>
      <c r="F86" s="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 x14ac:dyDescent="0.25">
      <c r="B87" s="1" t="s">
        <v>67</v>
      </c>
      <c r="C87" s="17" t="s">
        <v>399</v>
      </c>
      <c r="D87" s="1">
        <v>100</v>
      </c>
      <c r="E87" s="1" t="s">
        <v>67</v>
      </c>
      <c r="F87" s="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1" t="s">
        <v>68</v>
      </c>
      <c r="C88" s="17" t="s">
        <v>399</v>
      </c>
      <c r="D88" s="1">
        <v>100</v>
      </c>
      <c r="E88" s="1" t="s">
        <v>68</v>
      </c>
      <c r="F88" s="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1" t="s">
        <v>69</v>
      </c>
      <c r="C89" s="17" t="s">
        <v>399</v>
      </c>
      <c r="D89" s="1">
        <v>100</v>
      </c>
      <c r="E89" s="1" t="s">
        <v>69</v>
      </c>
      <c r="F89" s="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1" t="s">
        <v>70</v>
      </c>
      <c r="C90" s="17" t="s">
        <v>399</v>
      </c>
      <c r="D90" s="1">
        <v>100</v>
      </c>
      <c r="E90" s="1" t="s">
        <v>70</v>
      </c>
      <c r="F90" s="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1" t="s">
        <v>71</v>
      </c>
      <c r="C91" s="17" t="s">
        <v>399</v>
      </c>
      <c r="D91" s="1">
        <v>50</v>
      </c>
      <c r="E91" s="1" t="s">
        <v>71</v>
      </c>
      <c r="F91" s="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1" t="s">
        <v>297</v>
      </c>
      <c r="C92" s="17" t="s">
        <v>399</v>
      </c>
      <c r="D92" s="1">
        <v>20</v>
      </c>
      <c r="E92" s="1" t="s">
        <v>297</v>
      </c>
      <c r="F92" s="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31" t="s">
        <v>86</v>
      </c>
      <c r="C93" s="36" t="s">
        <v>399</v>
      </c>
      <c r="D93" s="31">
        <v>500</v>
      </c>
      <c r="E93" s="31" t="s">
        <v>86</v>
      </c>
      <c r="F93" s="31">
        <v>76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31" t="s">
        <v>436</v>
      </c>
      <c r="C94" s="36" t="s">
        <v>399</v>
      </c>
      <c r="D94" s="31">
        <v>100</v>
      </c>
      <c r="E94" s="31" t="s">
        <v>436</v>
      </c>
      <c r="F94" s="3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31" t="s">
        <v>437</v>
      </c>
      <c r="C95" s="36" t="s">
        <v>399</v>
      </c>
      <c r="D95" s="31">
        <v>100</v>
      </c>
      <c r="E95" s="31" t="s">
        <v>437</v>
      </c>
      <c r="F95" s="3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31" t="s">
        <v>438</v>
      </c>
      <c r="C96" s="36" t="s">
        <v>399</v>
      </c>
      <c r="D96" s="31">
        <v>100</v>
      </c>
      <c r="E96" s="31" t="s">
        <v>438</v>
      </c>
      <c r="F96" s="3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31" t="s">
        <v>439</v>
      </c>
      <c r="C97" s="36" t="s">
        <v>399</v>
      </c>
      <c r="D97" s="31">
        <v>100</v>
      </c>
      <c r="E97" s="31" t="s">
        <v>439</v>
      </c>
      <c r="F97" s="3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31" t="s">
        <v>440</v>
      </c>
      <c r="C98" s="36" t="s">
        <v>399</v>
      </c>
      <c r="D98" s="31">
        <v>100</v>
      </c>
      <c r="E98" s="31" t="s">
        <v>440</v>
      </c>
      <c r="F98" s="3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31" t="s">
        <v>441</v>
      </c>
      <c r="C99" s="36" t="s">
        <v>399</v>
      </c>
      <c r="D99" s="31">
        <v>100</v>
      </c>
      <c r="E99" s="31" t="s">
        <v>441</v>
      </c>
      <c r="F99" s="3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31" t="s">
        <v>442</v>
      </c>
      <c r="C100" s="36" t="s">
        <v>399</v>
      </c>
      <c r="D100" s="31">
        <v>100</v>
      </c>
      <c r="E100" s="31" t="s">
        <v>442</v>
      </c>
      <c r="F100" s="3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31" t="s">
        <v>443</v>
      </c>
      <c r="C101" s="36" t="s">
        <v>399</v>
      </c>
      <c r="D101" s="31">
        <v>100</v>
      </c>
      <c r="E101" s="31" t="s">
        <v>443</v>
      </c>
      <c r="F101" s="3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31" t="s">
        <v>444</v>
      </c>
      <c r="C102" s="36" t="s">
        <v>399</v>
      </c>
      <c r="D102" s="31">
        <v>100</v>
      </c>
      <c r="E102" s="31" t="s">
        <v>444</v>
      </c>
      <c r="F102" s="3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31" t="s">
        <v>445</v>
      </c>
      <c r="C103" s="36" t="s">
        <v>399</v>
      </c>
      <c r="D103" s="31">
        <v>100</v>
      </c>
      <c r="E103" s="31" t="s">
        <v>445</v>
      </c>
      <c r="F103" s="3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31" t="s">
        <v>446</v>
      </c>
      <c r="C104" s="36" t="s">
        <v>399</v>
      </c>
      <c r="D104" s="31">
        <v>100</v>
      </c>
      <c r="E104" s="31" t="s">
        <v>446</v>
      </c>
      <c r="F104" s="3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31" t="s">
        <v>447</v>
      </c>
      <c r="C105" s="36" t="s">
        <v>399</v>
      </c>
      <c r="D105" s="31">
        <v>100</v>
      </c>
      <c r="E105" s="31" t="s">
        <v>447</v>
      </c>
      <c r="F105" s="3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31" t="s">
        <v>448</v>
      </c>
      <c r="C106" s="36" t="s">
        <v>399</v>
      </c>
      <c r="D106" s="31">
        <v>100</v>
      </c>
      <c r="E106" s="31" t="s">
        <v>448</v>
      </c>
      <c r="F106" s="3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31" t="s">
        <v>449</v>
      </c>
      <c r="C107" s="36" t="s">
        <v>399</v>
      </c>
      <c r="D107" s="31">
        <v>100</v>
      </c>
      <c r="E107" s="31" t="s">
        <v>449</v>
      </c>
      <c r="F107" s="3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31" t="s">
        <v>450</v>
      </c>
      <c r="C108" s="36" t="s">
        <v>399</v>
      </c>
      <c r="D108" s="31">
        <v>100</v>
      </c>
      <c r="E108" s="31" t="s">
        <v>450</v>
      </c>
      <c r="F108" s="3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31" t="s">
        <v>451</v>
      </c>
      <c r="C109" s="36" t="s">
        <v>399</v>
      </c>
      <c r="D109" s="31">
        <v>100</v>
      </c>
      <c r="E109" s="31" t="s">
        <v>451</v>
      </c>
      <c r="F109" s="3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31" t="s">
        <v>452</v>
      </c>
      <c r="C110" s="36" t="s">
        <v>399</v>
      </c>
      <c r="D110" s="31">
        <v>100</v>
      </c>
      <c r="E110" s="31" t="s">
        <v>452</v>
      </c>
      <c r="F110" s="3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31" t="s">
        <v>453</v>
      </c>
      <c r="C111" s="36" t="s">
        <v>399</v>
      </c>
      <c r="D111" s="31">
        <v>100</v>
      </c>
      <c r="E111" s="31" t="s">
        <v>453</v>
      </c>
      <c r="F111" s="3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31" t="s">
        <v>454</v>
      </c>
      <c r="C112" s="36" t="s">
        <v>399</v>
      </c>
      <c r="D112" s="31">
        <v>100</v>
      </c>
      <c r="E112" s="31" t="s">
        <v>454</v>
      </c>
      <c r="F112" s="3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31" t="s">
        <v>455</v>
      </c>
      <c r="C113" s="36" t="s">
        <v>399</v>
      </c>
      <c r="D113" s="31">
        <v>100</v>
      </c>
      <c r="E113" s="31" t="s">
        <v>455</v>
      </c>
      <c r="F113" s="3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103" priority="459" operator="equal">
      <formula>"Fail"</formula>
    </cfRule>
    <cfRule type="cellIs" dxfId="102" priority="460" operator="equal">
      <formula>"Pass"</formula>
    </cfRule>
  </conditionalFormatting>
  <conditionalFormatting sqref="M6:N7">
    <cfRule type="cellIs" dxfId="101" priority="7" operator="equal">
      <formula>"Fail"</formula>
    </cfRule>
    <cfRule type="cellIs" dxfId="100" priority="8" operator="equal">
      <formula>"Pass"</formula>
    </cfRule>
  </conditionalFormatting>
  <conditionalFormatting sqref="M8">
    <cfRule type="containsText" dxfId="99" priority="1" operator="containsText" text="Pass">
      <formula>NOT(ISERROR(SEARCH("Pass",M8)))</formula>
    </cfRule>
    <cfRule type="containsText" dxfId="98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 t="s">
        <v>476</v>
      </c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230786</v>
      </c>
      <c r="M3" s="19">
        <v>228136</v>
      </c>
      <c r="N3" s="22">
        <f>L3-M3</f>
        <v>2650</v>
      </c>
    </row>
    <row r="4" spans="2:15" x14ac:dyDescent="0.25">
      <c r="B4" s="1" t="s">
        <v>339</v>
      </c>
      <c r="C4" s="17" t="s">
        <v>399</v>
      </c>
      <c r="D4" s="11">
        <v>30</v>
      </c>
      <c r="E4" s="1" t="s">
        <v>339</v>
      </c>
      <c r="F4" s="11">
        <v>15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 x14ac:dyDescent="0.25">
      <c r="B5" s="1" t="s">
        <v>340</v>
      </c>
      <c r="C5" s="17" t="s">
        <v>399</v>
      </c>
      <c r="D5" s="11">
        <v>30</v>
      </c>
      <c r="E5" s="1" t="s">
        <v>340</v>
      </c>
      <c r="F5" s="11">
        <v>26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 x14ac:dyDescent="0.2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1" t="s">
        <v>342</v>
      </c>
      <c r="C7" s="17" t="s">
        <v>400</v>
      </c>
      <c r="D7" s="11" t="s">
        <v>476</v>
      </c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1.161587824806256E-2</v>
      </c>
    </row>
    <row r="9" spans="2:15" x14ac:dyDescent="0.2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File_Size_Comparision!F15</f>
        <v>1.1701857033833651E-2</v>
      </c>
    </row>
    <row r="10" spans="2:15" x14ac:dyDescent="0.2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 x14ac:dyDescent="0.2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 x14ac:dyDescent="0.25">
      <c r="B12" s="1" t="s">
        <v>347</v>
      </c>
      <c r="C12" s="17" t="s">
        <v>400</v>
      </c>
      <c r="D12" s="11" t="s">
        <v>476</v>
      </c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 x14ac:dyDescent="0.25">
      <c r="B13" s="1" t="s">
        <v>348</v>
      </c>
      <c r="C13" s="17" t="s">
        <v>400</v>
      </c>
      <c r="D13" s="11" t="s">
        <v>476</v>
      </c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 x14ac:dyDescent="0.2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 x14ac:dyDescent="0.2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97" priority="627" operator="equal">
      <formula>"Fail"</formula>
    </cfRule>
    <cfRule type="cellIs" dxfId="96" priority="628" operator="equal">
      <formula>"Pass"</formula>
    </cfRule>
  </conditionalFormatting>
  <conditionalFormatting sqref="H2:H15">
    <cfRule type="cellIs" dxfId="95" priority="17" operator="equal">
      <formula>"Fail"</formula>
    </cfRule>
    <cfRule type="cellIs" dxfId="94" priority="18" operator="equal">
      <formula>"Pass"</formula>
    </cfRule>
  </conditionalFormatting>
  <conditionalFormatting sqref="H2:H15">
    <cfRule type="cellIs" dxfId="93" priority="15" operator="equal">
      <formula>"Fail"</formula>
    </cfRule>
    <cfRule type="cellIs" dxfId="92" priority="16" operator="equal">
      <formula>"Pass"</formula>
    </cfRule>
  </conditionalFormatting>
  <conditionalFormatting sqref="H2:H15">
    <cfRule type="cellIs" dxfId="91" priority="13" operator="equal">
      <formula>"Fail"</formula>
    </cfRule>
    <cfRule type="cellIs" dxfId="90" priority="14" operator="equal">
      <formula>"Pass"</formula>
    </cfRule>
  </conditionalFormatting>
  <conditionalFormatting sqref="H2:H15">
    <cfRule type="cellIs" dxfId="89" priority="11" operator="equal">
      <formula>"Fail"</formula>
    </cfRule>
    <cfRule type="cellIs" dxfId="88" priority="12" operator="equal">
      <formula>"Pass"</formula>
    </cfRule>
  </conditionalFormatting>
  <conditionalFormatting sqref="H2:H15">
    <cfRule type="cellIs" dxfId="87" priority="9" operator="equal">
      <formula>"Fail"</formula>
    </cfRule>
    <cfRule type="cellIs" dxfId="86" priority="10" operator="equal">
      <formula>"Pass"</formula>
    </cfRule>
  </conditionalFormatting>
  <conditionalFormatting sqref="H2:H15">
    <cfRule type="cellIs" dxfId="85" priority="7" operator="equal">
      <formula>"Fail"</formula>
    </cfRule>
    <cfRule type="cellIs" dxfId="84" priority="8" operator="equal">
      <formula>"Pass"</formula>
    </cfRule>
  </conditionalFormatting>
  <conditionalFormatting sqref="H2:H15">
    <cfRule type="cellIs" dxfId="83" priority="5" operator="equal">
      <formula>"Fail"</formula>
    </cfRule>
    <cfRule type="cellIs" dxfId="82" priority="6" operator="equal">
      <formula>"Pass"</formula>
    </cfRule>
  </conditionalFormatting>
  <conditionalFormatting sqref="H2:H15">
    <cfRule type="cellIs" dxfId="81" priority="3" operator="equal">
      <formula>"Fail"</formula>
    </cfRule>
    <cfRule type="cellIs" dxfId="80" priority="4" operator="equal">
      <formula>"Pass"</formula>
    </cfRule>
  </conditionalFormatting>
  <conditionalFormatting sqref="M6:M7">
    <cfRule type="cellIs" dxfId="79" priority="1" operator="equal">
      <formula>"Fail"</formula>
    </cfRule>
    <cfRule type="cellIs" dxfId="78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8469</v>
      </c>
      <c r="M3" s="19">
        <v>8465</v>
      </c>
      <c r="N3" s="22">
        <f>L3-M3</f>
        <v>4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4.7253396337861784E-4</v>
      </c>
    </row>
    <row r="9" spans="2:15" x14ac:dyDescent="0.2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File_Size_Comparision!F16</f>
        <v>0</v>
      </c>
    </row>
    <row r="10" spans="2:15" x14ac:dyDescent="0.2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1" t="s">
        <v>95</v>
      </c>
      <c r="C13" s="17" t="s">
        <v>399</v>
      </c>
      <c r="D13" s="11">
        <v>50</v>
      </c>
      <c r="E13" s="1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1" t="s">
        <v>104</v>
      </c>
      <c r="C22" s="17" t="s">
        <v>399</v>
      </c>
      <c r="D22" s="11">
        <v>50</v>
      </c>
      <c r="E22" s="1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1" t="s">
        <v>105</v>
      </c>
      <c r="C23" s="17" t="s">
        <v>399</v>
      </c>
      <c r="D23" s="11">
        <v>50</v>
      </c>
      <c r="E23" s="1" t="s">
        <v>105</v>
      </c>
      <c r="F23" s="11">
        <v>4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1" t="s">
        <v>108</v>
      </c>
      <c r="C26" s="17" t="s">
        <v>399</v>
      </c>
      <c r="D26" s="11">
        <v>50</v>
      </c>
      <c r="E26" s="1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77" priority="835" operator="equal">
      <formula>"Fail"</formula>
    </cfRule>
    <cfRule type="cellIs" dxfId="76" priority="836" operator="equal">
      <formula>"Pass"</formula>
    </cfRule>
  </conditionalFormatting>
  <conditionalFormatting sqref="H2:H26">
    <cfRule type="cellIs" dxfId="75" priority="19" operator="equal">
      <formula>"Fail"</formula>
    </cfRule>
    <cfRule type="cellIs" dxfId="74" priority="20" operator="equal">
      <formula>"Pass"</formula>
    </cfRule>
  </conditionalFormatting>
  <conditionalFormatting sqref="H2:H26">
    <cfRule type="cellIs" dxfId="73" priority="17" operator="equal">
      <formula>"Fail"</formula>
    </cfRule>
    <cfRule type="cellIs" dxfId="72" priority="18" operator="equal">
      <formula>"Pass"</formula>
    </cfRule>
  </conditionalFormatting>
  <conditionalFormatting sqref="H2:H26">
    <cfRule type="cellIs" dxfId="71" priority="15" operator="equal">
      <formula>"Fail"</formula>
    </cfRule>
    <cfRule type="cellIs" dxfId="70" priority="16" operator="equal">
      <formula>"Pass"</formula>
    </cfRule>
  </conditionalFormatting>
  <conditionalFormatting sqref="H2:H26">
    <cfRule type="cellIs" dxfId="69" priority="13" operator="equal">
      <formula>"Fail"</formula>
    </cfRule>
    <cfRule type="cellIs" dxfId="68" priority="14" operator="equal">
      <formula>"Pass"</formula>
    </cfRule>
  </conditionalFormatting>
  <conditionalFormatting sqref="H2:H26">
    <cfRule type="cellIs" dxfId="67" priority="11" operator="equal">
      <formula>"Fail"</formula>
    </cfRule>
    <cfRule type="cellIs" dxfId="66" priority="12" operator="equal">
      <formula>"Pass"</formula>
    </cfRule>
  </conditionalFormatting>
  <conditionalFormatting sqref="H2:H26">
    <cfRule type="cellIs" dxfId="65" priority="9" operator="equal">
      <formula>"Fail"</formula>
    </cfRule>
    <cfRule type="cellIs" dxfId="64" priority="10" operator="equal">
      <formula>"Pass"</formula>
    </cfRule>
  </conditionalFormatting>
  <conditionalFormatting sqref="H2:H26">
    <cfRule type="cellIs" dxfId="63" priority="7" operator="equal">
      <formula>"Fail"</formula>
    </cfRule>
    <cfRule type="cellIs" dxfId="62" priority="8" operator="equal">
      <formula>"Pass"</formula>
    </cfRule>
  </conditionalFormatting>
  <conditionalFormatting sqref="H2:H26">
    <cfRule type="cellIs" dxfId="61" priority="5" operator="equal">
      <formula>"Fail"</formula>
    </cfRule>
    <cfRule type="cellIs" dxfId="60" priority="6" operator="equal">
      <formula>"Pass"</formula>
    </cfRule>
  </conditionalFormatting>
  <conditionalFormatting sqref="H2:H26">
    <cfRule type="cellIs" dxfId="59" priority="3" operator="equal">
      <formula>"Fail"</formula>
    </cfRule>
    <cfRule type="cellIs" dxfId="58" priority="4" operator="equal">
      <formula>"Pass"</formula>
    </cfRule>
  </conditionalFormatting>
  <conditionalFormatting sqref="M6:M7">
    <cfRule type="cellIs" dxfId="57" priority="1" operator="equal">
      <formula>"Fail"</formula>
    </cfRule>
    <cfRule type="cellIs" dxfId="56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8"/>
  <sheetViews>
    <sheetView showGridLines="0" workbookViewId="0"/>
  </sheetViews>
  <sheetFormatPr defaultRowHeight="15" x14ac:dyDescent="0.25"/>
  <cols>
    <col min="1" max="1" width="3.85546875" customWidth="1"/>
    <col min="2" max="2" width="32.42578125" bestFit="1" customWidth="1"/>
    <col min="3" max="3" width="15.140625" customWidth="1"/>
    <col min="4" max="4" width="14.42578125" customWidth="1"/>
    <col min="5" max="5" width="32.42578125" bestFit="1" customWidth="1"/>
    <col min="6" max="6" width="14.85546875" customWidth="1"/>
    <col min="7" max="7" width="14.5703125" customWidth="1"/>
    <col min="8" max="8" width="14" customWidth="1"/>
    <col min="9" max="10" width="0" hidden="1" customWidth="1"/>
    <col min="12" max="12" width="18.42578125" customWidth="1"/>
    <col min="13" max="13" width="19" customWidth="1"/>
  </cols>
  <sheetData>
    <row r="1" spans="2:14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</row>
    <row r="2" spans="2:14" x14ac:dyDescent="0.25">
      <c r="B2" s="54" t="s">
        <v>83</v>
      </c>
      <c r="C2" s="54" t="s">
        <v>399</v>
      </c>
      <c r="D2" s="11">
        <v>20</v>
      </c>
      <c r="E2" s="54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4" x14ac:dyDescent="0.25">
      <c r="B3" s="54" t="s">
        <v>84</v>
      </c>
      <c r="C3" s="54" t="s">
        <v>399</v>
      </c>
      <c r="D3" s="11">
        <v>20</v>
      </c>
      <c r="E3" s="54" t="s">
        <v>84</v>
      </c>
      <c r="F3" s="11">
        <v>0</v>
      </c>
      <c r="G3" s="11" t="str">
        <f t="shared" ref="G3:G48" si="0">IF(I3=J3,"Pass","Fail")</f>
        <v>Pass</v>
      </c>
      <c r="H3" s="12" t="str">
        <f t="shared" ref="H3:H48" si="1">IF(AND(ISBLANK(D3),F3&gt;=0),"Pass",IF(F3&lt;=D3,"Pass","Fail"))</f>
        <v>Pass</v>
      </c>
      <c r="I3" s="3" t="str">
        <f t="shared" ref="I3:I48" si="2">SUBSTITUTE(B3,"_","")</f>
        <v>dwaccountid</v>
      </c>
      <c r="J3" s="3" t="str">
        <f t="shared" ref="J3:J48" si="3">SUBSTITUTE(E3,"_","")</f>
        <v>dwaccountid</v>
      </c>
      <c r="L3" s="19">
        <v>139066</v>
      </c>
      <c r="M3" s="19"/>
      <c r="N3" s="22">
        <f>L3-M3</f>
        <v>139066</v>
      </c>
    </row>
    <row r="4" spans="2:14" x14ac:dyDescent="0.25">
      <c r="B4" s="54" t="s">
        <v>85</v>
      </c>
      <c r="C4" s="54" t="s">
        <v>399</v>
      </c>
      <c r="D4" s="11">
        <v>20</v>
      </c>
      <c r="E4" s="54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4" x14ac:dyDescent="0.25">
      <c r="B5" s="54" t="s">
        <v>71</v>
      </c>
      <c r="C5" s="54" t="s">
        <v>399</v>
      </c>
      <c r="D5" s="11">
        <v>200</v>
      </c>
      <c r="E5" s="54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5" t="s">
        <v>401</v>
      </c>
    </row>
    <row r="6" spans="2:14" x14ac:dyDescent="0.25">
      <c r="B6" s="54" t="s">
        <v>555</v>
      </c>
      <c r="C6" s="54" t="s">
        <v>399</v>
      </c>
      <c r="D6" s="45">
        <v>200</v>
      </c>
      <c r="E6" s="54" t="s">
        <v>555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IF(ISERROR(VLOOKUP($O$1,$G$2:$G$26,1,)),"Pass","Fail")</f>
        <v>Pass</v>
      </c>
    </row>
    <row r="7" spans="2:14" x14ac:dyDescent="0.25">
      <c r="B7" s="54" t="s">
        <v>556</v>
      </c>
      <c r="C7" s="54" t="s">
        <v>399</v>
      </c>
      <c r="D7" s="11">
        <v>200</v>
      </c>
      <c r="E7" s="54" t="s">
        <v>556</v>
      </c>
      <c r="F7" s="11">
        <v>13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IF(ISERROR(VLOOKUP($O$1,$H$2:$H$26,1,)),"Pass","Fail")</f>
        <v>Pass</v>
      </c>
    </row>
    <row r="8" spans="2:14" x14ac:dyDescent="0.25">
      <c r="B8" s="54" t="s">
        <v>557</v>
      </c>
      <c r="C8" s="54" t="s">
        <v>400</v>
      </c>
      <c r="D8" s="11"/>
      <c r="E8" s="54" t="s">
        <v>557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processedDate</v>
      </c>
      <c r="J8" s="3" t="str">
        <f t="shared" si="3"/>
        <v>processedDate</v>
      </c>
      <c r="L8" s="23" t="s">
        <v>467</v>
      </c>
      <c r="M8" s="38">
        <f>IF(M3=0,0%,N3/M3)</f>
        <v>0</v>
      </c>
    </row>
    <row r="9" spans="2:14" x14ac:dyDescent="0.25">
      <c r="B9" s="54" t="s">
        <v>558</v>
      </c>
      <c r="C9" s="54" t="s">
        <v>399</v>
      </c>
      <c r="D9" s="11">
        <v>1</v>
      </c>
      <c r="E9" s="54" t="s">
        <v>558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latestScoreFlag</v>
      </c>
      <c r="J9" s="3" t="str">
        <f t="shared" si="3"/>
        <v>latestScoreFlag</v>
      </c>
      <c r="L9" s="23" t="s">
        <v>466</v>
      </c>
      <c r="M9" s="40" t="e">
        <f>File_Size_Comparision!F17</f>
        <v>#VALUE!</v>
      </c>
    </row>
    <row r="10" spans="2:14" x14ac:dyDescent="0.25">
      <c r="B10" s="54" t="s">
        <v>559</v>
      </c>
      <c r="C10" s="54" t="s">
        <v>399</v>
      </c>
      <c r="D10" s="11">
        <v>200</v>
      </c>
      <c r="E10" s="54" t="s">
        <v>559</v>
      </c>
      <c r="F10" s="11">
        <v>15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memberName</v>
      </c>
      <c r="J10" s="3" t="str">
        <f t="shared" si="3"/>
        <v>memberName</v>
      </c>
    </row>
    <row r="11" spans="2:14" x14ac:dyDescent="0.25">
      <c r="B11" s="54" t="s">
        <v>560</v>
      </c>
      <c r="C11" s="54" t="s">
        <v>399</v>
      </c>
      <c r="D11" s="11">
        <v>100</v>
      </c>
      <c r="E11" s="54" t="s">
        <v>560</v>
      </c>
      <c r="F11" s="11">
        <v>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groupId</v>
      </c>
      <c r="J11" s="3" t="str">
        <f t="shared" si="3"/>
        <v>groupId</v>
      </c>
    </row>
    <row r="12" spans="2:14" x14ac:dyDescent="0.25">
      <c r="B12" s="54" t="s">
        <v>561</v>
      </c>
      <c r="C12" s="54" t="s">
        <v>562</v>
      </c>
      <c r="D12" s="11"/>
      <c r="E12" s="54" t="s">
        <v>561</v>
      </c>
      <c r="F12" s="1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prospectiveInpatient</v>
      </c>
      <c r="J12" s="3" t="str">
        <f t="shared" si="3"/>
        <v>prospectiveInpatient</v>
      </c>
    </row>
    <row r="13" spans="2:14" x14ac:dyDescent="0.25">
      <c r="B13" s="54" t="s">
        <v>563</v>
      </c>
      <c r="C13" s="54" t="s">
        <v>562</v>
      </c>
      <c r="D13" s="11"/>
      <c r="E13" s="54" t="s">
        <v>563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prospectiveMedical</v>
      </c>
      <c r="J13" s="3" t="str">
        <f t="shared" si="3"/>
        <v>prospectiveMedical</v>
      </c>
    </row>
    <row r="14" spans="2:14" x14ac:dyDescent="0.25">
      <c r="B14" s="54" t="s">
        <v>564</v>
      </c>
      <c r="C14" s="54" t="s">
        <v>562</v>
      </c>
      <c r="D14" s="11"/>
      <c r="E14" s="54" t="s">
        <v>564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prospectiveOutpatient</v>
      </c>
      <c r="J14" s="3" t="str">
        <f t="shared" si="3"/>
        <v>prospectiveOutpatient</v>
      </c>
    </row>
    <row r="15" spans="2:14" x14ac:dyDescent="0.25">
      <c r="B15" s="54" t="s">
        <v>565</v>
      </c>
      <c r="C15" s="54" t="s">
        <v>562</v>
      </c>
      <c r="D15" s="11"/>
      <c r="E15" s="54" t="s">
        <v>565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prospectivePharmacy</v>
      </c>
      <c r="J15" s="3" t="str">
        <f t="shared" si="3"/>
        <v>prospectivePharmacy</v>
      </c>
    </row>
    <row r="16" spans="2:14" x14ac:dyDescent="0.25">
      <c r="B16" s="54" t="s">
        <v>566</v>
      </c>
      <c r="C16" s="54" t="s">
        <v>562</v>
      </c>
      <c r="D16" s="11"/>
      <c r="E16" s="54" t="s">
        <v>566</v>
      </c>
      <c r="F16" s="11">
        <v>4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prospectivePhysician</v>
      </c>
      <c r="J16" s="3" t="str">
        <f t="shared" si="3"/>
        <v>prospectivePhysician</v>
      </c>
    </row>
    <row r="17" spans="2:10" x14ac:dyDescent="0.25">
      <c r="B17" s="54" t="s">
        <v>567</v>
      </c>
      <c r="C17" s="54" t="s">
        <v>562</v>
      </c>
      <c r="D17" s="11"/>
      <c r="E17" s="54" t="s">
        <v>567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prospectiveEr</v>
      </c>
      <c r="J17" s="3" t="str">
        <f t="shared" si="3"/>
        <v>prospectiveEr</v>
      </c>
    </row>
    <row r="18" spans="2:10" x14ac:dyDescent="0.25">
      <c r="B18" s="54" t="s">
        <v>568</v>
      </c>
      <c r="C18" s="54" t="s">
        <v>562</v>
      </c>
      <c r="D18" s="11"/>
      <c r="E18" s="54" t="s">
        <v>568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prospectiveOther</v>
      </c>
      <c r="J18" s="3" t="str">
        <f t="shared" si="3"/>
        <v>prospectiveOther</v>
      </c>
    </row>
    <row r="19" spans="2:10" x14ac:dyDescent="0.25">
      <c r="B19" s="54" t="s">
        <v>569</v>
      </c>
      <c r="C19" s="54" t="s">
        <v>562</v>
      </c>
      <c r="D19" s="11"/>
      <c r="E19" s="54" t="s">
        <v>569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prospectiveTotal</v>
      </c>
      <c r="J19" s="3" t="str">
        <f t="shared" si="3"/>
        <v>prospectiveTotal</v>
      </c>
    </row>
    <row r="20" spans="2:10" x14ac:dyDescent="0.25">
      <c r="B20" s="54" t="s">
        <v>570</v>
      </c>
      <c r="C20" s="54" t="s">
        <v>405</v>
      </c>
      <c r="D20" s="11" t="s">
        <v>571</v>
      </c>
      <c r="E20" s="54" t="s">
        <v>570</v>
      </c>
      <c r="F20" s="11">
        <v>9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prospectiveEstimate</v>
      </c>
      <c r="J20" s="3" t="str">
        <f t="shared" si="3"/>
        <v>prospectiveEstimate</v>
      </c>
    </row>
    <row r="21" spans="2:10" x14ac:dyDescent="0.25">
      <c r="B21" s="54" t="s">
        <v>101</v>
      </c>
      <c r="C21" s="54" t="s">
        <v>562</v>
      </c>
      <c r="D21" s="11"/>
      <c r="E21" s="54" t="s">
        <v>101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concurrentInpatient</v>
      </c>
      <c r="J21" s="3" t="str">
        <f t="shared" si="3"/>
        <v>concurrentInpatient</v>
      </c>
    </row>
    <row r="22" spans="2:10" x14ac:dyDescent="0.25">
      <c r="B22" s="54" t="s">
        <v>102</v>
      </c>
      <c r="C22" s="54" t="s">
        <v>562</v>
      </c>
      <c r="D22" s="11"/>
      <c r="E22" s="54" t="s">
        <v>102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concurrentMedical</v>
      </c>
      <c r="J22" s="3" t="str">
        <f t="shared" si="3"/>
        <v>concurrentMedical</v>
      </c>
    </row>
    <row r="23" spans="2:10" x14ac:dyDescent="0.25">
      <c r="B23" s="54" t="s">
        <v>103</v>
      </c>
      <c r="C23" s="54" t="s">
        <v>562</v>
      </c>
      <c r="D23" s="11"/>
      <c r="E23" s="54" t="s">
        <v>103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concurrentOutpatient</v>
      </c>
      <c r="J23" s="3" t="str">
        <f t="shared" si="3"/>
        <v>concurrentOutpatient</v>
      </c>
    </row>
    <row r="24" spans="2:10" x14ac:dyDescent="0.25">
      <c r="B24" s="54" t="s">
        <v>104</v>
      </c>
      <c r="C24" s="54" t="s">
        <v>562</v>
      </c>
      <c r="D24" s="11"/>
      <c r="E24" s="54" t="s">
        <v>104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concurrentPharmacy</v>
      </c>
      <c r="J24" s="3" t="str">
        <f t="shared" si="3"/>
        <v>concurrentPharmacy</v>
      </c>
    </row>
    <row r="25" spans="2:10" x14ac:dyDescent="0.25">
      <c r="B25" s="54" t="s">
        <v>105</v>
      </c>
      <c r="C25" s="54" t="s">
        <v>562</v>
      </c>
      <c r="D25" s="11"/>
      <c r="E25" s="54" t="s">
        <v>105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concurrentPhysician</v>
      </c>
      <c r="J25" s="3" t="str">
        <f t="shared" si="3"/>
        <v>concurrentPhysician</v>
      </c>
    </row>
    <row r="26" spans="2:10" x14ac:dyDescent="0.25">
      <c r="B26" s="54" t="s">
        <v>572</v>
      </c>
      <c r="C26" s="54" t="s">
        <v>562</v>
      </c>
      <c r="D26" s="11"/>
      <c r="E26" s="54" t="s">
        <v>572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concurrentEr</v>
      </c>
      <c r="J26" s="3" t="str">
        <f t="shared" si="3"/>
        <v>concurrentEr</v>
      </c>
    </row>
    <row r="27" spans="2:10" x14ac:dyDescent="0.25">
      <c r="B27" s="54" t="s">
        <v>573</v>
      </c>
      <c r="C27" s="54" t="s">
        <v>562</v>
      </c>
      <c r="D27" s="54"/>
      <c r="E27" s="54" t="s">
        <v>573</v>
      </c>
      <c r="F27" s="11">
        <v>4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concurrentOther</v>
      </c>
      <c r="J27" s="3" t="str">
        <f t="shared" si="3"/>
        <v>concurrentOther</v>
      </c>
    </row>
    <row r="28" spans="2:10" x14ac:dyDescent="0.25">
      <c r="B28" s="54" t="s">
        <v>574</v>
      </c>
      <c r="C28" s="54" t="s">
        <v>562</v>
      </c>
      <c r="D28" s="54"/>
      <c r="E28" s="54" t="s">
        <v>574</v>
      </c>
      <c r="F28" s="11">
        <v>5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concurrentTotal</v>
      </c>
      <c r="J28" s="3" t="str">
        <f t="shared" si="3"/>
        <v>concurrentTotal</v>
      </c>
    </row>
    <row r="29" spans="2:10" x14ac:dyDescent="0.25">
      <c r="B29" s="54" t="s">
        <v>575</v>
      </c>
      <c r="C29" s="54" t="s">
        <v>405</v>
      </c>
      <c r="D29" s="54" t="s">
        <v>571</v>
      </c>
      <c r="E29" s="54" t="s">
        <v>575</v>
      </c>
      <c r="F29" s="11">
        <v>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concurrentEstimate</v>
      </c>
      <c r="J29" s="3" t="str">
        <f t="shared" si="3"/>
        <v>concurrentEstimate</v>
      </c>
    </row>
    <row r="30" spans="2:10" x14ac:dyDescent="0.25">
      <c r="B30" s="54" t="s">
        <v>576</v>
      </c>
      <c r="C30" s="54" t="s">
        <v>398</v>
      </c>
      <c r="D30" s="54"/>
      <c r="E30" s="54" t="s">
        <v>576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concurrentExposureMonths</v>
      </c>
      <c r="J30" s="3" t="str">
        <f t="shared" si="3"/>
        <v>concurrentExposureMonths</v>
      </c>
    </row>
    <row r="31" spans="2:10" x14ac:dyDescent="0.25">
      <c r="B31" s="54" t="s">
        <v>577</v>
      </c>
      <c r="C31" s="54" t="s">
        <v>405</v>
      </c>
      <c r="D31" s="54" t="s">
        <v>571</v>
      </c>
      <c r="E31" s="54" t="s">
        <v>577</v>
      </c>
      <c r="F31" s="11">
        <v>22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concurrentActualPaid</v>
      </c>
      <c r="J31" s="3" t="str">
        <f t="shared" si="3"/>
        <v>concurrentActualPaid</v>
      </c>
    </row>
    <row r="32" spans="2:10" x14ac:dyDescent="0.25">
      <c r="B32" s="54" t="s">
        <v>578</v>
      </c>
      <c r="C32" s="54" t="s">
        <v>405</v>
      </c>
      <c r="D32" s="54" t="s">
        <v>571</v>
      </c>
      <c r="E32" s="54" t="s">
        <v>578</v>
      </c>
      <c r="F32" s="11">
        <v>23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concurrentActualAllowed</v>
      </c>
      <c r="J32" s="3" t="str">
        <f t="shared" si="3"/>
        <v>concurrentActualAllowed</v>
      </c>
    </row>
    <row r="33" spans="2:10" x14ac:dyDescent="0.25">
      <c r="B33" s="54" t="s">
        <v>579</v>
      </c>
      <c r="C33" s="54" t="s">
        <v>562</v>
      </c>
      <c r="D33" s="54"/>
      <c r="E33" s="54" t="s">
        <v>579</v>
      </c>
      <c r="F33" s="11">
        <v>5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prospectiveInpatientRaw</v>
      </c>
      <c r="J33" s="3" t="str">
        <f t="shared" si="3"/>
        <v>prospectiveInpatientRaw</v>
      </c>
    </row>
    <row r="34" spans="2:10" x14ac:dyDescent="0.25">
      <c r="B34" s="54" t="s">
        <v>580</v>
      </c>
      <c r="C34" s="54" t="s">
        <v>562</v>
      </c>
      <c r="D34" s="54"/>
      <c r="E34" s="54" t="s">
        <v>580</v>
      </c>
      <c r="F34" s="11">
        <v>5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prospectiveMedicalRaw</v>
      </c>
      <c r="J34" s="3" t="str">
        <f t="shared" si="3"/>
        <v>prospectiveMedicalRaw</v>
      </c>
    </row>
    <row r="35" spans="2:10" x14ac:dyDescent="0.25">
      <c r="B35" s="54" t="s">
        <v>581</v>
      </c>
      <c r="C35" s="54" t="s">
        <v>562</v>
      </c>
      <c r="D35" s="54"/>
      <c r="E35" s="54" t="s">
        <v>581</v>
      </c>
      <c r="F35" s="11">
        <v>5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prospectiveOutpatientRaw</v>
      </c>
      <c r="J35" s="3" t="str">
        <f t="shared" si="3"/>
        <v>prospectiveOutpatientRaw</v>
      </c>
    </row>
    <row r="36" spans="2:10" x14ac:dyDescent="0.25">
      <c r="B36" s="54" t="s">
        <v>582</v>
      </c>
      <c r="C36" s="54" t="s">
        <v>562</v>
      </c>
      <c r="D36" s="54"/>
      <c r="E36" s="54" t="s">
        <v>582</v>
      </c>
      <c r="F36" s="11">
        <v>5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prospectivePharmacyRaw</v>
      </c>
      <c r="J36" s="3" t="str">
        <f t="shared" si="3"/>
        <v>prospectivePharmacyRaw</v>
      </c>
    </row>
    <row r="37" spans="2:10" x14ac:dyDescent="0.25">
      <c r="B37" s="54" t="s">
        <v>583</v>
      </c>
      <c r="C37" s="54" t="s">
        <v>562</v>
      </c>
      <c r="D37" s="54"/>
      <c r="E37" s="54" t="s">
        <v>583</v>
      </c>
      <c r="F37" s="11">
        <v>4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prospectivePhysicianRaw</v>
      </c>
      <c r="J37" s="3" t="str">
        <f t="shared" si="3"/>
        <v>prospectivePhysicianRaw</v>
      </c>
    </row>
    <row r="38" spans="2:10" x14ac:dyDescent="0.25">
      <c r="B38" s="54" t="s">
        <v>584</v>
      </c>
      <c r="C38" s="54" t="s">
        <v>562</v>
      </c>
      <c r="D38" s="54"/>
      <c r="E38" s="54" t="s">
        <v>584</v>
      </c>
      <c r="F38" s="11">
        <v>4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prospectiveErRaw</v>
      </c>
      <c r="J38" s="3" t="str">
        <f t="shared" si="3"/>
        <v>prospectiveErRaw</v>
      </c>
    </row>
    <row r="39" spans="2:10" x14ac:dyDescent="0.25">
      <c r="B39" s="54" t="s">
        <v>585</v>
      </c>
      <c r="C39" s="54" t="s">
        <v>562</v>
      </c>
      <c r="D39" s="54"/>
      <c r="E39" s="54" t="s">
        <v>585</v>
      </c>
      <c r="F39" s="11">
        <v>4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prospectiveOtherRaw</v>
      </c>
      <c r="J39" s="3" t="str">
        <f t="shared" si="3"/>
        <v>prospectiveOtherRaw</v>
      </c>
    </row>
    <row r="40" spans="2:10" x14ac:dyDescent="0.25">
      <c r="B40" s="54" t="s">
        <v>586</v>
      </c>
      <c r="C40" s="54" t="s">
        <v>562</v>
      </c>
      <c r="D40" s="54"/>
      <c r="E40" s="54" t="s">
        <v>586</v>
      </c>
      <c r="F40" s="11">
        <v>5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prospectiveTotalRaw</v>
      </c>
      <c r="J40" s="3" t="str">
        <f t="shared" si="3"/>
        <v>prospectiveTotalRaw</v>
      </c>
    </row>
    <row r="41" spans="2:10" x14ac:dyDescent="0.25">
      <c r="B41" s="54" t="s">
        <v>587</v>
      </c>
      <c r="C41" s="54" t="s">
        <v>562</v>
      </c>
      <c r="D41" s="54"/>
      <c r="E41" s="54" t="s">
        <v>587</v>
      </c>
      <c r="F41" s="11">
        <v>5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concurrentInpatientRaw</v>
      </c>
      <c r="J41" s="3" t="str">
        <f t="shared" si="3"/>
        <v>concurrentInpatientRaw</v>
      </c>
    </row>
    <row r="42" spans="2:10" x14ac:dyDescent="0.25">
      <c r="B42" s="54" t="s">
        <v>588</v>
      </c>
      <c r="C42" s="54" t="s">
        <v>562</v>
      </c>
      <c r="D42" s="54"/>
      <c r="E42" s="54" t="s">
        <v>588</v>
      </c>
      <c r="F42" s="11">
        <v>5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concurrentMedicalRaw</v>
      </c>
      <c r="J42" s="3" t="str">
        <f t="shared" si="3"/>
        <v>concurrentMedicalRaw</v>
      </c>
    </row>
    <row r="43" spans="2:10" x14ac:dyDescent="0.25">
      <c r="B43" s="54" t="s">
        <v>589</v>
      </c>
      <c r="C43" s="54" t="s">
        <v>562</v>
      </c>
      <c r="D43" s="54"/>
      <c r="E43" s="54" t="s">
        <v>589</v>
      </c>
      <c r="F43" s="11">
        <v>5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concurrentOutpatientRaw</v>
      </c>
      <c r="J43" s="3" t="str">
        <f t="shared" si="3"/>
        <v>concurrentOutpatientRaw</v>
      </c>
    </row>
    <row r="44" spans="2:10" x14ac:dyDescent="0.25">
      <c r="B44" s="54" t="s">
        <v>590</v>
      </c>
      <c r="C44" s="54" t="s">
        <v>562</v>
      </c>
      <c r="D44" s="54"/>
      <c r="E44" s="54" t="s">
        <v>590</v>
      </c>
      <c r="F44" s="11">
        <v>5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concurrentPharmacyRaw</v>
      </c>
      <c r="J44" s="3" t="str">
        <f t="shared" si="3"/>
        <v>concurrentPharmacyRaw</v>
      </c>
    </row>
    <row r="45" spans="2:10" x14ac:dyDescent="0.25">
      <c r="B45" s="54" t="s">
        <v>591</v>
      </c>
      <c r="C45" s="54" t="s">
        <v>562</v>
      </c>
      <c r="D45" s="54"/>
      <c r="E45" s="54" t="s">
        <v>591</v>
      </c>
      <c r="F45" s="11">
        <v>5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concurrentPhysicianRaw</v>
      </c>
      <c r="J45" s="3" t="str">
        <f t="shared" si="3"/>
        <v>concurrentPhysicianRaw</v>
      </c>
    </row>
    <row r="46" spans="2:10" x14ac:dyDescent="0.25">
      <c r="B46" s="54" t="s">
        <v>592</v>
      </c>
      <c r="C46" s="54" t="s">
        <v>562</v>
      </c>
      <c r="D46" s="54"/>
      <c r="E46" s="54" t="s">
        <v>592</v>
      </c>
      <c r="F46" s="11">
        <v>4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concurrentErRaw</v>
      </c>
      <c r="J46" s="3" t="str">
        <f t="shared" si="3"/>
        <v>concurrentErRaw</v>
      </c>
    </row>
    <row r="47" spans="2:10" x14ac:dyDescent="0.25">
      <c r="B47" s="54" t="s">
        <v>593</v>
      </c>
      <c r="C47" s="54" t="s">
        <v>562</v>
      </c>
      <c r="D47" s="54"/>
      <c r="E47" s="54" t="s">
        <v>593</v>
      </c>
      <c r="F47" s="11">
        <v>4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concurrentOtherRaw</v>
      </c>
      <c r="J47" s="3" t="str">
        <f t="shared" si="3"/>
        <v>concurrentOtherRaw</v>
      </c>
    </row>
    <row r="48" spans="2:10" x14ac:dyDescent="0.25">
      <c r="B48" s="54" t="s">
        <v>594</v>
      </c>
      <c r="C48" s="54" t="s">
        <v>562</v>
      </c>
      <c r="D48" s="54"/>
      <c r="E48" s="54" t="s">
        <v>594</v>
      </c>
      <c r="F48" s="11">
        <v>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concurrentTotalRaw</v>
      </c>
      <c r="J48" s="3" t="str">
        <f t="shared" si="3"/>
        <v>concurrentTotalRaw</v>
      </c>
    </row>
  </sheetData>
  <conditionalFormatting sqref="G2:H48">
    <cfRule type="cellIs" dxfId="55" priority="21" operator="equal">
      <formula>"Fail"</formula>
    </cfRule>
    <cfRule type="cellIs" dxfId="54" priority="22" operator="equal">
      <formula>"Pass"</formula>
    </cfRule>
  </conditionalFormatting>
  <conditionalFormatting sqref="H2:H48">
    <cfRule type="cellIs" dxfId="53" priority="19" operator="equal">
      <formula>"Fail"</formula>
    </cfRule>
    <cfRule type="cellIs" dxfId="52" priority="20" operator="equal">
      <formula>"Pass"</formula>
    </cfRule>
  </conditionalFormatting>
  <conditionalFormatting sqref="H2:H48">
    <cfRule type="cellIs" dxfId="51" priority="17" operator="equal">
      <formula>"Fail"</formula>
    </cfRule>
    <cfRule type="cellIs" dxfId="50" priority="18" operator="equal">
      <formula>"Pass"</formula>
    </cfRule>
  </conditionalFormatting>
  <conditionalFormatting sqref="H2:H48">
    <cfRule type="cellIs" dxfId="49" priority="15" operator="equal">
      <formula>"Fail"</formula>
    </cfRule>
    <cfRule type="cellIs" dxfId="48" priority="16" operator="equal">
      <formula>"Pass"</formula>
    </cfRule>
  </conditionalFormatting>
  <conditionalFormatting sqref="H2:H48">
    <cfRule type="cellIs" dxfId="47" priority="13" operator="equal">
      <formula>"Fail"</formula>
    </cfRule>
    <cfRule type="cellIs" dxfId="46" priority="14" operator="equal">
      <formula>"Pass"</formula>
    </cfRule>
  </conditionalFormatting>
  <conditionalFormatting sqref="H2:H48">
    <cfRule type="cellIs" dxfId="45" priority="11" operator="equal">
      <formula>"Fail"</formula>
    </cfRule>
    <cfRule type="cellIs" dxfId="44" priority="12" operator="equal">
      <formula>"Pass"</formula>
    </cfRule>
  </conditionalFormatting>
  <conditionalFormatting sqref="H2:H48">
    <cfRule type="cellIs" dxfId="43" priority="9" operator="equal">
      <formula>"Fail"</formula>
    </cfRule>
    <cfRule type="cellIs" dxfId="42" priority="10" operator="equal">
      <formula>"Pass"</formula>
    </cfRule>
  </conditionalFormatting>
  <conditionalFormatting sqref="H2:H48">
    <cfRule type="cellIs" dxfId="41" priority="7" operator="equal">
      <formula>"Fail"</formula>
    </cfRule>
    <cfRule type="cellIs" dxfId="40" priority="8" operator="equal">
      <formula>"Pass"</formula>
    </cfRule>
  </conditionalFormatting>
  <conditionalFormatting sqref="H2:H48">
    <cfRule type="cellIs" dxfId="39" priority="5" operator="equal">
      <formula>"Fail"</formula>
    </cfRule>
    <cfRule type="cellIs" dxfId="38" priority="6" operator="equal">
      <formula>"Pass"</formula>
    </cfRule>
  </conditionalFormatting>
  <conditionalFormatting sqref="H2:H48">
    <cfRule type="cellIs" dxfId="37" priority="3" operator="equal">
      <formula>"Fail"</formula>
    </cfRule>
    <cfRule type="cellIs" dxfId="36" priority="4" operator="equal">
      <formula>"Pass"</formula>
    </cfRule>
  </conditionalFormatting>
  <conditionalFormatting sqref="M6:M7">
    <cfRule type="cellIs" dxfId="35" priority="1" operator="equal">
      <formula>"Fail"</formula>
    </cfRule>
    <cfRule type="cellIs" dxfId="34" priority="2" operator="equal">
      <formula>"Pass"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13"/>
  <sheetViews>
    <sheetView showGridLines="0" workbookViewId="0"/>
  </sheetViews>
  <sheetFormatPr defaultRowHeight="15" x14ac:dyDescent="0.25"/>
  <cols>
    <col min="1" max="1" width="4.42578125" customWidth="1"/>
    <col min="2" max="2" width="27.7109375" bestFit="1" customWidth="1"/>
    <col min="3" max="3" width="13.28515625" customWidth="1"/>
    <col min="4" max="4" width="14.85546875" customWidth="1"/>
    <col min="5" max="5" width="30.5703125" bestFit="1" customWidth="1"/>
    <col min="6" max="6" width="13.5703125" customWidth="1"/>
    <col min="7" max="7" width="14.7109375" customWidth="1"/>
    <col min="8" max="8" width="14.140625" customWidth="1"/>
    <col min="9" max="10" width="0" hidden="1" customWidth="1"/>
    <col min="12" max="12" width="22.85546875" customWidth="1"/>
    <col min="13" max="13" width="22.140625" bestFit="1" customWidth="1"/>
    <col min="14" max="14" width="10.42578125" bestFit="1" customWidth="1"/>
  </cols>
  <sheetData>
    <row r="1" spans="2:14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</row>
    <row r="2" spans="2:14" x14ac:dyDescent="0.25">
      <c r="B2" s="54" t="s">
        <v>83</v>
      </c>
      <c r="C2" s="54" t="s">
        <v>399</v>
      </c>
      <c r="D2" s="54">
        <v>20</v>
      </c>
      <c r="E2" s="54" t="s">
        <v>83</v>
      </c>
      <c r="F2" s="54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1">
        <v>126655</v>
      </c>
      <c r="M2" s="19">
        <v>126655</v>
      </c>
      <c r="N2" s="22">
        <f>L2-M2</f>
        <v>0</v>
      </c>
    </row>
    <row r="3" spans="2:14" x14ac:dyDescent="0.25">
      <c r="B3" s="54" t="s">
        <v>84</v>
      </c>
      <c r="C3" s="54" t="s">
        <v>399</v>
      </c>
      <c r="D3" s="54">
        <v>20</v>
      </c>
      <c r="E3" s="54" t="s">
        <v>84</v>
      </c>
      <c r="F3" s="54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dwaccountid</v>
      </c>
      <c r="J3" s="3" t="str">
        <f t="shared" ref="J3:J66" si="3">SUBSTITUTE(E3,"_","")</f>
        <v>dwaccountid</v>
      </c>
      <c r="L3" s="20" t="s">
        <v>468</v>
      </c>
      <c r="M3" s="21"/>
      <c r="N3" s="22">
        <f>L2-M3</f>
        <v>126655</v>
      </c>
    </row>
    <row r="4" spans="2:14" x14ac:dyDescent="0.25">
      <c r="B4" s="54" t="s">
        <v>85</v>
      </c>
      <c r="C4" s="54" t="s">
        <v>399</v>
      </c>
      <c r="D4" s="54">
        <v>20</v>
      </c>
      <c r="E4" s="54" t="s">
        <v>85</v>
      </c>
      <c r="F4" s="54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4" x14ac:dyDescent="0.25">
      <c r="B5" s="54" t="s">
        <v>71</v>
      </c>
      <c r="C5" s="54" t="s">
        <v>399</v>
      </c>
      <c r="D5" s="46">
        <v>200</v>
      </c>
      <c r="E5" s="54" t="s">
        <v>71</v>
      </c>
      <c r="F5" s="54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5" t="s">
        <v>401</v>
      </c>
    </row>
    <row r="6" spans="2:14" x14ac:dyDescent="0.25">
      <c r="B6" s="54" t="s">
        <v>555</v>
      </c>
      <c r="C6" s="54" t="s">
        <v>399</v>
      </c>
      <c r="D6" s="54">
        <v>200</v>
      </c>
      <c r="E6" s="54" t="s">
        <v>555</v>
      </c>
      <c r="F6" s="54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memberId</v>
      </c>
      <c r="J6" s="3" t="str">
        <f t="shared" si="3"/>
        <v>memberId</v>
      </c>
      <c r="L6" s="23" t="s">
        <v>81</v>
      </c>
      <c r="M6" s="11" t="str">
        <f>IF(ISERROR(VLOOKUP($O$1,$G$2:$G$113,1,)),"Pass","Fail")</f>
        <v>Pass</v>
      </c>
    </row>
    <row r="7" spans="2:14" x14ac:dyDescent="0.25">
      <c r="B7" s="54" t="s">
        <v>556</v>
      </c>
      <c r="C7" s="54" t="s">
        <v>399</v>
      </c>
      <c r="D7" s="54">
        <v>200</v>
      </c>
      <c r="E7" s="54" t="s">
        <v>556</v>
      </c>
      <c r="F7" s="54">
        <v>13</v>
      </c>
      <c r="G7" s="11" t="str">
        <f t="shared" si="0"/>
        <v>Pass</v>
      </c>
      <c r="H7" s="12" t="str">
        <f t="shared" si="1"/>
        <v>Pass</v>
      </c>
      <c r="I7" s="3" t="str">
        <f t="shared" si="2"/>
        <v>employeeId</v>
      </c>
      <c r="J7" s="3" t="str">
        <f t="shared" si="3"/>
        <v>employeeId</v>
      </c>
      <c r="L7" s="23" t="s">
        <v>402</v>
      </c>
      <c r="M7" s="11" t="str">
        <f>IF(ISERROR(VLOOKUP($O$1,$H$2:$H$113,1,)),"Pass","Fail")</f>
        <v>Pass</v>
      </c>
    </row>
    <row r="8" spans="2:14" x14ac:dyDescent="0.25">
      <c r="B8" s="54" t="s">
        <v>559</v>
      </c>
      <c r="C8" s="54" t="s">
        <v>399</v>
      </c>
      <c r="D8" s="54">
        <v>200</v>
      </c>
      <c r="E8" s="54" t="s">
        <v>559</v>
      </c>
      <c r="F8" s="54">
        <v>35</v>
      </c>
      <c r="G8" s="11" t="str">
        <f t="shared" si="0"/>
        <v>Pass</v>
      </c>
      <c r="H8" s="12" t="str">
        <f t="shared" si="1"/>
        <v>Pass</v>
      </c>
      <c r="I8" s="3" t="str">
        <f t="shared" si="2"/>
        <v>memberName</v>
      </c>
      <c r="J8" s="3" t="str">
        <f t="shared" si="3"/>
        <v>memberName</v>
      </c>
      <c r="L8" s="23" t="s">
        <v>465</v>
      </c>
      <c r="M8" s="39" t="str">
        <f>IF(N2=0,"Pass","Fail")</f>
        <v>Pass</v>
      </c>
    </row>
    <row r="9" spans="2:14" x14ac:dyDescent="0.25">
      <c r="B9" s="54" t="s">
        <v>341</v>
      </c>
      <c r="C9" s="54" t="s">
        <v>399</v>
      </c>
      <c r="D9" s="54">
        <v>6</v>
      </c>
      <c r="E9" s="54" t="s">
        <v>341</v>
      </c>
      <c r="F9" s="54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memberGender</v>
      </c>
      <c r="J9" s="3" t="str">
        <f t="shared" si="3"/>
        <v>memberGender</v>
      </c>
      <c r="L9" s="23" t="s">
        <v>467</v>
      </c>
      <c r="M9" s="40">
        <f>IF(M3=0,0%,N3/M3)</f>
        <v>0</v>
      </c>
    </row>
    <row r="10" spans="2:14" x14ac:dyDescent="0.25">
      <c r="B10" s="54" t="s">
        <v>342</v>
      </c>
      <c r="C10" s="54" t="s">
        <v>400</v>
      </c>
      <c r="D10" s="54"/>
      <c r="E10" s="54" t="s">
        <v>342</v>
      </c>
      <c r="F10" s="54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memberDOB</v>
      </c>
      <c r="J10" s="3" t="str">
        <f t="shared" si="3"/>
        <v>memberDOB</v>
      </c>
      <c r="L10" s="23" t="s">
        <v>466</v>
      </c>
      <c r="M10" s="40" t="e">
        <f>File_Size_Comparision!F18</f>
        <v>#VALUE!</v>
      </c>
    </row>
    <row r="11" spans="2:14" x14ac:dyDescent="0.25">
      <c r="B11" s="54" t="s">
        <v>595</v>
      </c>
      <c r="C11" s="54" t="s">
        <v>399</v>
      </c>
      <c r="D11" s="54">
        <v>5</v>
      </c>
      <c r="E11" s="54" t="s">
        <v>595</v>
      </c>
      <c r="F11" s="54">
        <v>3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mbrAge</v>
      </c>
      <c r="J11" s="3" t="str">
        <f t="shared" si="3"/>
        <v>mbrAge</v>
      </c>
    </row>
    <row r="12" spans="2:14" x14ac:dyDescent="0.25">
      <c r="B12" s="54" t="s">
        <v>596</v>
      </c>
      <c r="C12" s="54" t="s">
        <v>399</v>
      </c>
      <c r="D12" s="54">
        <v>2</v>
      </c>
      <c r="E12" s="54" t="s">
        <v>596</v>
      </c>
      <c r="F12" s="54">
        <v>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memberState</v>
      </c>
      <c r="J12" s="3" t="str">
        <f t="shared" si="3"/>
        <v>memberState</v>
      </c>
    </row>
    <row r="13" spans="2:14" x14ac:dyDescent="0.25">
      <c r="B13" s="54" t="s">
        <v>597</v>
      </c>
      <c r="C13" s="54" t="s">
        <v>399</v>
      </c>
      <c r="D13" s="54">
        <v>12</v>
      </c>
      <c r="E13" s="54" t="s">
        <v>597</v>
      </c>
      <c r="F13" s="54">
        <v>9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memberZip</v>
      </c>
      <c r="J13" s="3" t="str">
        <f t="shared" si="3"/>
        <v>memberZip</v>
      </c>
    </row>
    <row r="14" spans="2:14" x14ac:dyDescent="0.25">
      <c r="B14" s="54" t="s">
        <v>598</v>
      </c>
      <c r="C14" s="54" t="s">
        <v>399</v>
      </c>
      <c r="D14" s="54"/>
      <c r="E14" s="54" t="s">
        <v>598</v>
      </c>
      <c r="F14" s="54">
        <v>2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contractTypeCode</v>
      </c>
      <c r="J14" s="3" t="str">
        <f t="shared" si="3"/>
        <v>contractTypeCode</v>
      </c>
    </row>
    <row r="15" spans="2:14" x14ac:dyDescent="0.25">
      <c r="B15" s="54" t="s">
        <v>599</v>
      </c>
      <c r="C15" s="54" t="s">
        <v>399</v>
      </c>
      <c r="D15" s="46">
        <v>100</v>
      </c>
      <c r="E15" s="54" t="s">
        <v>599</v>
      </c>
      <c r="F15" s="54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coverageTypeDesc</v>
      </c>
      <c r="J15" s="3" t="str">
        <f t="shared" si="3"/>
        <v>coverageTypeDesc</v>
      </c>
    </row>
    <row r="16" spans="2:14" x14ac:dyDescent="0.25">
      <c r="B16" s="54" t="s">
        <v>600</v>
      </c>
      <c r="C16" s="54" t="s">
        <v>399</v>
      </c>
      <c r="D16" s="54">
        <v>100</v>
      </c>
      <c r="E16" s="54" t="s">
        <v>600</v>
      </c>
      <c r="F16" s="54">
        <v>66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planCode</v>
      </c>
      <c r="J16" s="3" t="str">
        <f t="shared" si="3"/>
        <v>planCode</v>
      </c>
    </row>
    <row r="17" spans="2:10" x14ac:dyDescent="0.25">
      <c r="B17" s="54" t="s">
        <v>601</v>
      </c>
      <c r="C17" s="54" t="s">
        <v>399</v>
      </c>
      <c r="D17" s="54">
        <v>100</v>
      </c>
      <c r="E17" s="54" t="s">
        <v>601</v>
      </c>
      <c r="F17" s="54">
        <v>86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planDesc</v>
      </c>
      <c r="J17" s="3" t="str">
        <f t="shared" si="3"/>
        <v>planDesc</v>
      </c>
    </row>
    <row r="18" spans="2:10" x14ac:dyDescent="0.25">
      <c r="B18" s="54" t="s">
        <v>602</v>
      </c>
      <c r="C18" s="54" t="s">
        <v>399</v>
      </c>
      <c r="D18" s="54">
        <v>100</v>
      </c>
      <c r="E18" s="54" t="s">
        <v>602</v>
      </c>
      <c r="F18" s="54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planTypeCode</v>
      </c>
      <c r="J18" s="3" t="str">
        <f t="shared" si="3"/>
        <v>planTypeCode</v>
      </c>
    </row>
    <row r="19" spans="2:10" x14ac:dyDescent="0.25">
      <c r="B19" s="54" t="s">
        <v>603</v>
      </c>
      <c r="C19" s="54" t="s">
        <v>399</v>
      </c>
      <c r="D19" s="54">
        <v>255</v>
      </c>
      <c r="E19" s="54" t="s">
        <v>603</v>
      </c>
      <c r="F19" s="54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planTypeDesc</v>
      </c>
      <c r="J19" s="3" t="str">
        <f t="shared" si="3"/>
        <v>planTypeDesc</v>
      </c>
    </row>
    <row r="20" spans="2:10" x14ac:dyDescent="0.25">
      <c r="B20" s="54" t="s">
        <v>604</v>
      </c>
      <c r="C20" s="54" t="s">
        <v>399</v>
      </c>
      <c r="D20" s="54">
        <v>100</v>
      </c>
      <c r="E20" s="54" t="s">
        <v>604</v>
      </c>
      <c r="F20" s="54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groupCode</v>
      </c>
      <c r="J20" s="3" t="str">
        <f t="shared" si="3"/>
        <v>groupCode</v>
      </c>
    </row>
    <row r="21" spans="2:10" x14ac:dyDescent="0.25">
      <c r="B21" s="54" t="s">
        <v>605</v>
      </c>
      <c r="C21" s="54" t="s">
        <v>399</v>
      </c>
      <c r="D21" s="54">
        <v>100</v>
      </c>
      <c r="E21" s="54" t="s">
        <v>605</v>
      </c>
      <c r="F21" s="54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GroupName</v>
      </c>
      <c r="J21" s="3" t="str">
        <f t="shared" si="3"/>
        <v>GroupName</v>
      </c>
    </row>
    <row r="22" spans="2:10" x14ac:dyDescent="0.25">
      <c r="B22" s="54" t="s">
        <v>606</v>
      </c>
      <c r="C22" s="54" t="s">
        <v>399</v>
      </c>
      <c r="D22" s="46">
        <v>100</v>
      </c>
      <c r="E22" s="54" t="s">
        <v>606</v>
      </c>
      <c r="F22" s="54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divisionCode</v>
      </c>
      <c r="J22" s="3" t="str">
        <f t="shared" si="3"/>
        <v>divisionCode</v>
      </c>
    </row>
    <row r="23" spans="2:10" x14ac:dyDescent="0.25">
      <c r="B23" s="54" t="s">
        <v>607</v>
      </c>
      <c r="C23" s="54" t="s">
        <v>399</v>
      </c>
      <c r="D23" s="54">
        <v>100</v>
      </c>
      <c r="E23" s="54" t="s">
        <v>607</v>
      </c>
      <c r="F23" s="54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divisionName</v>
      </c>
      <c r="J23" s="3" t="str">
        <f t="shared" si="3"/>
        <v>divisionName</v>
      </c>
    </row>
    <row r="24" spans="2:10" x14ac:dyDescent="0.25">
      <c r="B24" s="54" t="s">
        <v>608</v>
      </c>
      <c r="C24" s="54" t="s">
        <v>399</v>
      </c>
      <c r="D24" s="54">
        <v>15</v>
      </c>
      <c r="E24" s="54" t="s">
        <v>608</v>
      </c>
      <c r="F24" s="54">
        <v>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relationshipCode</v>
      </c>
      <c r="J24" s="3" t="str">
        <f t="shared" si="3"/>
        <v>relationshipCode</v>
      </c>
    </row>
    <row r="25" spans="2:10" x14ac:dyDescent="0.25">
      <c r="B25" s="54" t="s">
        <v>609</v>
      </c>
      <c r="C25" s="54" t="s">
        <v>399</v>
      </c>
      <c r="D25" s="54">
        <v>100</v>
      </c>
      <c r="E25" s="54" t="s">
        <v>609</v>
      </c>
      <c r="F25" s="54">
        <v>42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relationshipCodeDesc</v>
      </c>
      <c r="J25" s="3" t="str">
        <f t="shared" si="3"/>
        <v>relationshipCodeDesc</v>
      </c>
    </row>
    <row r="26" spans="2:10" x14ac:dyDescent="0.25">
      <c r="B26" s="54" t="s">
        <v>610</v>
      </c>
      <c r="C26" s="54" t="s">
        <v>399</v>
      </c>
      <c r="D26" s="54">
        <v>15</v>
      </c>
      <c r="E26" s="54" t="s">
        <v>610</v>
      </c>
      <c r="F26" s="54">
        <v>9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relationshipClass</v>
      </c>
      <c r="J26" s="3" t="str">
        <f t="shared" si="3"/>
        <v>relationshipClass</v>
      </c>
    </row>
    <row r="27" spans="2:10" x14ac:dyDescent="0.25">
      <c r="B27" s="54" t="s">
        <v>611</v>
      </c>
      <c r="C27" s="54" t="s">
        <v>398</v>
      </c>
      <c r="D27" s="32">
        <v>53</v>
      </c>
      <c r="E27" s="54" t="s">
        <v>611</v>
      </c>
      <c r="F27" s="54">
        <v>53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visitId</v>
      </c>
      <c r="J27" s="3" t="str">
        <f t="shared" si="3"/>
        <v>visitId</v>
      </c>
    </row>
    <row r="28" spans="2:10" x14ac:dyDescent="0.25">
      <c r="B28" s="54" t="s">
        <v>612</v>
      </c>
      <c r="C28" s="54" t="s">
        <v>399</v>
      </c>
      <c r="D28" s="54">
        <v>50</v>
      </c>
      <c r="E28" s="54" t="s">
        <v>612</v>
      </c>
      <c r="F28" s="54">
        <v>25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utilizationType</v>
      </c>
      <c r="J28" s="3" t="str">
        <f t="shared" si="3"/>
        <v>utilizationType</v>
      </c>
    </row>
    <row r="29" spans="2:10" x14ac:dyDescent="0.25">
      <c r="B29" s="54" t="s">
        <v>613</v>
      </c>
      <c r="C29" s="54" t="s">
        <v>399</v>
      </c>
      <c r="D29" s="54">
        <v>50</v>
      </c>
      <c r="E29" s="54" t="s">
        <v>613</v>
      </c>
      <c r="F29" s="54">
        <v>19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utilizationCategory</v>
      </c>
      <c r="J29" s="3" t="str">
        <f t="shared" si="3"/>
        <v>utilizationCategory</v>
      </c>
    </row>
    <row r="30" spans="2:10" x14ac:dyDescent="0.25">
      <c r="B30" s="54" t="s">
        <v>347</v>
      </c>
      <c r="C30" s="54" t="s">
        <v>400</v>
      </c>
      <c r="D30" s="46"/>
      <c r="E30" s="54" t="s">
        <v>347</v>
      </c>
      <c r="F30" s="54">
        <v>10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startDate</v>
      </c>
      <c r="J30" s="3" t="str">
        <f t="shared" si="3"/>
        <v>startDate</v>
      </c>
    </row>
    <row r="31" spans="2:10" x14ac:dyDescent="0.25">
      <c r="B31" s="54" t="s">
        <v>614</v>
      </c>
      <c r="C31" s="54" t="s">
        <v>400</v>
      </c>
      <c r="D31" s="54"/>
      <c r="E31" s="54" t="s">
        <v>614</v>
      </c>
      <c r="F31" s="54">
        <v>10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endDate</v>
      </c>
      <c r="J31" s="3" t="str">
        <f t="shared" si="3"/>
        <v>endDate</v>
      </c>
    </row>
    <row r="32" spans="2:10" x14ac:dyDescent="0.25">
      <c r="B32" s="54" t="s">
        <v>615</v>
      </c>
      <c r="C32" s="54" t="s">
        <v>400</v>
      </c>
      <c r="D32" s="54"/>
      <c r="E32" s="54" t="s">
        <v>615</v>
      </c>
      <c r="F32" s="54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serviceDate</v>
      </c>
      <c r="J32" s="3" t="str">
        <f t="shared" si="3"/>
        <v>serviceDate</v>
      </c>
    </row>
    <row r="33" spans="2:10" x14ac:dyDescent="0.25">
      <c r="B33" s="54" t="s">
        <v>616</v>
      </c>
      <c r="C33" s="54" t="s">
        <v>400</v>
      </c>
      <c r="D33" s="54"/>
      <c r="E33" s="54" t="s">
        <v>616</v>
      </c>
      <c r="F33" s="54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paidDate</v>
      </c>
      <c r="J33" s="3" t="str">
        <f t="shared" si="3"/>
        <v>paidDate</v>
      </c>
    </row>
    <row r="34" spans="2:10" x14ac:dyDescent="0.25">
      <c r="B34" s="54" t="s">
        <v>617</v>
      </c>
      <c r="C34" s="54" t="s">
        <v>550</v>
      </c>
      <c r="D34" s="54">
        <v>20</v>
      </c>
      <c r="E34" s="54" t="s">
        <v>617</v>
      </c>
      <c r="F34" s="54">
        <v>4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claimLineCount</v>
      </c>
      <c r="J34" s="3" t="str">
        <f t="shared" si="3"/>
        <v>claimLineCount</v>
      </c>
    </row>
    <row r="35" spans="2:10" x14ac:dyDescent="0.25">
      <c r="B35" s="54" t="s">
        <v>618</v>
      </c>
      <c r="C35" s="54" t="s">
        <v>399</v>
      </c>
      <c r="D35" s="32">
        <v>1652</v>
      </c>
      <c r="E35" s="54" t="s">
        <v>618</v>
      </c>
      <c r="F35" s="54">
        <v>1652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professionalProvider</v>
      </c>
      <c r="J35" s="3" t="str">
        <f t="shared" si="3"/>
        <v>professionalProvider</v>
      </c>
    </row>
    <row r="36" spans="2:10" x14ac:dyDescent="0.25">
      <c r="B36" s="54" t="s">
        <v>619</v>
      </c>
      <c r="C36" s="54" t="s">
        <v>399</v>
      </c>
      <c r="D36" s="32">
        <v>224</v>
      </c>
      <c r="E36" s="54" t="s">
        <v>619</v>
      </c>
      <c r="F36" s="54">
        <v>224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facilityProvider</v>
      </c>
      <c r="J36" s="3" t="str">
        <f t="shared" si="3"/>
        <v>facilityProvider</v>
      </c>
    </row>
    <row r="37" spans="2:10" x14ac:dyDescent="0.25">
      <c r="B37" s="54" t="s">
        <v>620</v>
      </c>
      <c r="C37" s="54" t="s">
        <v>399</v>
      </c>
      <c r="D37" s="54">
        <v>200</v>
      </c>
      <c r="E37" s="54" t="s">
        <v>620</v>
      </c>
      <c r="F37" s="54">
        <v>8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primaryDiagnosisCode</v>
      </c>
      <c r="J37" s="3" t="str">
        <f t="shared" si="3"/>
        <v>primaryDiagnosisCode</v>
      </c>
    </row>
    <row r="38" spans="2:10" x14ac:dyDescent="0.25">
      <c r="B38" s="54" t="s">
        <v>621</v>
      </c>
      <c r="C38" s="54" t="s">
        <v>399</v>
      </c>
      <c r="D38" s="54">
        <v>200</v>
      </c>
      <c r="E38" s="54" t="s">
        <v>621</v>
      </c>
      <c r="F38" s="54">
        <v>60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primaryDiagnosisDesc</v>
      </c>
      <c r="J38" s="3" t="str">
        <f t="shared" si="3"/>
        <v>primaryDiagnosisDesc</v>
      </c>
    </row>
    <row r="39" spans="2:10" x14ac:dyDescent="0.25">
      <c r="B39" s="54" t="s">
        <v>622</v>
      </c>
      <c r="C39" s="54" t="s">
        <v>399</v>
      </c>
      <c r="D39" s="54">
        <v>100</v>
      </c>
      <c r="E39" s="54" t="s">
        <v>622</v>
      </c>
      <c r="F39" s="54">
        <v>11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primaryDiagnosisGrouperCode</v>
      </c>
      <c r="J39" s="3" t="str">
        <f t="shared" si="3"/>
        <v>primaryDiagnosisGrouperCode</v>
      </c>
    </row>
    <row r="40" spans="2:10" x14ac:dyDescent="0.25">
      <c r="B40" s="54" t="s">
        <v>623</v>
      </c>
      <c r="C40" s="54" t="s">
        <v>399</v>
      </c>
      <c r="D40" s="46">
        <v>200</v>
      </c>
      <c r="E40" s="54" t="s">
        <v>623</v>
      </c>
      <c r="F40" s="54">
        <v>40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primaryDiagnosisGrouperDesc</v>
      </c>
      <c r="J40" s="3" t="str">
        <f t="shared" si="3"/>
        <v>primaryDiagnosisGrouperDesc</v>
      </c>
    </row>
    <row r="41" spans="2:10" x14ac:dyDescent="0.25">
      <c r="B41" s="54" t="s">
        <v>624</v>
      </c>
      <c r="C41" s="54" t="s">
        <v>399</v>
      </c>
      <c r="D41" s="54">
        <v>100</v>
      </c>
      <c r="E41" s="54" t="s">
        <v>624</v>
      </c>
      <c r="F41" s="54">
        <v>8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admittingDiagnosis</v>
      </c>
      <c r="J41" s="3" t="str">
        <f t="shared" si="3"/>
        <v>admittingDiagnosis</v>
      </c>
    </row>
    <row r="42" spans="2:10" x14ac:dyDescent="0.25">
      <c r="B42" s="54" t="s">
        <v>625</v>
      </c>
      <c r="C42" s="54" t="s">
        <v>399</v>
      </c>
      <c r="D42" s="54">
        <v>200</v>
      </c>
      <c r="E42" s="54" t="s">
        <v>625</v>
      </c>
      <c r="F42" s="54">
        <v>60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admittingDiagnosisDesc</v>
      </c>
      <c r="J42" s="3" t="str">
        <f t="shared" si="3"/>
        <v>admittingDiagnosisDesc</v>
      </c>
    </row>
    <row r="43" spans="2:10" x14ac:dyDescent="0.25">
      <c r="B43" s="54" t="s">
        <v>626</v>
      </c>
      <c r="C43" s="54" t="s">
        <v>399</v>
      </c>
      <c r="D43" s="54">
        <v>100</v>
      </c>
      <c r="E43" s="54" t="s">
        <v>626</v>
      </c>
      <c r="F43" s="54">
        <v>6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admittingDiagnosisGrouperCode</v>
      </c>
      <c r="J43" s="3" t="str">
        <f t="shared" si="3"/>
        <v>admittingDiagnosisGrouperCode</v>
      </c>
    </row>
    <row r="44" spans="2:10" x14ac:dyDescent="0.25">
      <c r="B44" s="54" t="s">
        <v>627</v>
      </c>
      <c r="C44" s="54" t="s">
        <v>399</v>
      </c>
      <c r="D44" s="54">
        <v>200</v>
      </c>
      <c r="E44" s="54" t="s">
        <v>627</v>
      </c>
      <c r="F44" s="54">
        <v>40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admittingDiagnosisGrouperDesc</v>
      </c>
      <c r="J44" s="3" t="str">
        <f t="shared" si="3"/>
        <v>admittingDiagnosisGrouperDesc</v>
      </c>
    </row>
    <row r="45" spans="2:10" x14ac:dyDescent="0.25">
      <c r="B45" s="54" t="s">
        <v>628</v>
      </c>
      <c r="C45" s="54" t="s">
        <v>399</v>
      </c>
      <c r="D45" s="54">
        <v>10</v>
      </c>
      <c r="E45" s="54" t="s">
        <v>628</v>
      </c>
      <c r="F45" s="54">
        <v>3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LOS</v>
      </c>
      <c r="J45" s="3" t="str">
        <f t="shared" si="3"/>
        <v>LOS</v>
      </c>
    </row>
    <row r="46" spans="2:10" x14ac:dyDescent="0.25">
      <c r="B46" s="54" t="s">
        <v>629</v>
      </c>
      <c r="C46" s="54" t="s">
        <v>399</v>
      </c>
      <c r="D46" s="54">
        <v>4</v>
      </c>
      <c r="E46" s="54" t="s">
        <v>629</v>
      </c>
      <c r="F46" s="54">
        <v>4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erAdmissionFlag</v>
      </c>
      <c r="J46" s="3" t="str">
        <f t="shared" si="3"/>
        <v>erAdmissionFlag</v>
      </c>
    </row>
    <row r="47" spans="2:10" x14ac:dyDescent="0.25">
      <c r="B47" s="54" t="s">
        <v>630</v>
      </c>
      <c r="C47" s="54" t="s">
        <v>399</v>
      </c>
      <c r="D47" s="54">
        <v>1</v>
      </c>
      <c r="E47" s="54" t="s">
        <v>630</v>
      </c>
      <c r="F47" s="54">
        <v>1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readmissionFlag</v>
      </c>
      <c r="J47" s="3" t="str">
        <f t="shared" si="3"/>
        <v>readmissionFlag</v>
      </c>
    </row>
    <row r="48" spans="2:10" x14ac:dyDescent="0.25">
      <c r="B48" s="54" t="s">
        <v>631</v>
      </c>
      <c r="C48" s="54" t="s">
        <v>399</v>
      </c>
      <c r="D48" s="54">
        <v>1</v>
      </c>
      <c r="E48" s="54" t="s">
        <v>631</v>
      </c>
      <c r="F48" s="54">
        <v>1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newbornDeliveryFlag</v>
      </c>
      <c r="J48" s="3" t="str">
        <f t="shared" si="3"/>
        <v>newbornDeliveryFlag</v>
      </c>
    </row>
    <row r="49" spans="2:10" x14ac:dyDescent="0.25">
      <c r="B49" s="54" t="s">
        <v>632</v>
      </c>
      <c r="C49" s="54" t="s">
        <v>399</v>
      </c>
      <c r="D49" s="54">
        <v>100</v>
      </c>
      <c r="E49" s="54" t="s">
        <v>632</v>
      </c>
      <c r="F49" s="54">
        <v>42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admissionId</v>
      </c>
      <c r="J49" s="3" t="str">
        <f t="shared" si="3"/>
        <v>admissionId</v>
      </c>
    </row>
    <row r="50" spans="2:10" x14ac:dyDescent="0.25">
      <c r="B50" s="54" t="s">
        <v>633</v>
      </c>
      <c r="C50" s="54" t="s">
        <v>399</v>
      </c>
      <c r="D50" s="32">
        <v>3</v>
      </c>
      <c r="E50" s="54" t="s">
        <v>633</v>
      </c>
      <c r="F50" s="54">
        <v>3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admitIcuFlag</v>
      </c>
      <c r="J50" s="3" t="str">
        <f t="shared" si="3"/>
        <v>admitIcuFlag</v>
      </c>
    </row>
    <row r="51" spans="2:10" x14ac:dyDescent="0.25">
      <c r="B51" s="54" t="s">
        <v>634</v>
      </c>
      <c r="C51" s="54" t="s">
        <v>399</v>
      </c>
      <c r="D51" s="32">
        <v>3</v>
      </c>
      <c r="E51" s="54" t="s">
        <v>634</v>
      </c>
      <c r="F51" s="54">
        <v>3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admitRehabFlag</v>
      </c>
      <c r="J51" s="3" t="str">
        <f t="shared" si="3"/>
        <v>admitRehabFlag</v>
      </c>
    </row>
    <row r="52" spans="2:10" x14ac:dyDescent="0.25">
      <c r="B52" s="54" t="s">
        <v>635</v>
      </c>
      <c r="C52" s="54" t="s">
        <v>399</v>
      </c>
      <c r="D52" s="54">
        <v>1</v>
      </c>
      <c r="E52" s="54" t="s">
        <v>635</v>
      </c>
      <c r="F52" s="54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avoidableFlag</v>
      </c>
      <c r="J52" s="3" t="str">
        <f t="shared" si="3"/>
        <v>avoidableFlag</v>
      </c>
    </row>
    <row r="53" spans="2:10" x14ac:dyDescent="0.25">
      <c r="B53" s="54" t="s">
        <v>636</v>
      </c>
      <c r="C53" s="54" t="s">
        <v>405</v>
      </c>
      <c r="D53" s="54" t="s">
        <v>298</v>
      </c>
      <c r="E53" s="54" t="s">
        <v>636</v>
      </c>
      <c r="F53" s="54">
        <v>10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totalAllowedAmount</v>
      </c>
      <c r="J53" s="3" t="str">
        <f t="shared" si="3"/>
        <v>totalAllowedAmount</v>
      </c>
    </row>
    <row r="54" spans="2:10" x14ac:dyDescent="0.25">
      <c r="B54" s="54" t="s">
        <v>637</v>
      </c>
      <c r="C54" s="54" t="s">
        <v>405</v>
      </c>
      <c r="D54" s="54" t="s">
        <v>298</v>
      </c>
      <c r="E54" s="54" t="s">
        <v>637</v>
      </c>
      <c r="F54" s="54">
        <v>8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totalCoinsuranceAmount</v>
      </c>
      <c r="J54" s="3" t="str">
        <f t="shared" si="3"/>
        <v>totalCoinsuranceAmount</v>
      </c>
    </row>
    <row r="55" spans="2:10" x14ac:dyDescent="0.25">
      <c r="B55" s="54" t="s">
        <v>638</v>
      </c>
      <c r="C55" s="54" t="s">
        <v>405</v>
      </c>
      <c r="D55" s="54" t="s">
        <v>298</v>
      </c>
      <c r="E55" s="54" t="s">
        <v>638</v>
      </c>
      <c r="F55" s="54">
        <v>6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totalCopayment</v>
      </c>
      <c r="J55" s="3" t="str">
        <f t="shared" si="3"/>
        <v>totalCopayment</v>
      </c>
    </row>
    <row r="56" spans="2:10" x14ac:dyDescent="0.25">
      <c r="B56" s="54" t="s">
        <v>639</v>
      </c>
      <c r="C56" s="54" t="s">
        <v>405</v>
      </c>
      <c r="D56" s="54" t="s">
        <v>298</v>
      </c>
      <c r="E56" s="54" t="s">
        <v>639</v>
      </c>
      <c r="F56" s="54">
        <v>7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totalDeductibleAmount</v>
      </c>
      <c r="J56" s="3" t="str">
        <f t="shared" si="3"/>
        <v>totalDeductibleAmount</v>
      </c>
    </row>
    <row r="57" spans="2:10" x14ac:dyDescent="0.25">
      <c r="B57" s="54" t="s">
        <v>640</v>
      </c>
      <c r="C57" s="54" t="s">
        <v>405</v>
      </c>
      <c r="D57" s="54" t="s">
        <v>298</v>
      </c>
      <c r="E57" s="54" t="s">
        <v>640</v>
      </c>
      <c r="F57" s="54">
        <v>10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totalPaidAmount</v>
      </c>
      <c r="J57" s="3" t="str">
        <f t="shared" si="3"/>
        <v>totalPaidAmount</v>
      </c>
    </row>
    <row r="58" spans="2:10" x14ac:dyDescent="0.25">
      <c r="B58" s="54" t="s">
        <v>641</v>
      </c>
      <c r="C58" s="54" t="s">
        <v>405</v>
      </c>
      <c r="D58" s="46" t="s">
        <v>298</v>
      </c>
      <c r="E58" s="54" t="s">
        <v>641</v>
      </c>
      <c r="F58" s="54">
        <v>10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totalBilledAmount</v>
      </c>
      <c r="J58" s="3" t="str">
        <f t="shared" si="3"/>
        <v>totalBilledAmount</v>
      </c>
    </row>
    <row r="59" spans="2:10" x14ac:dyDescent="0.25">
      <c r="B59" s="54" t="s">
        <v>642</v>
      </c>
      <c r="C59" s="54" t="s">
        <v>405</v>
      </c>
      <c r="D59" s="54" t="s">
        <v>298</v>
      </c>
      <c r="E59" s="54" t="s">
        <v>642</v>
      </c>
      <c r="F59" s="54">
        <v>10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totalPlanPaid</v>
      </c>
      <c r="J59" s="3" t="str">
        <f t="shared" si="3"/>
        <v>totalPlanPaid</v>
      </c>
    </row>
    <row r="60" spans="2:10" x14ac:dyDescent="0.25">
      <c r="B60" s="54" t="s">
        <v>643</v>
      </c>
      <c r="C60" s="54" t="s">
        <v>405</v>
      </c>
      <c r="D60" s="54" t="s">
        <v>298</v>
      </c>
      <c r="E60" s="54" t="s">
        <v>643</v>
      </c>
      <c r="F60" s="54">
        <v>8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totalMemberPaid</v>
      </c>
      <c r="J60" s="3" t="str">
        <f t="shared" si="3"/>
        <v>totalMemberPaid</v>
      </c>
    </row>
    <row r="61" spans="2:10" x14ac:dyDescent="0.25">
      <c r="B61" s="54" t="s">
        <v>644</v>
      </c>
      <c r="C61" s="54" t="s">
        <v>405</v>
      </c>
      <c r="D61" s="54" t="s">
        <v>298</v>
      </c>
      <c r="E61" s="54" t="s">
        <v>644</v>
      </c>
      <c r="F61" s="54">
        <v>10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totalPlanAndMemberPaid</v>
      </c>
      <c r="J61" s="3" t="str">
        <f t="shared" si="3"/>
        <v>totalPlanAndMemberPaid</v>
      </c>
    </row>
    <row r="62" spans="2:10" x14ac:dyDescent="0.25">
      <c r="B62" s="54" t="s">
        <v>645</v>
      </c>
      <c r="C62" s="54" t="s">
        <v>399</v>
      </c>
      <c r="D62" s="54">
        <v>100</v>
      </c>
      <c r="E62" s="54" t="s">
        <v>645</v>
      </c>
      <c r="F62" s="54">
        <v>8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eventType</v>
      </c>
      <c r="J62" s="3" t="str">
        <f t="shared" si="3"/>
        <v>eventType</v>
      </c>
    </row>
    <row r="63" spans="2:10" x14ac:dyDescent="0.25">
      <c r="B63" s="54" t="s">
        <v>22</v>
      </c>
      <c r="C63" s="54" t="s">
        <v>399</v>
      </c>
      <c r="D63" s="54">
        <v>20</v>
      </c>
      <c r="E63" s="54" t="s">
        <v>22</v>
      </c>
      <c r="F63" s="54">
        <v>17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inscarrierid</v>
      </c>
      <c r="J63" s="3" t="str">
        <f t="shared" si="3"/>
        <v>inscarrierid</v>
      </c>
    </row>
    <row r="64" spans="2:10" x14ac:dyDescent="0.25">
      <c r="B64" s="54" t="s">
        <v>23</v>
      </c>
      <c r="C64" s="54" t="s">
        <v>399</v>
      </c>
      <c r="D64" s="54">
        <v>50</v>
      </c>
      <c r="E64" s="54" t="s">
        <v>23</v>
      </c>
      <c r="F64" s="54">
        <v>43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inscarriername</v>
      </c>
      <c r="J64" s="3" t="str">
        <f t="shared" si="3"/>
        <v>inscarriername</v>
      </c>
    </row>
    <row r="65" spans="2:10" x14ac:dyDescent="0.25">
      <c r="B65" s="54" t="s">
        <v>646</v>
      </c>
      <c r="C65" s="54" t="s">
        <v>399</v>
      </c>
      <c r="D65" s="54">
        <v>100</v>
      </c>
      <c r="E65" s="54" t="s">
        <v>646</v>
      </c>
      <c r="F65" s="54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udf12medical</v>
      </c>
      <c r="J65" s="3" t="str">
        <f t="shared" si="3"/>
        <v>udf12medical</v>
      </c>
    </row>
    <row r="66" spans="2:10" x14ac:dyDescent="0.25">
      <c r="B66" s="54" t="s">
        <v>66</v>
      </c>
      <c r="C66" s="54" t="s">
        <v>399</v>
      </c>
      <c r="D66" s="54">
        <v>100</v>
      </c>
      <c r="E66" s="54" t="s">
        <v>66</v>
      </c>
      <c r="F66" s="54">
        <v>8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udf16</v>
      </c>
      <c r="J66" s="3" t="str">
        <f t="shared" si="3"/>
        <v>udf16</v>
      </c>
    </row>
    <row r="67" spans="2:10" x14ac:dyDescent="0.25">
      <c r="B67" s="54" t="s">
        <v>67</v>
      </c>
      <c r="C67" s="54" t="s">
        <v>399</v>
      </c>
      <c r="D67" s="54">
        <v>100</v>
      </c>
      <c r="E67" s="54" t="s">
        <v>67</v>
      </c>
      <c r="F67" s="54">
        <v>14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udf17</v>
      </c>
      <c r="J67" s="3" t="str">
        <f t="shared" ref="J67:J113" si="7">SUBSTITUTE(E67,"_","")</f>
        <v>udf17</v>
      </c>
    </row>
    <row r="68" spans="2:10" x14ac:dyDescent="0.25">
      <c r="B68" s="54" t="s">
        <v>68</v>
      </c>
      <c r="C68" s="54" t="s">
        <v>399</v>
      </c>
      <c r="D68" s="54">
        <v>100</v>
      </c>
      <c r="E68" s="54" t="s">
        <v>68</v>
      </c>
      <c r="F68" s="54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udf18</v>
      </c>
      <c r="J68" s="3" t="str">
        <f t="shared" si="7"/>
        <v>udf18</v>
      </c>
    </row>
    <row r="69" spans="2:10" x14ac:dyDescent="0.25">
      <c r="B69" s="54" t="s">
        <v>69</v>
      </c>
      <c r="C69" s="54" t="s">
        <v>399</v>
      </c>
      <c r="D69" s="54">
        <v>100</v>
      </c>
      <c r="E69" s="54" t="s">
        <v>69</v>
      </c>
      <c r="F69" s="54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udf19</v>
      </c>
      <c r="J69" s="3" t="str">
        <f t="shared" si="7"/>
        <v>udf19</v>
      </c>
    </row>
    <row r="70" spans="2:10" x14ac:dyDescent="0.25">
      <c r="B70" s="54" t="s">
        <v>70</v>
      </c>
      <c r="C70" s="54" t="s">
        <v>399</v>
      </c>
      <c r="D70" s="54">
        <v>100</v>
      </c>
      <c r="E70" s="54" t="s">
        <v>70</v>
      </c>
      <c r="F70" s="54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udf20</v>
      </c>
      <c r="J70" s="3" t="str">
        <f t="shared" si="7"/>
        <v>udf20</v>
      </c>
    </row>
    <row r="71" spans="2:10" x14ac:dyDescent="0.25">
      <c r="B71" s="54" t="s">
        <v>436</v>
      </c>
      <c r="C71" s="54" t="s">
        <v>399</v>
      </c>
      <c r="D71" s="54">
        <v>100</v>
      </c>
      <c r="E71" s="54" t="s">
        <v>436</v>
      </c>
      <c r="F71" s="54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udf21</v>
      </c>
      <c r="J71" s="3" t="str">
        <f t="shared" si="7"/>
        <v>udf21</v>
      </c>
    </row>
    <row r="72" spans="2:10" x14ac:dyDescent="0.25">
      <c r="B72" s="54" t="s">
        <v>437</v>
      </c>
      <c r="C72" s="54" t="s">
        <v>399</v>
      </c>
      <c r="D72" s="54">
        <v>100</v>
      </c>
      <c r="E72" s="54" t="s">
        <v>437</v>
      </c>
      <c r="F72" s="54">
        <v>5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udf22</v>
      </c>
      <c r="J72" s="3" t="str">
        <f t="shared" si="7"/>
        <v>udf22</v>
      </c>
    </row>
    <row r="73" spans="2:10" x14ac:dyDescent="0.25">
      <c r="B73" s="54" t="s">
        <v>438</v>
      </c>
      <c r="C73" s="54" t="s">
        <v>399</v>
      </c>
      <c r="D73" s="54">
        <v>100</v>
      </c>
      <c r="E73" s="54" t="s">
        <v>438</v>
      </c>
      <c r="F73" s="54">
        <v>5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udf23</v>
      </c>
      <c r="J73" s="3" t="str">
        <f t="shared" si="7"/>
        <v>udf23</v>
      </c>
    </row>
    <row r="74" spans="2:10" x14ac:dyDescent="0.25">
      <c r="B74" s="54" t="s">
        <v>439</v>
      </c>
      <c r="C74" s="54" t="s">
        <v>399</v>
      </c>
      <c r="D74" s="54">
        <v>100</v>
      </c>
      <c r="E74" s="54" t="s">
        <v>439</v>
      </c>
      <c r="F74" s="54">
        <v>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udf24</v>
      </c>
      <c r="J74" s="3" t="str">
        <f t="shared" si="7"/>
        <v>udf24</v>
      </c>
    </row>
    <row r="75" spans="2:10" x14ac:dyDescent="0.25">
      <c r="B75" s="54" t="s">
        <v>440</v>
      </c>
      <c r="C75" s="54" t="s">
        <v>399</v>
      </c>
      <c r="D75" s="54">
        <v>100</v>
      </c>
      <c r="E75" s="54" t="s">
        <v>440</v>
      </c>
      <c r="F75" s="54">
        <v>5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udf25</v>
      </c>
      <c r="J75" s="3" t="str">
        <f t="shared" si="7"/>
        <v>udf25</v>
      </c>
    </row>
    <row r="76" spans="2:10" x14ac:dyDescent="0.25">
      <c r="B76" s="54" t="s">
        <v>441</v>
      </c>
      <c r="C76" s="54" t="s">
        <v>399</v>
      </c>
      <c r="D76" s="54">
        <v>100</v>
      </c>
      <c r="E76" s="54" t="s">
        <v>441</v>
      </c>
      <c r="F76" s="54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udf26</v>
      </c>
      <c r="J76" s="3" t="str">
        <f t="shared" si="7"/>
        <v>udf26</v>
      </c>
    </row>
    <row r="77" spans="2:10" x14ac:dyDescent="0.25">
      <c r="B77" s="54" t="s">
        <v>442</v>
      </c>
      <c r="C77" s="54" t="s">
        <v>399</v>
      </c>
      <c r="D77" s="54">
        <v>100</v>
      </c>
      <c r="E77" s="54" t="s">
        <v>442</v>
      </c>
      <c r="F77" s="54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udf27</v>
      </c>
      <c r="J77" s="3" t="str">
        <f t="shared" si="7"/>
        <v>udf27</v>
      </c>
    </row>
    <row r="78" spans="2:10" x14ac:dyDescent="0.25">
      <c r="B78" s="54" t="s">
        <v>443</v>
      </c>
      <c r="C78" s="54" t="s">
        <v>399</v>
      </c>
      <c r="D78" s="54">
        <v>100</v>
      </c>
      <c r="E78" s="54" t="s">
        <v>443</v>
      </c>
      <c r="F78" s="54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udf28</v>
      </c>
      <c r="J78" s="3" t="str">
        <f t="shared" si="7"/>
        <v>udf28</v>
      </c>
    </row>
    <row r="79" spans="2:10" x14ac:dyDescent="0.25">
      <c r="B79" s="54" t="s">
        <v>444</v>
      </c>
      <c r="C79" s="54" t="s">
        <v>399</v>
      </c>
      <c r="D79" s="54">
        <v>100</v>
      </c>
      <c r="E79" s="54" t="s">
        <v>444</v>
      </c>
      <c r="F79" s="54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udf29</v>
      </c>
      <c r="J79" s="3" t="str">
        <f t="shared" si="7"/>
        <v>udf29</v>
      </c>
    </row>
    <row r="80" spans="2:10" x14ac:dyDescent="0.25">
      <c r="B80" s="54" t="s">
        <v>445</v>
      </c>
      <c r="C80" s="54" t="s">
        <v>399</v>
      </c>
      <c r="D80" s="54">
        <v>100</v>
      </c>
      <c r="E80" s="54" t="s">
        <v>445</v>
      </c>
      <c r="F80" s="54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udf30</v>
      </c>
      <c r="J80" s="3" t="str">
        <f t="shared" si="7"/>
        <v>udf30</v>
      </c>
    </row>
    <row r="81" spans="2:10" x14ac:dyDescent="0.25">
      <c r="B81" s="54" t="s">
        <v>647</v>
      </c>
      <c r="C81" s="54" t="s">
        <v>399</v>
      </c>
      <c r="D81" s="54">
        <v>100</v>
      </c>
      <c r="E81" s="54" t="s">
        <v>647</v>
      </c>
      <c r="F81" s="54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udf53medical</v>
      </c>
      <c r="J81" s="3" t="str">
        <f t="shared" si="7"/>
        <v>udf53medical</v>
      </c>
    </row>
    <row r="82" spans="2:10" x14ac:dyDescent="0.25">
      <c r="B82" s="54" t="s">
        <v>648</v>
      </c>
      <c r="C82" s="54" t="s">
        <v>399</v>
      </c>
      <c r="D82" s="54">
        <v>100</v>
      </c>
      <c r="E82" s="54" t="s">
        <v>648</v>
      </c>
      <c r="F82" s="54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udf54medical</v>
      </c>
      <c r="J82" s="3" t="str">
        <f t="shared" si="7"/>
        <v>udf54medical</v>
      </c>
    </row>
    <row r="83" spans="2:10" x14ac:dyDescent="0.25">
      <c r="B83" s="54" t="s">
        <v>649</v>
      </c>
      <c r="C83" s="54" t="s">
        <v>399</v>
      </c>
      <c r="D83" s="54">
        <v>100</v>
      </c>
      <c r="E83" s="54" t="s">
        <v>649</v>
      </c>
      <c r="F83" s="54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udf70medical</v>
      </c>
      <c r="J83" s="3" t="str">
        <f t="shared" si="7"/>
        <v>udf70medical</v>
      </c>
    </row>
    <row r="84" spans="2:10" x14ac:dyDescent="0.25">
      <c r="B84" s="54" t="s">
        <v>650</v>
      </c>
      <c r="C84" s="54" t="s">
        <v>399</v>
      </c>
      <c r="D84" s="54">
        <v>1</v>
      </c>
      <c r="E84" s="54" t="s">
        <v>650</v>
      </c>
      <c r="F84" s="54">
        <v>1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dwmembermatch</v>
      </c>
      <c r="J84" s="3" t="str">
        <f t="shared" si="7"/>
        <v>dwmembermatch</v>
      </c>
    </row>
    <row r="85" spans="2:10" x14ac:dyDescent="0.25">
      <c r="B85" s="54" t="s">
        <v>651</v>
      </c>
      <c r="C85" s="54" t="s">
        <v>400</v>
      </c>
      <c r="D85" s="54"/>
      <c r="E85" s="54" t="s">
        <v>651</v>
      </c>
      <c r="F85" s="54">
        <v>10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dwcreateddate</v>
      </c>
      <c r="J85" s="3" t="str">
        <f t="shared" si="7"/>
        <v>dwcreateddate</v>
      </c>
    </row>
    <row r="86" spans="2:10" x14ac:dyDescent="0.25">
      <c r="B86" s="54" t="s">
        <v>652</v>
      </c>
      <c r="C86" s="54" t="s">
        <v>399</v>
      </c>
      <c r="D86" s="54">
        <v>10</v>
      </c>
      <c r="E86" s="54" t="s">
        <v>652</v>
      </c>
      <c r="F86" s="54">
        <v>10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dwdatathroughdate</v>
      </c>
      <c r="J86" s="3" t="str">
        <f t="shared" si="7"/>
        <v>dwdatathroughdate</v>
      </c>
    </row>
    <row r="87" spans="2:10" x14ac:dyDescent="0.25">
      <c r="B87" s="54" t="s">
        <v>67</v>
      </c>
      <c r="C87" s="54" t="s">
        <v>399</v>
      </c>
      <c r="D87" s="54">
        <v>100</v>
      </c>
      <c r="E87" s="54" t="s">
        <v>67</v>
      </c>
      <c r="F87" s="54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54" t="s">
        <v>68</v>
      </c>
      <c r="C88" s="54" t="s">
        <v>399</v>
      </c>
      <c r="D88" s="54">
        <v>100</v>
      </c>
      <c r="E88" s="54" t="s">
        <v>68</v>
      </c>
      <c r="F88" s="54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54" t="s">
        <v>69</v>
      </c>
      <c r="C89" s="54" t="s">
        <v>399</v>
      </c>
      <c r="D89" s="54">
        <v>100</v>
      </c>
      <c r="E89" s="54" t="s">
        <v>69</v>
      </c>
      <c r="F89" s="54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54" t="s">
        <v>70</v>
      </c>
      <c r="C90" s="54" t="s">
        <v>399</v>
      </c>
      <c r="D90" s="54">
        <v>100</v>
      </c>
      <c r="E90" s="54" t="s">
        <v>70</v>
      </c>
      <c r="F90" s="54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54" t="s">
        <v>71</v>
      </c>
      <c r="C91" s="54" t="s">
        <v>399</v>
      </c>
      <c r="D91" s="54">
        <v>50</v>
      </c>
      <c r="E91" s="54" t="s">
        <v>71</v>
      </c>
      <c r="F91" s="54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54" t="s">
        <v>297</v>
      </c>
      <c r="C92" s="54" t="s">
        <v>399</v>
      </c>
      <c r="D92" s="54">
        <v>20</v>
      </c>
      <c r="E92" s="54" t="s">
        <v>297</v>
      </c>
      <c r="F92" s="54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54" t="s">
        <v>86</v>
      </c>
      <c r="C93" s="54" t="s">
        <v>399</v>
      </c>
      <c r="D93" s="54">
        <v>500</v>
      </c>
      <c r="E93" s="54" t="s">
        <v>86</v>
      </c>
      <c r="F93" s="54">
        <v>76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54" t="s">
        <v>436</v>
      </c>
      <c r="C94" s="54" t="s">
        <v>399</v>
      </c>
      <c r="D94" s="54">
        <v>100</v>
      </c>
      <c r="E94" s="54" t="s">
        <v>436</v>
      </c>
      <c r="F94" s="54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54" t="s">
        <v>437</v>
      </c>
      <c r="C95" s="54" t="s">
        <v>399</v>
      </c>
      <c r="D95" s="54">
        <v>100</v>
      </c>
      <c r="E95" s="54" t="s">
        <v>437</v>
      </c>
      <c r="F95" s="54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54" t="s">
        <v>438</v>
      </c>
      <c r="C96" s="54" t="s">
        <v>399</v>
      </c>
      <c r="D96" s="54">
        <v>100</v>
      </c>
      <c r="E96" s="54" t="s">
        <v>438</v>
      </c>
      <c r="F96" s="54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54" t="s">
        <v>439</v>
      </c>
      <c r="C97" s="54" t="s">
        <v>399</v>
      </c>
      <c r="D97" s="54">
        <v>100</v>
      </c>
      <c r="E97" s="54" t="s">
        <v>439</v>
      </c>
      <c r="F97" s="54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54" t="s">
        <v>440</v>
      </c>
      <c r="C98" s="54" t="s">
        <v>399</v>
      </c>
      <c r="D98" s="54">
        <v>100</v>
      </c>
      <c r="E98" s="54" t="s">
        <v>440</v>
      </c>
      <c r="F98" s="54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54" t="s">
        <v>441</v>
      </c>
      <c r="C99" s="54" t="s">
        <v>399</v>
      </c>
      <c r="D99" s="54">
        <v>100</v>
      </c>
      <c r="E99" s="54" t="s">
        <v>441</v>
      </c>
      <c r="F99" s="54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54" t="s">
        <v>442</v>
      </c>
      <c r="C100" s="54" t="s">
        <v>399</v>
      </c>
      <c r="D100" s="54">
        <v>100</v>
      </c>
      <c r="E100" s="54" t="s">
        <v>442</v>
      </c>
      <c r="F100" s="54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54" t="s">
        <v>443</v>
      </c>
      <c r="C101" s="54" t="s">
        <v>399</v>
      </c>
      <c r="D101" s="54">
        <v>100</v>
      </c>
      <c r="E101" s="54" t="s">
        <v>443</v>
      </c>
      <c r="F101" s="54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54" t="s">
        <v>444</v>
      </c>
      <c r="C102" s="54" t="s">
        <v>399</v>
      </c>
      <c r="D102" s="54">
        <v>100</v>
      </c>
      <c r="E102" s="54" t="s">
        <v>444</v>
      </c>
      <c r="F102" s="54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54" t="s">
        <v>445</v>
      </c>
      <c r="C103" s="54" t="s">
        <v>399</v>
      </c>
      <c r="D103" s="54">
        <v>100</v>
      </c>
      <c r="E103" s="54" t="s">
        <v>445</v>
      </c>
      <c r="F103" s="54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54" t="s">
        <v>446</v>
      </c>
      <c r="C104" s="54" t="s">
        <v>399</v>
      </c>
      <c r="D104" s="54">
        <v>100</v>
      </c>
      <c r="E104" s="54" t="s">
        <v>446</v>
      </c>
      <c r="F104" s="54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54" t="s">
        <v>447</v>
      </c>
      <c r="C105" s="54" t="s">
        <v>399</v>
      </c>
      <c r="D105" s="54">
        <v>100</v>
      </c>
      <c r="E105" s="54" t="s">
        <v>447</v>
      </c>
      <c r="F105" s="54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54" t="s">
        <v>448</v>
      </c>
      <c r="C106" s="54" t="s">
        <v>399</v>
      </c>
      <c r="D106" s="54">
        <v>100</v>
      </c>
      <c r="E106" s="54" t="s">
        <v>448</v>
      </c>
      <c r="F106" s="54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54" t="s">
        <v>449</v>
      </c>
      <c r="C107" s="54" t="s">
        <v>399</v>
      </c>
      <c r="D107" s="54">
        <v>100</v>
      </c>
      <c r="E107" s="54" t="s">
        <v>449</v>
      </c>
      <c r="F107" s="54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54" t="s">
        <v>450</v>
      </c>
      <c r="C108" s="54" t="s">
        <v>399</v>
      </c>
      <c r="D108" s="54">
        <v>100</v>
      </c>
      <c r="E108" s="54" t="s">
        <v>450</v>
      </c>
      <c r="F108" s="54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54" t="s">
        <v>451</v>
      </c>
      <c r="C109" s="54" t="s">
        <v>399</v>
      </c>
      <c r="D109" s="54">
        <v>100</v>
      </c>
      <c r="E109" s="54" t="s">
        <v>451</v>
      </c>
      <c r="F109" s="54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54" t="s">
        <v>452</v>
      </c>
      <c r="C110" s="54" t="s">
        <v>399</v>
      </c>
      <c r="D110" s="54">
        <v>100</v>
      </c>
      <c r="E110" s="54" t="s">
        <v>452</v>
      </c>
      <c r="F110" s="54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54" t="s">
        <v>453</v>
      </c>
      <c r="C111" s="54" t="s">
        <v>399</v>
      </c>
      <c r="D111" s="54">
        <v>100</v>
      </c>
      <c r="E111" s="54" t="s">
        <v>453</v>
      </c>
      <c r="F111" s="54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54" t="s">
        <v>454</v>
      </c>
      <c r="C112" s="54" t="s">
        <v>399</v>
      </c>
      <c r="D112" s="54">
        <v>100</v>
      </c>
      <c r="E112" s="54" t="s">
        <v>454</v>
      </c>
      <c r="F112" s="54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54" t="s">
        <v>455</v>
      </c>
      <c r="C113" s="54" t="s">
        <v>399</v>
      </c>
      <c r="D113" s="54">
        <v>100</v>
      </c>
      <c r="E113" s="54" t="s">
        <v>455</v>
      </c>
      <c r="F113" s="54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33" priority="5" operator="equal">
      <formula>"Fail"</formula>
    </cfRule>
    <cfRule type="cellIs" dxfId="32" priority="6" operator="equal">
      <formula>"Pass"</formula>
    </cfRule>
  </conditionalFormatting>
  <conditionalFormatting sqref="M6:M7">
    <cfRule type="cellIs" dxfId="31" priority="3" operator="equal">
      <formula>"Fail"</formula>
    </cfRule>
    <cfRule type="cellIs" dxfId="30" priority="4" operator="equal">
      <formula>"Pass"</formula>
    </cfRule>
  </conditionalFormatting>
  <conditionalFormatting sqref="M8">
    <cfRule type="containsText" dxfId="29" priority="1" operator="containsText" text="Pass">
      <formula>NOT(ISERROR(SEARCH("Pass",M8)))</formula>
    </cfRule>
    <cfRule type="containsText" dxfId="28" priority="2" operator="containsText" text="Fail">
      <formula>NOT(ISERROR(SEARCH("Fail",M8)))</formula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119688</v>
      </c>
      <c r="M3" s="19">
        <v>117625</v>
      </c>
      <c r="N3" s="22">
        <f>L3-M3</f>
        <v>2063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 x14ac:dyDescent="0.25">
      <c r="B7" s="1" t="s">
        <v>351</v>
      </c>
      <c r="C7" s="17" t="s">
        <v>399</v>
      </c>
      <c r="D7" s="11">
        <v>50</v>
      </c>
      <c r="E7" s="1" t="s">
        <v>351</v>
      </c>
      <c r="F7" s="11">
        <v>29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 x14ac:dyDescent="0.2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1.7538788522848035E-2</v>
      </c>
    </row>
    <row r="9" spans="2:15" x14ac:dyDescent="0.2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File_Size_Comparision!F19</f>
        <v>1.7998560115190784E-2</v>
      </c>
    </row>
    <row r="10" spans="2:15" x14ac:dyDescent="0.2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 x14ac:dyDescent="0.25">
      <c r="B11" s="1" t="s">
        <v>355</v>
      </c>
      <c r="C11" s="17" t="s">
        <v>399</v>
      </c>
      <c r="D11" s="11">
        <v>55</v>
      </c>
      <c r="E11" s="1" t="s">
        <v>355</v>
      </c>
      <c r="F11" s="11">
        <v>26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 x14ac:dyDescent="0.2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 x14ac:dyDescent="0.25">
      <c r="B13" s="31" t="s">
        <v>459</v>
      </c>
      <c r="C13" s="32" t="s">
        <v>399</v>
      </c>
      <c r="D13" s="11">
        <v>1</v>
      </c>
      <c r="E13" s="31" t="s">
        <v>527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7" priority="1079" operator="equal">
      <formula>"Fail"</formula>
    </cfRule>
    <cfRule type="cellIs" dxfId="26" priority="1080" operator="equal">
      <formula>"Pass"</formula>
    </cfRule>
  </conditionalFormatting>
  <conditionalFormatting sqref="H2:H13">
    <cfRule type="cellIs" dxfId="25" priority="21" operator="equal">
      <formula>"Fail"</formula>
    </cfRule>
    <cfRule type="cellIs" dxfId="24" priority="22" operator="equal">
      <formula>"Pass"</formula>
    </cfRule>
  </conditionalFormatting>
  <conditionalFormatting sqref="H2:H13">
    <cfRule type="cellIs" dxfId="23" priority="19" operator="equal">
      <formula>"Fail"</formula>
    </cfRule>
    <cfRule type="cellIs" dxfId="22" priority="20" operator="equal">
      <formula>"Pass"</formula>
    </cfRule>
  </conditionalFormatting>
  <conditionalFormatting sqref="H2:H13">
    <cfRule type="cellIs" dxfId="21" priority="17" operator="equal">
      <formula>"Fail"</formula>
    </cfRule>
    <cfRule type="cellIs" dxfId="20" priority="18" operator="equal">
      <formula>"Pass"</formula>
    </cfRule>
  </conditionalFormatting>
  <conditionalFormatting sqref="H2:H13">
    <cfRule type="cellIs" dxfId="19" priority="15" operator="equal">
      <formula>"Fail"</formula>
    </cfRule>
    <cfRule type="cellIs" dxfId="18" priority="16" operator="equal">
      <formula>"Pass"</formula>
    </cfRule>
  </conditionalFormatting>
  <conditionalFormatting sqref="H2:H13">
    <cfRule type="cellIs" dxfId="17" priority="13" operator="equal">
      <formula>"Fail"</formula>
    </cfRule>
    <cfRule type="cellIs" dxfId="16" priority="14" operator="equal">
      <formula>"Pass"</formula>
    </cfRule>
  </conditionalFormatting>
  <conditionalFormatting sqref="H2:H13">
    <cfRule type="cellIs" dxfId="15" priority="11" operator="equal">
      <formula>"Fail"</formula>
    </cfRule>
    <cfRule type="cellIs" dxfId="14" priority="12" operator="equal">
      <formula>"Pass"</formula>
    </cfRule>
  </conditionalFormatting>
  <conditionalFormatting sqref="H2:H13">
    <cfRule type="cellIs" dxfId="13" priority="9" operator="equal">
      <formula>"Fail"</formula>
    </cfRule>
    <cfRule type="cellIs" dxfId="12" priority="10" operator="equal">
      <formula>"Pass"</formula>
    </cfRule>
  </conditionalFormatting>
  <conditionalFormatting sqref="H2:H13">
    <cfRule type="cellIs" dxfId="11" priority="7" operator="equal">
      <formula>"Fail"</formula>
    </cfRule>
    <cfRule type="cellIs" dxfId="10" priority="8" operator="equal">
      <formula>"Pass"</formula>
    </cfRule>
  </conditionalFormatting>
  <conditionalFormatting sqref="H2:H13">
    <cfRule type="cellIs" dxfId="9" priority="5" operator="equal">
      <formula>"Fail"</formula>
    </cfRule>
    <cfRule type="cellIs" dxfId="8" priority="6" operator="equal">
      <formula>"Pass"</formula>
    </cfRule>
  </conditionalFormatting>
  <conditionalFormatting sqref="H2:H13">
    <cfRule type="cellIs" dxfId="7" priority="3" operator="equal">
      <formula>"Fail"</formula>
    </cfRule>
    <cfRule type="cellIs" dxfId="6" priority="4" operator="equal">
      <formula>"Pass"</formula>
    </cfRule>
  </conditionalFormatting>
  <conditionalFormatting sqref="M6:M7">
    <cfRule type="cellIs" dxfId="5" priority="1" operator="equal">
      <formula>"Fail"</formula>
    </cfRule>
    <cfRule type="cellIs" dxfId="4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Test_Summary</vt:lpstr>
      <vt:lpstr>File_Size_Comparision</vt:lpstr>
      <vt:lpstr>Care_Alerts</vt:lpstr>
      <vt:lpstr>Demographics</vt:lpstr>
      <vt:lpstr>Eligibility</vt:lpstr>
      <vt:lpstr>Generic_Quality_Metrics</vt:lpstr>
      <vt:lpstr>High_Cost</vt:lpstr>
      <vt:lpstr>Historical_Scores</vt:lpstr>
      <vt:lpstr>Lab</vt:lpstr>
      <vt:lpstr>Medical_Claims</vt:lpstr>
      <vt:lpstr>Participation</vt:lpstr>
      <vt:lpstr>Member</vt:lpstr>
      <vt:lpstr>Member_Months</vt:lpstr>
      <vt:lpstr>Member_PCP</vt:lpstr>
      <vt:lpstr>Pharmacy</vt:lpstr>
      <vt:lpstr>Quality_Metrics</vt:lpstr>
      <vt:lpstr>Scores</vt:lpstr>
      <vt:lpstr>Scores_With_Historicals</vt:lpstr>
      <vt:lpstr>Utilization</vt:lpstr>
      <vt:lpstr>Visit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rpathak</cp:lastModifiedBy>
  <dcterms:created xsi:type="dcterms:W3CDTF">2013-12-03T07:41:54Z</dcterms:created>
  <dcterms:modified xsi:type="dcterms:W3CDTF">2017-04-25T06:16:38Z</dcterms:modified>
</cp:coreProperties>
</file>