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25" yWindow="1245" windowWidth="15480" windowHeight="6210" tabRatio="926"/>
  </bookViews>
  <sheets>
    <sheet name="Summary" sheetId="35" r:id="rId1"/>
    <sheet name="Summary_Page" sheetId="37" state="hidden" r:id="rId2"/>
    <sheet name="SP_Data" sheetId="38" r:id="rId3"/>
    <sheet name="Group Summary" sheetId="54" state="hidden" r:id="rId4"/>
    <sheet name="Group Summary Data" sheetId="51" state="hidden" r:id="rId5"/>
    <sheet name="HealthCareTrend" sheetId="60" state="hidden" r:id="rId6"/>
    <sheet name="Periodic Analysis" sheetId="56" state="hidden" r:id="rId7"/>
    <sheet name="Monthly Analysis" sheetId="57" state="hidden" r:id="rId8"/>
    <sheet name="Benefit_Categories" sheetId="44" state="hidden" r:id="rId9"/>
    <sheet name="Top_20_Reports" sheetId="39" state="hidden" r:id="rId10"/>
    <sheet name="Utilization Metrics" sheetId="19" state="hidden" r:id="rId11"/>
    <sheet name="Top 20 Trending" sheetId="47" state="hidden" r:id="rId12"/>
    <sheet name="Uitilization_Metrics" sheetId="45" state="hidden" r:id="rId13"/>
    <sheet name="Top 20 Data (3)" sheetId="65" state="hidden" r:id="rId14"/>
    <sheet name="High Cost Members" sheetId="31" state="hidden" r:id="rId15"/>
    <sheet name="Membership_Distribution" sheetId="27" state="hidden" r:id="rId16"/>
    <sheet name="Coverage By Relationship" sheetId="29" state="hidden" r:id="rId17"/>
    <sheet name="HSQ Data" sheetId="24" state="hidden" r:id="rId18"/>
    <sheet name="UM Data" sheetId="20" state="hidden" r:id="rId19"/>
    <sheet name="Chronic Conditions" sheetId="30" state="hidden" r:id="rId20"/>
    <sheet name="Duplicate Claims" sheetId="25" state="hidden" r:id="rId21"/>
    <sheet name="DC Data" sheetId="26" state="hidden" r:id="rId22"/>
    <sheet name="CC Tab" sheetId="34" state="hidden" r:id="rId23"/>
    <sheet name="Custom Report" sheetId="55" state="hidden" r:id="rId24"/>
    <sheet name="Info" sheetId="10" r:id="rId25"/>
    <sheet name="Sheet1" sheetId="63" state="hidden" r:id="rId26"/>
    <sheet name="Um Verfication" sheetId="64" state="hidden" r:id="rId27"/>
  </sheets>
  <externalReferences>
    <externalReference r:id="rId28"/>
  </externalReferences>
  <definedNames>
    <definedName name="dd" localSheetId="13">#REF!</definedName>
    <definedName name="dd">#REF!</definedName>
    <definedName name="te" localSheetId="13">#REF!</definedName>
    <definedName name="te">#REF!</definedName>
    <definedName name="vDateTime" localSheetId="3">#REF!</definedName>
    <definedName name="vDateTime" localSheetId="4">#REF!</definedName>
    <definedName name="vDateTime" localSheetId="13">#REF!</definedName>
    <definedName name="vDateTime" localSheetId="11">#REF!</definedName>
    <definedName name="vDateTime">#REF!</definedName>
    <definedName name="vDiastolic" localSheetId="13">#REF!</definedName>
    <definedName name="vDiastolic" localSheetId="11">#REF!</definedName>
    <definedName name="vDiastolic">#REF!</definedName>
    <definedName name="vHeartRate" localSheetId="13">#REF!</definedName>
    <definedName name="vHeartRate" localSheetId="11">#REF!</definedName>
    <definedName name="vHeartRate">#REF!</definedName>
    <definedName name="vSystolic" localSheetId="13">#REF!</definedName>
    <definedName name="vSystolic" localSheetId="11">#REF!</definedName>
    <definedName name="vSystolic">#REF!</definedName>
  </definedNames>
  <calcPr calcId="124519"/>
  <fileRecoveryPr autoRecover="0"/>
</workbook>
</file>

<file path=xl/calcChain.xml><?xml version="1.0" encoding="utf-8"?>
<calcChain xmlns="http://schemas.openxmlformats.org/spreadsheetml/2006/main">
  <c r="O48" i="38"/>
  <c r="O49"/>
  <c r="O50"/>
  <c r="O51"/>
  <c r="O52"/>
  <c r="O53"/>
  <c r="B38"/>
  <c r="C38"/>
  <c r="G38"/>
  <c r="H38"/>
  <c r="N38"/>
  <c r="B39"/>
  <c r="C39"/>
  <c r="G39"/>
  <c r="H39"/>
  <c r="N39"/>
  <c r="B40"/>
  <c r="C40"/>
  <c r="G40"/>
  <c r="H40"/>
  <c r="N40"/>
  <c r="B41"/>
  <c r="C41"/>
  <c r="G41"/>
  <c r="H41"/>
  <c r="N41"/>
  <c r="B42"/>
  <c r="C42"/>
  <c r="G42"/>
  <c r="H42"/>
  <c r="O47"/>
  <c r="D39" l="1"/>
  <c r="I41"/>
  <c r="D42"/>
  <c r="I39"/>
  <c r="I40"/>
  <c r="I38"/>
  <c r="D40"/>
  <c r="I42"/>
  <c r="D41"/>
  <c r="D38"/>
  <c r="M28" i="65"/>
  <c r="S28" s="1"/>
  <c r="U28" s="1"/>
  <c r="T218"/>
  <c r="S218"/>
  <c r="U218" s="1"/>
  <c r="O218"/>
  <c r="M218"/>
  <c r="T217"/>
  <c r="O217"/>
  <c r="M217"/>
  <c r="S217" s="1"/>
  <c r="U217" s="1"/>
  <c r="O216"/>
  <c r="T216" s="1"/>
  <c r="T215"/>
  <c r="S215"/>
  <c r="U215" s="1"/>
  <c r="T214"/>
  <c r="S214"/>
  <c r="U214" s="1"/>
  <c r="U213"/>
  <c r="T213"/>
  <c r="S213"/>
  <c r="U212"/>
  <c r="T212"/>
  <c r="S212"/>
  <c r="T211"/>
  <c r="S211"/>
  <c r="U211" s="1"/>
  <c r="T210"/>
  <c r="S210"/>
  <c r="U210" s="1"/>
  <c r="U209"/>
  <c r="T209"/>
  <c r="S209"/>
  <c r="U208"/>
  <c r="T208"/>
  <c r="S208"/>
  <c r="T207"/>
  <c r="S207"/>
  <c r="U207" s="1"/>
  <c r="T206"/>
  <c r="S206"/>
  <c r="U206" s="1"/>
  <c r="U205"/>
  <c r="T205"/>
  <c r="S205"/>
  <c r="U204"/>
  <c r="T204"/>
  <c r="S204"/>
  <c r="T203"/>
  <c r="S203"/>
  <c r="U203" s="1"/>
  <c r="T202"/>
  <c r="S202"/>
  <c r="U202" s="1"/>
  <c r="U201"/>
  <c r="T201"/>
  <c r="S201"/>
  <c r="U200"/>
  <c r="T200"/>
  <c r="S200"/>
  <c r="T199"/>
  <c r="S199"/>
  <c r="U199" s="1"/>
  <c r="T198"/>
  <c r="S198"/>
  <c r="U198" s="1"/>
  <c r="U197"/>
  <c r="T197"/>
  <c r="S197"/>
  <c r="U196"/>
  <c r="T196"/>
  <c r="S196"/>
  <c r="T191"/>
  <c r="S191"/>
  <c r="U191" s="1"/>
  <c r="N191"/>
  <c r="M191"/>
  <c r="T190"/>
  <c r="N190"/>
  <c r="M190"/>
  <c r="S190" s="1"/>
  <c r="U190" s="1"/>
  <c r="N189"/>
  <c r="T189" s="1"/>
  <c r="T188"/>
  <c r="S188"/>
  <c r="U188" s="1"/>
  <c r="U187"/>
  <c r="T187"/>
  <c r="S187"/>
  <c r="U186"/>
  <c r="T186"/>
  <c r="S186"/>
  <c r="T185"/>
  <c r="S185"/>
  <c r="U185" s="1"/>
  <c r="T184"/>
  <c r="S184"/>
  <c r="U184" s="1"/>
  <c r="U183"/>
  <c r="T183"/>
  <c r="S183"/>
  <c r="U182"/>
  <c r="T182"/>
  <c r="S182"/>
  <c r="T181"/>
  <c r="S181"/>
  <c r="U181" s="1"/>
  <c r="T180"/>
  <c r="S180"/>
  <c r="U180" s="1"/>
  <c r="U179"/>
  <c r="T179"/>
  <c r="S179"/>
  <c r="U178"/>
  <c r="T178"/>
  <c r="S178"/>
  <c r="T177"/>
  <c r="S177"/>
  <c r="U177" s="1"/>
  <c r="T176"/>
  <c r="S176"/>
  <c r="U176" s="1"/>
  <c r="U175"/>
  <c r="T175"/>
  <c r="S175"/>
  <c r="U174"/>
  <c r="T174"/>
  <c r="S174"/>
  <c r="T173"/>
  <c r="S173"/>
  <c r="U173" s="1"/>
  <c r="T172"/>
  <c r="S172"/>
  <c r="U172" s="1"/>
  <c r="U171"/>
  <c r="T171"/>
  <c r="S171"/>
  <c r="U170"/>
  <c r="T170"/>
  <c r="S170"/>
  <c r="T169"/>
  <c r="S169"/>
  <c r="U169" s="1"/>
  <c r="T164"/>
  <c r="S164"/>
  <c r="U164" s="1"/>
  <c r="U163"/>
  <c r="T163"/>
  <c r="S163"/>
  <c r="U162"/>
  <c r="T162"/>
  <c r="S162"/>
  <c r="T161"/>
  <c r="S161"/>
  <c r="U161" s="1"/>
  <c r="T160"/>
  <c r="S160"/>
  <c r="U160" s="1"/>
  <c r="U159"/>
  <c r="T159"/>
  <c r="S159"/>
  <c r="U158"/>
  <c r="T158"/>
  <c r="S158"/>
  <c r="T157"/>
  <c r="S157"/>
  <c r="U157" s="1"/>
  <c r="T156"/>
  <c r="S156"/>
  <c r="U156" s="1"/>
  <c r="U155"/>
  <c r="T155"/>
  <c r="S155"/>
  <c r="U154"/>
  <c r="T154"/>
  <c r="S154"/>
  <c r="T153"/>
  <c r="S153"/>
  <c r="U153" s="1"/>
  <c r="T152"/>
  <c r="S152"/>
  <c r="U152" s="1"/>
  <c r="U151"/>
  <c r="T151"/>
  <c r="S151"/>
  <c r="U150"/>
  <c r="T150"/>
  <c r="S150"/>
  <c r="T149"/>
  <c r="S149"/>
  <c r="U149" s="1"/>
  <c r="T148"/>
  <c r="S148"/>
  <c r="U148" s="1"/>
  <c r="U147"/>
  <c r="T147"/>
  <c r="S147"/>
  <c r="U146"/>
  <c r="T146"/>
  <c r="S146"/>
  <c r="T145"/>
  <c r="S145"/>
  <c r="U145" s="1"/>
  <c r="T144"/>
  <c r="S144"/>
  <c r="U144" s="1"/>
  <c r="U143"/>
  <c r="T143"/>
  <c r="S143"/>
  <c r="U142"/>
  <c r="T142"/>
  <c r="S142"/>
  <c r="T137"/>
  <c r="S137"/>
  <c r="U137" s="1"/>
  <c r="Q137"/>
  <c r="N137"/>
  <c r="T136"/>
  <c r="Q136"/>
  <c r="N136"/>
  <c r="S136" s="1"/>
  <c r="U136" s="1"/>
  <c r="Q135"/>
  <c r="T135" s="1"/>
  <c r="T134"/>
  <c r="S134"/>
  <c r="U134" s="1"/>
  <c r="T133"/>
  <c r="S133"/>
  <c r="U133" s="1"/>
  <c r="U132"/>
  <c r="T132"/>
  <c r="S132"/>
  <c r="U131"/>
  <c r="T131"/>
  <c r="S131"/>
  <c r="T130"/>
  <c r="S130"/>
  <c r="U130" s="1"/>
  <c r="T129"/>
  <c r="S129"/>
  <c r="U129" s="1"/>
  <c r="U128"/>
  <c r="T128"/>
  <c r="S128"/>
  <c r="U127"/>
  <c r="T127"/>
  <c r="S127"/>
  <c r="T126"/>
  <c r="S126"/>
  <c r="U126" s="1"/>
  <c r="T125"/>
  <c r="S125"/>
  <c r="U125" s="1"/>
  <c r="U124"/>
  <c r="T124"/>
  <c r="S124"/>
  <c r="U123"/>
  <c r="T123"/>
  <c r="S123"/>
  <c r="T122"/>
  <c r="S122"/>
  <c r="U122" s="1"/>
  <c r="T121"/>
  <c r="S121"/>
  <c r="U121" s="1"/>
  <c r="U120"/>
  <c r="T120"/>
  <c r="S120"/>
  <c r="U119"/>
  <c r="T119"/>
  <c r="S119"/>
  <c r="T118"/>
  <c r="S118"/>
  <c r="U118" s="1"/>
  <c r="T117"/>
  <c r="S117"/>
  <c r="U117" s="1"/>
  <c r="U116"/>
  <c r="T116"/>
  <c r="S116"/>
  <c r="U115"/>
  <c r="T115"/>
  <c r="S115"/>
  <c r="T110"/>
  <c r="S110"/>
  <c r="U110" s="1"/>
  <c r="O110"/>
  <c r="M110"/>
  <c r="O109"/>
  <c r="O108" s="1"/>
  <c r="T108" s="1"/>
  <c r="M109"/>
  <c r="S109" s="1"/>
  <c r="T107"/>
  <c r="S107"/>
  <c r="U107" s="1"/>
  <c r="U106"/>
  <c r="T106"/>
  <c r="S106"/>
  <c r="U105"/>
  <c r="T105"/>
  <c r="S105"/>
  <c r="T104"/>
  <c r="S104"/>
  <c r="U104" s="1"/>
  <c r="T103"/>
  <c r="S103"/>
  <c r="U103" s="1"/>
  <c r="U102"/>
  <c r="T102"/>
  <c r="S102"/>
  <c r="U101"/>
  <c r="T101"/>
  <c r="S101"/>
  <c r="T100"/>
  <c r="S100"/>
  <c r="U100" s="1"/>
  <c r="T99"/>
  <c r="S99"/>
  <c r="U99" s="1"/>
  <c r="U98"/>
  <c r="T98"/>
  <c r="S98"/>
  <c r="U97"/>
  <c r="T97"/>
  <c r="S97"/>
  <c r="T96"/>
  <c r="S96"/>
  <c r="U96" s="1"/>
  <c r="T95"/>
  <c r="S95"/>
  <c r="U95" s="1"/>
  <c r="U94"/>
  <c r="T94"/>
  <c r="S94"/>
  <c r="U93"/>
  <c r="T93"/>
  <c r="S93"/>
  <c r="T92"/>
  <c r="S92"/>
  <c r="U92" s="1"/>
  <c r="T91"/>
  <c r="S91"/>
  <c r="U91" s="1"/>
  <c r="U90"/>
  <c r="T90"/>
  <c r="S90"/>
  <c r="U89"/>
  <c r="T89"/>
  <c r="S89"/>
  <c r="T88"/>
  <c r="S88"/>
  <c r="U88" s="1"/>
  <c r="S83"/>
  <c r="U83" s="1"/>
  <c r="N83"/>
  <c r="T83" s="1"/>
  <c r="M83"/>
  <c r="T82"/>
  <c r="S82"/>
  <c r="U82" s="1"/>
  <c r="N82"/>
  <c r="M82"/>
  <c r="N81"/>
  <c r="T81" s="1"/>
  <c r="M81"/>
  <c r="S81" s="1"/>
  <c r="T80"/>
  <c r="S80"/>
  <c r="U80" s="1"/>
  <c r="U79"/>
  <c r="T79"/>
  <c r="S79"/>
  <c r="U78"/>
  <c r="T78"/>
  <c r="S78"/>
  <c r="T77"/>
  <c r="S77"/>
  <c r="U77" s="1"/>
  <c r="T76"/>
  <c r="S76"/>
  <c r="U76" s="1"/>
  <c r="U75"/>
  <c r="T75"/>
  <c r="S75"/>
  <c r="U74"/>
  <c r="T74"/>
  <c r="S74"/>
  <c r="T73"/>
  <c r="S73"/>
  <c r="U73" s="1"/>
  <c r="T72"/>
  <c r="S72"/>
  <c r="U72" s="1"/>
  <c r="U71"/>
  <c r="T71"/>
  <c r="S71"/>
  <c r="U70"/>
  <c r="T70"/>
  <c r="S70"/>
  <c r="T69"/>
  <c r="S69"/>
  <c r="U69" s="1"/>
  <c r="T68"/>
  <c r="S68"/>
  <c r="U68" s="1"/>
  <c r="U67"/>
  <c r="T67"/>
  <c r="S67"/>
  <c r="U66"/>
  <c r="T66"/>
  <c r="S66"/>
  <c r="T65"/>
  <c r="S65"/>
  <c r="U65" s="1"/>
  <c r="T64"/>
  <c r="S64"/>
  <c r="U64" s="1"/>
  <c r="U63"/>
  <c r="T63"/>
  <c r="S63"/>
  <c r="U62"/>
  <c r="T62"/>
  <c r="S62"/>
  <c r="T61"/>
  <c r="S61"/>
  <c r="U61" s="1"/>
  <c r="S56"/>
  <c r="U56" s="1"/>
  <c r="O56"/>
  <c r="T56" s="1"/>
  <c r="M56"/>
  <c r="O55"/>
  <c r="T55" s="1"/>
  <c r="M55"/>
  <c r="S55" s="1"/>
  <c r="T53"/>
  <c r="S53"/>
  <c r="U53" s="1"/>
  <c r="U52"/>
  <c r="T52"/>
  <c r="S52"/>
  <c r="U51"/>
  <c r="T51"/>
  <c r="S51"/>
  <c r="T50"/>
  <c r="S50"/>
  <c r="U50" s="1"/>
  <c r="T49"/>
  <c r="S49"/>
  <c r="U49" s="1"/>
  <c r="U48"/>
  <c r="T48"/>
  <c r="S48"/>
  <c r="U47"/>
  <c r="T47"/>
  <c r="S47"/>
  <c r="T46"/>
  <c r="S46"/>
  <c r="U46" s="1"/>
  <c r="T45"/>
  <c r="S45"/>
  <c r="U45" s="1"/>
  <c r="U44"/>
  <c r="T44"/>
  <c r="S44"/>
  <c r="U43"/>
  <c r="T43"/>
  <c r="S43"/>
  <c r="T42"/>
  <c r="S42"/>
  <c r="U42" s="1"/>
  <c r="T41"/>
  <c r="S41"/>
  <c r="U41" s="1"/>
  <c r="U40"/>
  <c r="T40"/>
  <c r="S40"/>
  <c r="U39"/>
  <c r="T39"/>
  <c r="S39"/>
  <c r="T38"/>
  <c r="S38"/>
  <c r="U38" s="1"/>
  <c r="T37"/>
  <c r="S37"/>
  <c r="U37" s="1"/>
  <c r="U36"/>
  <c r="T36"/>
  <c r="S36"/>
  <c r="U35"/>
  <c r="T35"/>
  <c r="S35"/>
  <c r="T34"/>
  <c r="S34"/>
  <c r="U34" s="1"/>
  <c r="S29"/>
  <c r="O29"/>
  <c r="T29" s="1"/>
  <c r="M29"/>
  <c r="T28"/>
  <c r="O28"/>
  <c r="O27"/>
  <c r="T26"/>
  <c r="S26"/>
  <c r="U26" s="1"/>
  <c r="U25"/>
  <c r="T25"/>
  <c r="S25"/>
  <c r="U24"/>
  <c r="T24"/>
  <c r="S24"/>
  <c r="T23"/>
  <c r="S23"/>
  <c r="U23" s="1"/>
  <c r="T22"/>
  <c r="S22"/>
  <c r="U22" s="1"/>
  <c r="U21"/>
  <c r="T21"/>
  <c r="S21"/>
  <c r="U20"/>
  <c r="T20"/>
  <c r="S20"/>
  <c r="T19"/>
  <c r="S19"/>
  <c r="U19" s="1"/>
  <c r="T18"/>
  <c r="S18"/>
  <c r="U18" s="1"/>
  <c r="U17"/>
  <c r="T17"/>
  <c r="S17"/>
  <c r="U16"/>
  <c r="T16"/>
  <c r="S16"/>
  <c r="T15"/>
  <c r="S15"/>
  <c r="U15" s="1"/>
  <c r="T14"/>
  <c r="S14"/>
  <c r="U14" s="1"/>
  <c r="U13"/>
  <c r="T13"/>
  <c r="S13"/>
  <c r="U12"/>
  <c r="T12"/>
  <c r="S12"/>
  <c r="T11"/>
  <c r="S11"/>
  <c r="U11" s="1"/>
  <c r="T10"/>
  <c r="S10"/>
  <c r="U10" s="1"/>
  <c r="U9"/>
  <c r="T9"/>
  <c r="S9"/>
  <c r="U8"/>
  <c r="T8"/>
  <c r="S8"/>
  <c r="T7"/>
  <c r="S7"/>
  <c r="U7" s="1"/>
  <c r="B34" i="45"/>
  <c r="C34"/>
  <c r="B35"/>
  <c r="C35"/>
  <c r="B36"/>
  <c r="C36"/>
  <c r="B37"/>
  <c r="C37"/>
  <c r="B38"/>
  <c r="C38"/>
  <c r="B39"/>
  <c r="C39"/>
  <c r="B40"/>
  <c r="C40"/>
  <c r="B41"/>
  <c r="C41"/>
  <c r="B42"/>
  <c r="C42"/>
  <c r="B43"/>
  <c r="C43"/>
  <c r="B44"/>
  <c r="C44"/>
  <c r="B45"/>
  <c r="C45"/>
  <c r="B46"/>
  <c r="C46"/>
  <c r="B47"/>
  <c r="C47"/>
  <c r="B48"/>
  <c r="C48"/>
  <c r="B49"/>
  <c r="C49"/>
  <c r="B50"/>
  <c r="C50"/>
  <c r="B51"/>
  <c r="C51"/>
  <c r="B52"/>
  <c r="C52"/>
  <c r="B53"/>
  <c r="C53"/>
  <c r="B54"/>
  <c r="C54"/>
  <c r="B55"/>
  <c r="C55"/>
  <c r="B56"/>
  <c r="C56"/>
  <c r="B57"/>
  <c r="C57"/>
  <c r="B58"/>
  <c r="C58"/>
  <c r="C33"/>
  <c r="B33"/>
  <c r="M54" i="65" l="1"/>
  <c r="S54" s="1"/>
  <c r="T109"/>
  <c r="M27"/>
  <c r="S27" s="1"/>
  <c r="U27" s="1"/>
  <c r="O54"/>
  <c r="U55"/>
  <c r="U109"/>
  <c r="U29"/>
  <c r="U81"/>
  <c r="T27"/>
  <c r="O81"/>
  <c r="M108"/>
  <c r="S108" s="1"/>
  <c r="U108" s="1"/>
  <c r="M189"/>
  <c r="S189" s="1"/>
  <c r="U189" s="1"/>
  <c r="N135"/>
  <c r="M216"/>
  <c r="Q54" l="1"/>
  <c r="Q27"/>
  <c r="T54"/>
  <c r="U54" s="1"/>
  <c r="S135"/>
  <c r="U135" s="1"/>
  <c r="R135"/>
  <c r="S216"/>
  <c r="U216" s="1"/>
  <c r="Q216"/>
  <c r="B33" i="64"/>
  <c r="C33"/>
  <c r="B34"/>
  <c r="C34"/>
  <c r="D34"/>
  <c r="B35"/>
  <c r="C35"/>
  <c r="D35" s="1"/>
  <c r="D33" l="1"/>
  <c r="T6" i="51"/>
  <c r="T7" s="1"/>
  <c r="S6"/>
  <c r="S7" s="1"/>
  <c r="R4"/>
  <c r="R6" s="1"/>
  <c r="R7" s="1"/>
  <c r="Q7"/>
  <c r="Q6"/>
  <c r="O7"/>
  <c r="O6"/>
  <c r="P6"/>
  <c r="N6"/>
  <c r="N7" s="1"/>
  <c r="P7" s="1"/>
  <c r="C58" i="64"/>
  <c r="B58"/>
  <c r="C57"/>
  <c r="B57"/>
  <c r="C56"/>
  <c r="B56"/>
  <c r="C55"/>
  <c r="B55"/>
  <c r="C54"/>
  <c r="B54"/>
  <c r="C53"/>
  <c r="B53"/>
  <c r="C52"/>
  <c r="B52"/>
  <c r="C51"/>
  <c r="B51"/>
  <c r="C50"/>
  <c r="B50"/>
  <c r="C49"/>
  <c r="B49"/>
  <c r="C48"/>
  <c r="B48"/>
  <c r="C47"/>
  <c r="B47"/>
  <c r="C46"/>
  <c r="B46"/>
  <c r="C45"/>
  <c r="B45"/>
  <c r="C44"/>
  <c r="B44"/>
  <c r="C43"/>
  <c r="B43"/>
  <c r="C42"/>
  <c r="B42"/>
  <c r="C41"/>
  <c r="B41"/>
  <c r="C40"/>
  <c r="B40"/>
  <c r="C39"/>
  <c r="B39"/>
  <c r="C38"/>
  <c r="B38"/>
  <c r="C37"/>
  <c r="B37"/>
  <c r="C36"/>
  <c r="B36"/>
  <c r="L32" i="56"/>
  <c r="M32"/>
  <c r="N32" s="1"/>
  <c r="L33"/>
  <c r="M33"/>
  <c r="N33" s="1"/>
  <c r="L34"/>
  <c r="M34"/>
  <c r="N34" s="1"/>
  <c r="L35"/>
  <c r="M35"/>
  <c r="L36"/>
  <c r="M36"/>
  <c r="N36" s="1"/>
  <c r="L37"/>
  <c r="M37"/>
  <c r="L38"/>
  <c r="M38"/>
  <c r="L39"/>
  <c r="M39"/>
  <c r="L40"/>
  <c r="M40"/>
  <c r="N40" s="1"/>
  <c r="L41"/>
  <c r="M41"/>
  <c r="L42"/>
  <c r="M42"/>
  <c r="L43"/>
  <c r="M43"/>
  <c r="L45"/>
  <c r="M45"/>
  <c r="L46"/>
  <c r="M46"/>
  <c r="L47"/>
  <c r="M47"/>
  <c r="L48"/>
  <c r="M48"/>
  <c r="L49"/>
  <c r="M49"/>
  <c r="L50"/>
  <c r="M50"/>
  <c r="L51"/>
  <c r="M51"/>
  <c r="L53"/>
  <c r="M53"/>
  <c r="L54"/>
  <c r="M54"/>
  <c r="L55"/>
  <c r="M55"/>
  <c r="L56"/>
  <c r="M56"/>
  <c r="L57"/>
  <c r="M57"/>
  <c r="L58"/>
  <c r="M58"/>
  <c r="N58" s="1"/>
  <c r="L59"/>
  <c r="M59"/>
  <c r="L60"/>
  <c r="M60"/>
  <c r="L61"/>
  <c r="M61"/>
  <c r="L62"/>
  <c r="M62"/>
  <c r="L63"/>
  <c r="M63"/>
  <c r="L64"/>
  <c r="M64"/>
  <c r="L65"/>
  <c r="M65"/>
  <c r="L66"/>
  <c r="M66"/>
  <c r="L67"/>
  <c r="M67"/>
  <c r="L68"/>
  <c r="M68"/>
  <c r="L69"/>
  <c r="M69"/>
  <c r="N66" l="1"/>
  <c r="N62"/>
  <c r="N60"/>
  <c r="N59"/>
  <c r="N49"/>
  <c r="D36" i="64"/>
  <c r="D37"/>
  <c r="D38"/>
  <c r="D39"/>
  <c r="D40"/>
  <c r="D41"/>
  <c r="D42"/>
  <c r="D43"/>
  <c r="D44"/>
  <c r="D45"/>
  <c r="D46"/>
  <c r="D47"/>
  <c r="D48"/>
  <c r="D49"/>
  <c r="D50"/>
  <c r="D51"/>
  <c r="D52"/>
  <c r="D53"/>
  <c r="D54"/>
  <c r="D55"/>
  <c r="D56"/>
  <c r="D57"/>
  <c r="D58"/>
  <c r="N68" i="56"/>
  <c r="N67"/>
  <c r="N54"/>
  <c r="N51"/>
  <c r="N50"/>
  <c r="N45"/>
  <c r="N42"/>
  <c r="N41"/>
  <c r="N64"/>
  <c r="N63"/>
  <c r="N56"/>
  <c r="N55"/>
  <c r="N47"/>
  <c r="N46"/>
  <c r="N38"/>
  <c r="N37"/>
  <c r="N69"/>
  <c r="N65"/>
  <c r="N61"/>
  <c r="N57"/>
  <c r="N53"/>
  <c r="N48"/>
  <c r="N43"/>
  <c r="N39"/>
  <c r="N35"/>
  <c r="L5" l="1"/>
  <c r="L6"/>
  <c r="L7"/>
  <c r="L8"/>
  <c r="L9"/>
  <c r="L10"/>
  <c r="L11"/>
  <c r="L12"/>
  <c r="L13"/>
  <c r="L14"/>
  <c r="L15"/>
  <c r="L16"/>
  <c r="L17"/>
  <c r="B161" i="57" l="1"/>
  <c r="C161"/>
  <c r="D161"/>
  <c r="E161"/>
  <c r="F161"/>
  <c r="G161"/>
  <c r="H161"/>
  <c r="I161"/>
  <c r="J161"/>
  <c r="K161"/>
  <c r="L161"/>
  <c r="M161"/>
  <c r="N161"/>
  <c r="O161" l="1"/>
  <c r="G43" i="38" l="1"/>
  <c r="H43"/>
  <c r="G44"/>
  <c r="H44"/>
  <c r="G45"/>
  <c r="H45"/>
  <c r="G46"/>
  <c r="H46"/>
  <c r="G47"/>
  <c r="H47"/>
  <c r="G48"/>
  <c r="H48"/>
  <c r="G49"/>
  <c r="H49"/>
  <c r="G50"/>
  <c r="H50"/>
  <c r="P22"/>
  <c r="P23"/>
  <c r="P24"/>
  <c r="P25"/>
  <c r="P26"/>
  <c r="P27"/>
  <c r="P28"/>
  <c r="P29"/>
  <c r="P30"/>
  <c r="P31"/>
  <c r="P32"/>
  <c r="P33"/>
  <c r="O22"/>
  <c r="Q22" s="1"/>
  <c r="O23"/>
  <c r="O24"/>
  <c r="Q24" s="1"/>
  <c r="O25"/>
  <c r="Q25" s="1"/>
  <c r="O26"/>
  <c r="Q26" s="1"/>
  <c r="O27"/>
  <c r="O28"/>
  <c r="Q28" s="1"/>
  <c r="O29"/>
  <c r="O30"/>
  <c r="O31"/>
  <c r="O32"/>
  <c r="Q32" s="1"/>
  <c r="O33"/>
  <c r="P5"/>
  <c r="P6"/>
  <c r="P7"/>
  <c r="P8"/>
  <c r="P9"/>
  <c r="P10"/>
  <c r="P11"/>
  <c r="P12"/>
  <c r="P13"/>
  <c r="P14"/>
  <c r="P15"/>
  <c r="P16"/>
  <c r="O5"/>
  <c r="Q5" s="1"/>
  <c r="O6"/>
  <c r="Q6" s="1"/>
  <c r="O7"/>
  <c r="Q7" s="1"/>
  <c r="O8"/>
  <c r="Q8" s="1"/>
  <c r="O9"/>
  <c r="Q9" s="1"/>
  <c r="O10"/>
  <c r="Q10" s="1"/>
  <c r="O11"/>
  <c r="Q11" s="1"/>
  <c r="O12"/>
  <c r="Q12" s="1"/>
  <c r="O13"/>
  <c r="Q13" s="1"/>
  <c r="O14"/>
  <c r="O15"/>
  <c r="Q15" s="1"/>
  <c r="O16"/>
  <c r="Q16" s="1"/>
  <c r="B43"/>
  <c r="C43"/>
  <c r="B44"/>
  <c r="C44"/>
  <c r="B45"/>
  <c r="C45"/>
  <c r="B46"/>
  <c r="C46"/>
  <c r="B47"/>
  <c r="C47"/>
  <c r="B48"/>
  <c r="C48"/>
  <c r="B49"/>
  <c r="C49"/>
  <c r="B50"/>
  <c r="C50"/>
  <c r="P21"/>
  <c r="O21"/>
  <c r="P4"/>
  <c r="O4"/>
  <c r="J76" i="56"/>
  <c r="K76"/>
  <c r="J77"/>
  <c r="K77"/>
  <c r="J78"/>
  <c r="K78"/>
  <c r="J79"/>
  <c r="K79"/>
  <c r="J80"/>
  <c r="K80"/>
  <c r="J81"/>
  <c r="K81"/>
  <c r="J82"/>
  <c r="K82"/>
  <c r="J83"/>
  <c r="K83"/>
  <c r="J84"/>
  <c r="K84"/>
  <c r="J85"/>
  <c r="K85"/>
  <c r="J86"/>
  <c r="K86"/>
  <c r="J87"/>
  <c r="L87" s="1"/>
  <c r="K87"/>
  <c r="J88"/>
  <c r="K88"/>
  <c r="J89"/>
  <c r="K89"/>
  <c r="J90"/>
  <c r="K90"/>
  <c r="J91"/>
  <c r="K91"/>
  <c r="J92"/>
  <c r="K92"/>
  <c r="J93"/>
  <c r="K93"/>
  <c r="J94"/>
  <c r="K94"/>
  <c r="J95"/>
  <c r="K95"/>
  <c r="J96"/>
  <c r="K96"/>
  <c r="J97"/>
  <c r="K97"/>
  <c r="J98"/>
  <c r="K98"/>
  <c r="J99"/>
  <c r="K99"/>
  <c r="J100"/>
  <c r="K100"/>
  <c r="J101"/>
  <c r="K101"/>
  <c r="J102"/>
  <c r="K102"/>
  <c r="J103"/>
  <c r="K103"/>
  <c r="J104"/>
  <c r="K104"/>
  <c r="J105"/>
  <c r="K105"/>
  <c r="J106"/>
  <c r="K106"/>
  <c r="J107"/>
  <c r="L107" s="1"/>
  <c r="K107"/>
  <c r="J108"/>
  <c r="K108"/>
  <c r="J109"/>
  <c r="K109"/>
  <c r="J110"/>
  <c r="K110"/>
  <c r="J111"/>
  <c r="K111"/>
  <c r="J112"/>
  <c r="K112"/>
  <c r="K75"/>
  <c r="J75"/>
  <c r="B76"/>
  <c r="C76"/>
  <c r="B77"/>
  <c r="C77"/>
  <c r="B78"/>
  <c r="C78"/>
  <c r="B79"/>
  <c r="C79"/>
  <c r="B80"/>
  <c r="C80"/>
  <c r="B81"/>
  <c r="C81"/>
  <c r="B82"/>
  <c r="C82"/>
  <c r="B83"/>
  <c r="C83"/>
  <c r="B84"/>
  <c r="C84"/>
  <c r="B85"/>
  <c r="C85"/>
  <c r="B86"/>
  <c r="C86"/>
  <c r="B87"/>
  <c r="C87"/>
  <c r="B88"/>
  <c r="C88"/>
  <c r="B89"/>
  <c r="C89"/>
  <c r="B90"/>
  <c r="C90"/>
  <c r="B91"/>
  <c r="C91"/>
  <c r="B92"/>
  <c r="C92"/>
  <c r="B93"/>
  <c r="C93"/>
  <c r="B94"/>
  <c r="C94"/>
  <c r="B95"/>
  <c r="C95"/>
  <c r="C75"/>
  <c r="B75"/>
  <c r="N138" i="57"/>
  <c r="AG178"/>
  <c r="AF178"/>
  <c r="AE178"/>
  <c r="AD178"/>
  <c r="AC178"/>
  <c r="AB178"/>
  <c r="AA178"/>
  <c r="Z178"/>
  <c r="Y178"/>
  <c r="X178"/>
  <c r="W178"/>
  <c r="V178"/>
  <c r="U178"/>
  <c r="T178"/>
  <c r="AG177"/>
  <c r="AF177"/>
  <c r="AE177"/>
  <c r="AD177"/>
  <c r="AC177"/>
  <c r="AB177"/>
  <c r="AA177"/>
  <c r="Z177"/>
  <c r="Y177"/>
  <c r="X177"/>
  <c r="W177"/>
  <c r="V177"/>
  <c r="U177"/>
  <c r="T177"/>
  <c r="AG176"/>
  <c r="AF176"/>
  <c r="AE176"/>
  <c r="AD176"/>
  <c r="AC176"/>
  <c r="AB176"/>
  <c r="AA176"/>
  <c r="Z176"/>
  <c r="Y176"/>
  <c r="X176"/>
  <c r="W176"/>
  <c r="V176"/>
  <c r="U176"/>
  <c r="T176"/>
  <c r="AG175"/>
  <c r="AF175"/>
  <c r="AE175"/>
  <c r="AD175"/>
  <c r="AC175"/>
  <c r="AB175"/>
  <c r="AA175"/>
  <c r="Z175"/>
  <c r="Y175"/>
  <c r="X175"/>
  <c r="W175"/>
  <c r="V175"/>
  <c r="U175"/>
  <c r="T175"/>
  <c r="AG174"/>
  <c r="AF174"/>
  <c r="AE174"/>
  <c r="AD174"/>
  <c r="AC174"/>
  <c r="AB174"/>
  <c r="AA174"/>
  <c r="Z174"/>
  <c r="Y174"/>
  <c r="X174"/>
  <c r="W174"/>
  <c r="V174"/>
  <c r="U174"/>
  <c r="T174"/>
  <c r="AG173"/>
  <c r="AF173"/>
  <c r="AE173"/>
  <c r="AD173"/>
  <c r="AC173"/>
  <c r="AB173"/>
  <c r="AA173"/>
  <c r="Z173"/>
  <c r="Y173"/>
  <c r="X173"/>
  <c r="W173"/>
  <c r="V173"/>
  <c r="U173"/>
  <c r="T173"/>
  <c r="AG172"/>
  <c r="AF172"/>
  <c r="AE172"/>
  <c r="AD172"/>
  <c r="AC172"/>
  <c r="AB172"/>
  <c r="AA172"/>
  <c r="Z172"/>
  <c r="Y172"/>
  <c r="X172"/>
  <c r="W172"/>
  <c r="V172"/>
  <c r="U172"/>
  <c r="T172"/>
  <c r="AG171"/>
  <c r="AF171"/>
  <c r="AE171"/>
  <c r="AD171"/>
  <c r="AC171"/>
  <c r="AB171"/>
  <c r="AA171"/>
  <c r="Z171"/>
  <c r="Y171"/>
  <c r="X171"/>
  <c r="W171"/>
  <c r="V171"/>
  <c r="U171"/>
  <c r="T171"/>
  <c r="AG170"/>
  <c r="AF170"/>
  <c r="AE170"/>
  <c r="AD170"/>
  <c r="AC170"/>
  <c r="AB170"/>
  <c r="AA170"/>
  <c r="Z170"/>
  <c r="Y170"/>
  <c r="X170"/>
  <c r="W170"/>
  <c r="V170"/>
  <c r="U170"/>
  <c r="T170"/>
  <c r="AG169"/>
  <c r="AF169"/>
  <c r="AE169"/>
  <c r="AD169"/>
  <c r="AC169"/>
  <c r="AB169"/>
  <c r="AA169"/>
  <c r="Z169"/>
  <c r="Y169"/>
  <c r="X169"/>
  <c r="W169"/>
  <c r="V169"/>
  <c r="U169"/>
  <c r="T169"/>
  <c r="AG168"/>
  <c r="AF168"/>
  <c r="AE168"/>
  <c r="AD168"/>
  <c r="AC168"/>
  <c r="AB168"/>
  <c r="AA168"/>
  <c r="Z168"/>
  <c r="Y168"/>
  <c r="X168"/>
  <c r="W168"/>
  <c r="V168"/>
  <c r="U168"/>
  <c r="T168"/>
  <c r="AG167"/>
  <c r="AF167"/>
  <c r="AE167"/>
  <c r="AD167"/>
  <c r="AC167"/>
  <c r="AB167"/>
  <c r="AA167"/>
  <c r="Z167"/>
  <c r="Y167"/>
  <c r="X167"/>
  <c r="W167"/>
  <c r="V167"/>
  <c r="U167"/>
  <c r="T167"/>
  <c r="AG166"/>
  <c r="AF166"/>
  <c r="AE166"/>
  <c r="AD166"/>
  <c r="AC166"/>
  <c r="AB166"/>
  <c r="AA166"/>
  <c r="Z166"/>
  <c r="Y166"/>
  <c r="X166"/>
  <c r="W166"/>
  <c r="V166"/>
  <c r="U166"/>
  <c r="T166"/>
  <c r="AG165"/>
  <c r="AF165"/>
  <c r="AE165"/>
  <c r="AD165"/>
  <c r="AC165"/>
  <c r="AB165"/>
  <c r="AA165"/>
  <c r="Z165"/>
  <c r="Y165"/>
  <c r="X165"/>
  <c r="W165"/>
  <c r="V165"/>
  <c r="U165"/>
  <c r="T165"/>
  <c r="AG164"/>
  <c r="AF164"/>
  <c r="AE164"/>
  <c r="AD164"/>
  <c r="AC164"/>
  <c r="AB164"/>
  <c r="AA164"/>
  <c r="Z164"/>
  <c r="Y164"/>
  <c r="X164"/>
  <c r="W164"/>
  <c r="V164"/>
  <c r="U164"/>
  <c r="T164"/>
  <c r="AG163"/>
  <c r="AF163"/>
  <c r="AE163"/>
  <c r="AD163"/>
  <c r="AC163"/>
  <c r="AB163"/>
  <c r="AA163"/>
  <c r="Z163"/>
  <c r="Y163"/>
  <c r="X163"/>
  <c r="W163"/>
  <c r="V163"/>
  <c r="U163"/>
  <c r="T163"/>
  <c r="AG162"/>
  <c r="AF162"/>
  <c r="AE162"/>
  <c r="AD162"/>
  <c r="AC162"/>
  <c r="AB162"/>
  <c r="AA162"/>
  <c r="Z162"/>
  <c r="Y162"/>
  <c r="X162"/>
  <c r="W162"/>
  <c r="V162"/>
  <c r="U162"/>
  <c r="T162"/>
  <c r="AG161"/>
  <c r="AF161"/>
  <c r="AE161"/>
  <c r="AD161"/>
  <c r="AC161"/>
  <c r="AB161"/>
  <c r="AA161"/>
  <c r="Z161"/>
  <c r="Y161"/>
  <c r="X161"/>
  <c r="W161"/>
  <c r="V161"/>
  <c r="U161"/>
  <c r="T161"/>
  <c r="AG160"/>
  <c r="AF160"/>
  <c r="AE160"/>
  <c r="AD160"/>
  <c r="AC160"/>
  <c r="AB160"/>
  <c r="AA160"/>
  <c r="Z160"/>
  <c r="Y160"/>
  <c r="X160"/>
  <c r="W160"/>
  <c r="V160"/>
  <c r="U160"/>
  <c r="T160"/>
  <c r="AG159"/>
  <c r="AF159"/>
  <c r="AE159"/>
  <c r="AD159"/>
  <c r="AC159"/>
  <c r="AB159"/>
  <c r="AA159"/>
  <c r="Z159"/>
  <c r="Y159"/>
  <c r="X159"/>
  <c r="W159"/>
  <c r="V159"/>
  <c r="U159"/>
  <c r="T159"/>
  <c r="AG158"/>
  <c r="AF158"/>
  <c r="AE158"/>
  <c r="AD158"/>
  <c r="AC158"/>
  <c r="AB158"/>
  <c r="AA158"/>
  <c r="Z158"/>
  <c r="Y158"/>
  <c r="X158"/>
  <c r="W158"/>
  <c r="V158"/>
  <c r="U158"/>
  <c r="AG157"/>
  <c r="AF157"/>
  <c r="AE157"/>
  <c r="AD157"/>
  <c r="AC157"/>
  <c r="AB157"/>
  <c r="AA157"/>
  <c r="Z157"/>
  <c r="Y157"/>
  <c r="X157"/>
  <c r="W157"/>
  <c r="V157"/>
  <c r="U157"/>
  <c r="T157"/>
  <c r="AG156"/>
  <c r="AF156"/>
  <c r="AE156"/>
  <c r="AD156"/>
  <c r="AC156"/>
  <c r="AB156"/>
  <c r="AA156"/>
  <c r="Z156"/>
  <c r="Y156"/>
  <c r="X156"/>
  <c r="W156"/>
  <c r="V156"/>
  <c r="U156"/>
  <c r="T156"/>
  <c r="AG155"/>
  <c r="AF155"/>
  <c r="AE155"/>
  <c r="AD155"/>
  <c r="AC155"/>
  <c r="AB155"/>
  <c r="AA155"/>
  <c r="Z155"/>
  <c r="Y155"/>
  <c r="X155"/>
  <c r="W155"/>
  <c r="V155"/>
  <c r="U155"/>
  <c r="T155"/>
  <c r="AG154"/>
  <c r="AF154"/>
  <c r="AE154"/>
  <c r="AD154"/>
  <c r="AC154"/>
  <c r="AB154"/>
  <c r="AA154"/>
  <c r="Z154"/>
  <c r="Y154"/>
  <c r="X154"/>
  <c r="W154"/>
  <c r="V154"/>
  <c r="U154"/>
  <c r="T154"/>
  <c r="AG153"/>
  <c r="AF153"/>
  <c r="AE153"/>
  <c r="AD153"/>
  <c r="AC153"/>
  <c r="AB153"/>
  <c r="AA153"/>
  <c r="Z153"/>
  <c r="Y153"/>
  <c r="X153"/>
  <c r="W153"/>
  <c r="V153"/>
  <c r="U153"/>
  <c r="T153"/>
  <c r="AG152"/>
  <c r="AF152"/>
  <c r="AE152"/>
  <c r="AD152"/>
  <c r="AC152"/>
  <c r="AB152"/>
  <c r="AA152"/>
  <c r="Z152"/>
  <c r="Y152"/>
  <c r="X152"/>
  <c r="W152"/>
  <c r="V152"/>
  <c r="U152"/>
  <c r="T152"/>
  <c r="AG151"/>
  <c r="AF151"/>
  <c r="AE151"/>
  <c r="AD151"/>
  <c r="AC151"/>
  <c r="AB151"/>
  <c r="AA151"/>
  <c r="Z151"/>
  <c r="Y151"/>
  <c r="X151"/>
  <c r="W151"/>
  <c r="V151"/>
  <c r="U151"/>
  <c r="T151"/>
  <c r="AG150"/>
  <c r="AF150"/>
  <c r="AE150"/>
  <c r="AD150"/>
  <c r="AC150"/>
  <c r="AB150"/>
  <c r="AA150"/>
  <c r="Z150"/>
  <c r="Y150"/>
  <c r="X150"/>
  <c r="W150"/>
  <c r="V150"/>
  <c r="U150"/>
  <c r="T150"/>
  <c r="AG149"/>
  <c r="AF149"/>
  <c r="AE149"/>
  <c r="AD149"/>
  <c r="AC149"/>
  <c r="AB149"/>
  <c r="AA149"/>
  <c r="Z149"/>
  <c r="Y149"/>
  <c r="X149"/>
  <c r="W149"/>
  <c r="V149"/>
  <c r="U149"/>
  <c r="T149"/>
  <c r="AG148"/>
  <c r="AF148"/>
  <c r="AE148"/>
  <c r="AD148"/>
  <c r="AC148"/>
  <c r="AB148"/>
  <c r="AA148"/>
  <c r="Z148"/>
  <c r="Y148"/>
  <c r="X148"/>
  <c r="W148"/>
  <c r="V148"/>
  <c r="U148"/>
  <c r="T148"/>
  <c r="AG147"/>
  <c r="AF147"/>
  <c r="AE147"/>
  <c r="AD147"/>
  <c r="AC147"/>
  <c r="AB147"/>
  <c r="AA147"/>
  <c r="Z147"/>
  <c r="Y147"/>
  <c r="X147"/>
  <c r="W147"/>
  <c r="V147"/>
  <c r="U147"/>
  <c r="T147"/>
  <c r="AG146"/>
  <c r="AF146"/>
  <c r="AE146"/>
  <c r="AD146"/>
  <c r="AC146"/>
  <c r="AB146"/>
  <c r="AA146"/>
  <c r="Z146"/>
  <c r="Y146"/>
  <c r="X146"/>
  <c r="W146"/>
  <c r="V146"/>
  <c r="U146"/>
  <c r="T146"/>
  <c r="AG145"/>
  <c r="AF145"/>
  <c r="AE145"/>
  <c r="AD145"/>
  <c r="AC145"/>
  <c r="AB145"/>
  <c r="AA145"/>
  <c r="Z145"/>
  <c r="Y145"/>
  <c r="X145"/>
  <c r="W145"/>
  <c r="V145"/>
  <c r="U145"/>
  <c r="T145"/>
  <c r="AG144"/>
  <c r="AF144"/>
  <c r="AE144"/>
  <c r="AD144"/>
  <c r="AC144"/>
  <c r="AB144"/>
  <c r="AA144"/>
  <c r="Z144"/>
  <c r="Y144"/>
  <c r="X144"/>
  <c r="W144"/>
  <c r="V144"/>
  <c r="U144"/>
  <c r="T144"/>
  <c r="AG143"/>
  <c r="AF143"/>
  <c r="AE143"/>
  <c r="AD143"/>
  <c r="AC143"/>
  <c r="AB143"/>
  <c r="AA143"/>
  <c r="Z143"/>
  <c r="Y143"/>
  <c r="X143"/>
  <c r="W143"/>
  <c r="V143"/>
  <c r="U143"/>
  <c r="T143"/>
  <c r="AG142"/>
  <c r="AF142"/>
  <c r="AE142"/>
  <c r="AD142"/>
  <c r="AC142"/>
  <c r="AB142"/>
  <c r="AA142"/>
  <c r="Z142"/>
  <c r="Y142"/>
  <c r="X142"/>
  <c r="W142"/>
  <c r="V142"/>
  <c r="U142"/>
  <c r="T142"/>
  <c r="AG141"/>
  <c r="AF141"/>
  <c r="AE141"/>
  <c r="AD141"/>
  <c r="AC141"/>
  <c r="AB141"/>
  <c r="AA141"/>
  <c r="Z141"/>
  <c r="Y141"/>
  <c r="X141"/>
  <c r="W141"/>
  <c r="V141"/>
  <c r="U141"/>
  <c r="T141"/>
  <c r="AG140"/>
  <c r="AF140"/>
  <c r="AE140"/>
  <c r="AD140"/>
  <c r="AC140"/>
  <c r="AB140"/>
  <c r="AA140"/>
  <c r="Z140"/>
  <c r="Y140"/>
  <c r="X140"/>
  <c r="W140"/>
  <c r="V140"/>
  <c r="U140"/>
  <c r="T140"/>
  <c r="AF139"/>
  <c r="AE139"/>
  <c r="AD139"/>
  <c r="AC139"/>
  <c r="AB139"/>
  <c r="AA139"/>
  <c r="Z139"/>
  <c r="Y139"/>
  <c r="X139"/>
  <c r="W139"/>
  <c r="V139"/>
  <c r="U139"/>
  <c r="T139"/>
  <c r="AG138"/>
  <c r="AF138"/>
  <c r="AE138"/>
  <c r="AD138"/>
  <c r="AC138"/>
  <c r="AB138"/>
  <c r="AA138"/>
  <c r="Z138"/>
  <c r="Y138"/>
  <c r="X138"/>
  <c r="W138"/>
  <c r="V138"/>
  <c r="U138"/>
  <c r="T138"/>
  <c r="N160"/>
  <c r="M160"/>
  <c r="L160"/>
  <c r="K160"/>
  <c r="J160"/>
  <c r="I160"/>
  <c r="H160"/>
  <c r="G160"/>
  <c r="F160"/>
  <c r="E160"/>
  <c r="D160"/>
  <c r="C160"/>
  <c r="B160"/>
  <c r="N159"/>
  <c r="M159"/>
  <c r="L159"/>
  <c r="K159"/>
  <c r="J159"/>
  <c r="I159"/>
  <c r="H159"/>
  <c r="G159"/>
  <c r="F159"/>
  <c r="E159"/>
  <c r="D159"/>
  <c r="C159"/>
  <c r="B159"/>
  <c r="N158"/>
  <c r="M158"/>
  <c r="L158"/>
  <c r="K158"/>
  <c r="J158"/>
  <c r="I158"/>
  <c r="H158"/>
  <c r="G158"/>
  <c r="F158"/>
  <c r="E158"/>
  <c r="D158"/>
  <c r="C158"/>
  <c r="B158"/>
  <c r="N157"/>
  <c r="M157"/>
  <c r="L157"/>
  <c r="K157"/>
  <c r="J157"/>
  <c r="I157"/>
  <c r="H157"/>
  <c r="G157"/>
  <c r="F157"/>
  <c r="E157"/>
  <c r="D157"/>
  <c r="C157"/>
  <c r="B157"/>
  <c r="N156"/>
  <c r="M156"/>
  <c r="L156"/>
  <c r="K156"/>
  <c r="J156"/>
  <c r="I156"/>
  <c r="H156"/>
  <c r="G156"/>
  <c r="F156"/>
  <c r="E156"/>
  <c r="D156"/>
  <c r="C156"/>
  <c r="B156"/>
  <c r="N155"/>
  <c r="M155"/>
  <c r="L155"/>
  <c r="K155"/>
  <c r="J155"/>
  <c r="I155"/>
  <c r="H155"/>
  <c r="G155"/>
  <c r="F155"/>
  <c r="E155"/>
  <c r="D155"/>
  <c r="C155"/>
  <c r="B155"/>
  <c r="N154"/>
  <c r="M154"/>
  <c r="L154"/>
  <c r="K154"/>
  <c r="J154"/>
  <c r="I154"/>
  <c r="H154"/>
  <c r="G154"/>
  <c r="F154"/>
  <c r="E154"/>
  <c r="D154"/>
  <c r="C154"/>
  <c r="B154"/>
  <c r="N153"/>
  <c r="M153"/>
  <c r="L153"/>
  <c r="K153"/>
  <c r="J153"/>
  <c r="I153"/>
  <c r="H153"/>
  <c r="G153"/>
  <c r="F153"/>
  <c r="E153"/>
  <c r="D153"/>
  <c r="C153"/>
  <c r="B153"/>
  <c r="N152"/>
  <c r="M152"/>
  <c r="L152"/>
  <c r="K152"/>
  <c r="J152"/>
  <c r="I152"/>
  <c r="H152"/>
  <c r="G152"/>
  <c r="F152"/>
  <c r="E152"/>
  <c r="D152"/>
  <c r="C152"/>
  <c r="B152"/>
  <c r="N151"/>
  <c r="M151"/>
  <c r="L151"/>
  <c r="K151"/>
  <c r="J151"/>
  <c r="I151"/>
  <c r="H151"/>
  <c r="G151"/>
  <c r="F151"/>
  <c r="E151"/>
  <c r="D151"/>
  <c r="C151"/>
  <c r="B151"/>
  <c r="N150"/>
  <c r="M150"/>
  <c r="L150"/>
  <c r="K150"/>
  <c r="J150"/>
  <c r="I150"/>
  <c r="H150"/>
  <c r="G150"/>
  <c r="F150"/>
  <c r="E150"/>
  <c r="D150"/>
  <c r="C150"/>
  <c r="B150"/>
  <c r="N149"/>
  <c r="M149"/>
  <c r="L149"/>
  <c r="K149"/>
  <c r="J149"/>
  <c r="I149"/>
  <c r="H149"/>
  <c r="G149"/>
  <c r="F149"/>
  <c r="E149"/>
  <c r="D149"/>
  <c r="C149"/>
  <c r="B149"/>
  <c r="N148"/>
  <c r="M148"/>
  <c r="L148"/>
  <c r="K148"/>
  <c r="J148"/>
  <c r="I148"/>
  <c r="H148"/>
  <c r="G148"/>
  <c r="F148"/>
  <c r="E148"/>
  <c r="D148"/>
  <c r="C148"/>
  <c r="B148"/>
  <c r="N147"/>
  <c r="M147"/>
  <c r="L147"/>
  <c r="K147"/>
  <c r="J147"/>
  <c r="I147"/>
  <c r="H147"/>
  <c r="G147"/>
  <c r="F147"/>
  <c r="E147"/>
  <c r="D147"/>
  <c r="C147"/>
  <c r="B147"/>
  <c r="N146"/>
  <c r="M146"/>
  <c r="L146"/>
  <c r="K146"/>
  <c r="J146"/>
  <c r="I146"/>
  <c r="H146"/>
  <c r="G146"/>
  <c r="F146"/>
  <c r="E146"/>
  <c r="D146"/>
  <c r="C146"/>
  <c r="B146"/>
  <c r="N145"/>
  <c r="M145"/>
  <c r="L145"/>
  <c r="K145"/>
  <c r="J145"/>
  <c r="I145"/>
  <c r="H145"/>
  <c r="G145"/>
  <c r="F145"/>
  <c r="E145"/>
  <c r="D145"/>
  <c r="C145"/>
  <c r="B145"/>
  <c r="N144"/>
  <c r="M144"/>
  <c r="L144"/>
  <c r="K144"/>
  <c r="J144"/>
  <c r="I144"/>
  <c r="H144"/>
  <c r="G144"/>
  <c r="F144"/>
  <c r="E144"/>
  <c r="D144"/>
  <c r="C144"/>
  <c r="B144"/>
  <c r="N143"/>
  <c r="M143"/>
  <c r="L143"/>
  <c r="K143"/>
  <c r="J143"/>
  <c r="I143"/>
  <c r="H143"/>
  <c r="G143"/>
  <c r="F143"/>
  <c r="E143"/>
  <c r="D143"/>
  <c r="C143"/>
  <c r="B143"/>
  <c r="N142"/>
  <c r="M142"/>
  <c r="L142"/>
  <c r="K142"/>
  <c r="J142"/>
  <c r="I142"/>
  <c r="H142"/>
  <c r="G142"/>
  <c r="F142"/>
  <c r="E142"/>
  <c r="D142"/>
  <c r="C142"/>
  <c r="B142"/>
  <c r="N141"/>
  <c r="M141"/>
  <c r="L141"/>
  <c r="K141"/>
  <c r="J141"/>
  <c r="I141"/>
  <c r="H141"/>
  <c r="G141"/>
  <c r="F141"/>
  <c r="E141"/>
  <c r="D141"/>
  <c r="C141"/>
  <c r="B141"/>
  <c r="N140"/>
  <c r="M140"/>
  <c r="L140"/>
  <c r="K140"/>
  <c r="J140"/>
  <c r="I140"/>
  <c r="H140"/>
  <c r="G140"/>
  <c r="F140"/>
  <c r="E140"/>
  <c r="D140"/>
  <c r="C140"/>
  <c r="B140"/>
  <c r="N139"/>
  <c r="M139"/>
  <c r="L139"/>
  <c r="K139"/>
  <c r="J139"/>
  <c r="I139"/>
  <c r="H139"/>
  <c r="G139"/>
  <c r="F139"/>
  <c r="E139"/>
  <c r="D139"/>
  <c r="C139"/>
  <c r="B139"/>
  <c r="M138"/>
  <c r="L138"/>
  <c r="K138"/>
  <c r="J138"/>
  <c r="I138"/>
  <c r="H138"/>
  <c r="G138"/>
  <c r="F138"/>
  <c r="E138"/>
  <c r="D138"/>
  <c r="C138"/>
  <c r="B138"/>
  <c r="M5" i="56"/>
  <c r="M6"/>
  <c r="M7"/>
  <c r="M8"/>
  <c r="M9"/>
  <c r="M10"/>
  <c r="M11"/>
  <c r="M12"/>
  <c r="M13"/>
  <c r="M14"/>
  <c r="M15"/>
  <c r="M16"/>
  <c r="M17"/>
  <c r="L18"/>
  <c r="M18"/>
  <c r="L20"/>
  <c r="M20"/>
  <c r="L21"/>
  <c r="M21"/>
  <c r="L22"/>
  <c r="M22"/>
  <c r="L23"/>
  <c r="M23"/>
  <c r="L24"/>
  <c r="M24"/>
  <c r="L25"/>
  <c r="M25"/>
  <c r="L26"/>
  <c r="M26"/>
  <c r="N8" i="47"/>
  <c r="N9"/>
  <c r="N10"/>
  <c r="N11"/>
  <c r="N12"/>
  <c r="N13"/>
  <c r="N14"/>
  <c r="N15"/>
  <c r="N16"/>
  <c r="N17"/>
  <c r="N18"/>
  <c r="N19"/>
  <c r="N20"/>
  <c r="N21"/>
  <c r="N22"/>
  <c r="N23"/>
  <c r="N24"/>
  <c r="N25"/>
  <c r="N26"/>
  <c r="N7"/>
  <c r="M8"/>
  <c r="O8" s="1"/>
  <c r="M9"/>
  <c r="O9" s="1"/>
  <c r="M10"/>
  <c r="O10" s="1"/>
  <c r="M11"/>
  <c r="O11" s="1"/>
  <c r="M12"/>
  <c r="O12" s="1"/>
  <c r="M13"/>
  <c r="O13" s="1"/>
  <c r="M14"/>
  <c r="O14" s="1"/>
  <c r="M15"/>
  <c r="O15" s="1"/>
  <c r="M16"/>
  <c r="O16" s="1"/>
  <c r="M17"/>
  <c r="O17" s="1"/>
  <c r="M18"/>
  <c r="O18" s="1"/>
  <c r="M19"/>
  <c r="O19" s="1"/>
  <c r="M20"/>
  <c r="O20" s="1"/>
  <c r="M21"/>
  <c r="M22"/>
  <c r="O22" s="1"/>
  <c r="M23"/>
  <c r="O23" s="1"/>
  <c r="M24"/>
  <c r="O24" s="1"/>
  <c r="M25"/>
  <c r="O25" s="1"/>
  <c r="M26"/>
  <c r="O26" s="1"/>
  <c r="M7"/>
  <c r="O7" s="1"/>
  <c r="N197"/>
  <c r="N198"/>
  <c r="N199"/>
  <c r="N200"/>
  <c r="N201"/>
  <c r="N202"/>
  <c r="N203"/>
  <c r="N204"/>
  <c r="N205"/>
  <c r="N206"/>
  <c r="N207"/>
  <c r="N208"/>
  <c r="N209"/>
  <c r="N210"/>
  <c r="N211"/>
  <c r="N212"/>
  <c r="N213"/>
  <c r="N214"/>
  <c r="N215"/>
  <c r="N196"/>
  <c r="M196"/>
  <c r="N170"/>
  <c r="N171"/>
  <c r="N172"/>
  <c r="N173"/>
  <c r="N174"/>
  <c r="N175"/>
  <c r="N176"/>
  <c r="N177"/>
  <c r="N178"/>
  <c r="N179"/>
  <c r="N180"/>
  <c r="N181"/>
  <c r="N182"/>
  <c r="N183"/>
  <c r="N184"/>
  <c r="N185"/>
  <c r="N186"/>
  <c r="N187"/>
  <c r="N188"/>
  <c r="N169"/>
  <c r="M170"/>
  <c r="O170" s="1"/>
  <c r="M171"/>
  <c r="O171" s="1"/>
  <c r="M172"/>
  <c r="O172" s="1"/>
  <c r="M173"/>
  <c r="O173" s="1"/>
  <c r="M174"/>
  <c r="O174" s="1"/>
  <c r="M175"/>
  <c r="O175" s="1"/>
  <c r="M176"/>
  <c r="O176" s="1"/>
  <c r="M177"/>
  <c r="O177" s="1"/>
  <c r="M178"/>
  <c r="O178" s="1"/>
  <c r="M179"/>
  <c r="M180"/>
  <c r="O180" s="1"/>
  <c r="M181"/>
  <c r="M182"/>
  <c r="O182" s="1"/>
  <c r="M183"/>
  <c r="O183" s="1"/>
  <c r="M184"/>
  <c r="O184" s="1"/>
  <c r="M185"/>
  <c r="O185" s="1"/>
  <c r="M186"/>
  <c r="O186" s="1"/>
  <c r="M187"/>
  <c r="O187" s="1"/>
  <c r="M188"/>
  <c r="O188" s="1"/>
  <c r="M169"/>
  <c r="O169" s="1"/>
  <c r="N143"/>
  <c r="N144"/>
  <c r="N145"/>
  <c r="N146"/>
  <c r="N147"/>
  <c r="N148"/>
  <c r="N149"/>
  <c r="N150"/>
  <c r="N151"/>
  <c r="N152"/>
  <c r="N153"/>
  <c r="N154"/>
  <c r="N155"/>
  <c r="N156"/>
  <c r="N157"/>
  <c r="N158"/>
  <c r="N159"/>
  <c r="N160"/>
  <c r="N161"/>
  <c r="M143"/>
  <c r="M144"/>
  <c r="M145"/>
  <c r="M146"/>
  <c r="M147"/>
  <c r="M148"/>
  <c r="M149"/>
  <c r="M150"/>
  <c r="M151"/>
  <c r="M152"/>
  <c r="M153"/>
  <c r="M154"/>
  <c r="M155"/>
  <c r="M156"/>
  <c r="M157"/>
  <c r="M158"/>
  <c r="M159"/>
  <c r="M160"/>
  <c r="M161"/>
  <c r="N142"/>
  <c r="M142"/>
  <c r="N116"/>
  <c r="N117"/>
  <c r="N118"/>
  <c r="N119"/>
  <c r="N120"/>
  <c r="N121"/>
  <c r="N122"/>
  <c r="N123"/>
  <c r="N124"/>
  <c r="N125"/>
  <c r="N126"/>
  <c r="N127"/>
  <c r="N128"/>
  <c r="N129"/>
  <c r="N130"/>
  <c r="N131"/>
  <c r="N132"/>
  <c r="N133"/>
  <c r="N134"/>
  <c r="N115"/>
  <c r="M116"/>
  <c r="M117"/>
  <c r="O117" s="1"/>
  <c r="M118"/>
  <c r="M119"/>
  <c r="O119" s="1"/>
  <c r="M120"/>
  <c r="M121"/>
  <c r="O121" s="1"/>
  <c r="M122"/>
  <c r="O122" s="1"/>
  <c r="M123"/>
  <c r="O123" s="1"/>
  <c r="M124"/>
  <c r="O124" s="1"/>
  <c r="M125"/>
  <c r="O125" s="1"/>
  <c r="M126"/>
  <c r="O126" s="1"/>
  <c r="M127"/>
  <c r="O127" s="1"/>
  <c r="M128"/>
  <c r="O128" s="1"/>
  <c r="M129"/>
  <c r="O129" s="1"/>
  <c r="M130"/>
  <c r="O130" s="1"/>
  <c r="M131"/>
  <c r="O131" s="1"/>
  <c r="M132"/>
  <c r="M133"/>
  <c r="O133" s="1"/>
  <c r="M134"/>
  <c r="O134" s="1"/>
  <c r="M115"/>
  <c r="O115" s="1"/>
  <c r="M89"/>
  <c r="M90"/>
  <c r="M91"/>
  <c r="M92"/>
  <c r="M93"/>
  <c r="M94"/>
  <c r="M95"/>
  <c r="M96"/>
  <c r="M97"/>
  <c r="M98"/>
  <c r="M99"/>
  <c r="M100"/>
  <c r="M101"/>
  <c r="M102"/>
  <c r="M103"/>
  <c r="M104"/>
  <c r="M105"/>
  <c r="M106"/>
  <c r="M107"/>
  <c r="N89"/>
  <c r="N90"/>
  <c r="N91"/>
  <c r="N92"/>
  <c r="N93"/>
  <c r="N94"/>
  <c r="N95"/>
  <c r="N96"/>
  <c r="N97"/>
  <c r="N98"/>
  <c r="N99"/>
  <c r="N100"/>
  <c r="N101"/>
  <c r="N102"/>
  <c r="N103"/>
  <c r="N104"/>
  <c r="N105"/>
  <c r="N106"/>
  <c r="N107"/>
  <c r="N88"/>
  <c r="M88"/>
  <c r="N62"/>
  <c r="N63"/>
  <c r="N64"/>
  <c r="N65"/>
  <c r="N66"/>
  <c r="N67"/>
  <c r="N68"/>
  <c r="N69"/>
  <c r="N70"/>
  <c r="N71"/>
  <c r="N72"/>
  <c r="N73"/>
  <c r="N74"/>
  <c r="N75"/>
  <c r="N76"/>
  <c r="N77"/>
  <c r="N78"/>
  <c r="N79"/>
  <c r="N80"/>
  <c r="N61"/>
  <c r="M62"/>
  <c r="O62" s="1"/>
  <c r="M63"/>
  <c r="O63" s="1"/>
  <c r="M64"/>
  <c r="O64" s="1"/>
  <c r="M65"/>
  <c r="O65" s="1"/>
  <c r="M66"/>
  <c r="M67"/>
  <c r="M68"/>
  <c r="M69"/>
  <c r="M70"/>
  <c r="M71"/>
  <c r="M72"/>
  <c r="M73"/>
  <c r="M74"/>
  <c r="M75"/>
  <c r="M76"/>
  <c r="M77"/>
  <c r="M78"/>
  <c r="M79"/>
  <c r="M80"/>
  <c r="M61"/>
  <c r="N35"/>
  <c r="N36"/>
  <c r="N37"/>
  <c r="N38"/>
  <c r="N39"/>
  <c r="N40"/>
  <c r="N41"/>
  <c r="N42"/>
  <c r="N43"/>
  <c r="N44"/>
  <c r="N45"/>
  <c r="N46"/>
  <c r="N47"/>
  <c r="N48"/>
  <c r="N49"/>
  <c r="N50"/>
  <c r="N51"/>
  <c r="N52"/>
  <c r="N53"/>
  <c r="N34"/>
  <c r="M35"/>
  <c r="O35" s="1"/>
  <c r="M36"/>
  <c r="O36" s="1"/>
  <c r="M37"/>
  <c r="O37" s="1"/>
  <c r="M38"/>
  <c r="O38" s="1"/>
  <c r="M39"/>
  <c r="O39" s="1"/>
  <c r="M40"/>
  <c r="O40" s="1"/>
  <c r="M41"/>
  <c r="O41" s="1"/>
  <c r="M42"/>
  <c r="O42" s="1"/>
  <c r="M43"/>
  <c r="O43" s="1"/>
  <c r="M44"/>
  <c r="O44" s="1"/>
  <c r="M45"/>
  <c r="O45" s="1"/>
  <c r="M46"/>
  <c r="O46" s="1"/>
  <c r="M47"/>
  <c r="O47" s="1"/>
  <c r="M48"/>
  <c r="O48" s="1"/>
  <c r="M49"/>
  <c r="O49" s="1"/>
  <c r="M50"/>
  <c r="O50" s="1"/>
  <c r="M51"/>
  <c r="O51" s="1"/>
  <c r="M52"/>
  <c r="O52" s="1"/>
  <c r="M53"/>
  <c r="O53" s="1"/>
  <c r="M34"/>
  <c r="O34" s="1"/>
  <c r="J12" i="51"/>
  <c r="I12"/>
  <c r="H12"/>
  <c r="G12"/>
  <c r="F12"/>
  <c r="E12"/>
  <c r="D12"/>
  <c r="C12"/>
  <c r="B12"/>
  <c r="J11"/>
  <c r="I11"/>
  <c r="H11"/>
  <c r="G11"/>
  <c r="F11"/>
  <c r="E11"/>
  <c r="D11"/>
  <c r="C11"/>
  <c r="B11"/>
  <c r="M197" i="47"/>
  <c r="M198"/>
  <c r="M199"/>
  <c r="M200"/>
  <c r="M201"/>
  <c r="M202"/>
  <c r="M203"/>
  <c r="M204"/>
  <c r="M205"/>
  <c r="M206"/>
  <c r="M207"/>
  <c r="M208"/>
  <c r="M209"/>
  <c r="M210"/>
  <c r="M211"/>
  <c r="M212"/>
  <c r="M213"/>
  <c r="M214"/>
  <c r="M215"/>
  <c r="L197"/>
  <c r="L198"/>
  <c r="L199"/>
  <c r="L200"/>
  <c r="L201"/>
  <c r="L202"/>
  <c r="L203"/>
  <c r="L204"/>
  <c r="L205"/>
  <c r="L206"/>
  <c r="L207"/>
  <c r="L208"/>
  <c r="L209"/>
  <c r="L210"/>
  <c r="L211"/>
  <c r="L212"/>
  <c r="L213"/>
  <c r="L214"/>
  <c r="L215"/>
  <c r="L170"/>
  <c r="L171"/>
  <c r="L172"/>
  <c r="L173"/>
  <c r="L174"/>
  <c r="L175"/>
  <c r="L176"/>
  <c r="L177"/>
  <c r="L178"/>
  <c r="L179"/>
  <c r="L180"/>
  <c r="L181"/>
  <c r="L182"/>
  <c r="L183"/>
  <c r="L184"/>
  <c r="L185"/>
  <c r="L186"/>
  <c r="L187"/>
  <c r="L188"/>
  <c r="L143"/>
  <c r="L144"/>
  <c r="L145"/>
  <c r="L146"/>
  <c r="L147"/>
  <c r="L148"/>
  <c r="L149"/>
  <c r="L150"/>
  <c r="L151"/>
  <c r="L152"/>
  <c r="L153"/>
  <c r="L154"/>
  <c r="L155"/>
  <c r="L156"/>
  <c r="L157"/>
  <c r="L158"/>
  <c r="L159"/>
  <c r="L160"/>
  <c r="L161"/>
  <c r="L116"/>
  <c r="L117"/>
  <c r="L118"/>
  <c r="L119"/>
  <c r="L120"/>
  <c r="L121"/>
  <c r="L122"/>
  <c r="L123"/>
  <c r="L124"/>
  <c r="L125"/>
  <c r="L126"/>
  <c r="L127"/>
  <c r="L128"/>
  <c r="L129"/>
  <c r="L130"/>
  <c r="L131"/>
  <c r="L132"/>
  <c r="L133"/>
  <c r="L134"/>
  <c r="L89"/>
  <c r="L90"/>
  <c r="L91"/>
  <c r="L92"/>
  <c r="L93"/>
  <c r="L94"/>
  <c r="L95"/>
  <c r="L96"/>
  <c r="L97"/>
  <c r="L98"/>
  <c r="L99"/>
  <c r="L100"/>
  <c r="L101"/>
  <c r="L102"/>
  <c r="L103"/>
  <c r="L104"/>
  <c r="L105"/>
  <c r="L106"/>
  <c r="L107"/>
  <c r="L62"/>
  <c r="L63"/>
  <c r="L64"/>
  <c r="L65"/>
  <c r="L66"/>
  <c r="L67"/>
  <c r="L68"/>
  <c r="L69"/>
  <c r="L70"/>
  <c r="L71"/>
  <c r="L72"/>
  <c r="L73"/>
  <c r="L74"/>
  <c r="L75"/>
  <c r="L76"/>
  <c r="L77"/>
  <c r="L78"/>
  <c r="L79"/>
  <c r="L80"/>
  <c r="L35"/>
  <c r="L36"/>
  <c r="L37"/>
  <c r="L38"/>
  <c r="L39"/>
  <c r="L40"/>
  <c r="L41"/>
  <c r="L42"/>
  <c r="L43"/>
  <c r="L44"/>
  <c r="L45"/>
  <c r="L46"/>
  <c r="L47"/>
  <c r="L48"/>
  <c r="L49"/>
  <c r="L50"/>
  <c r="L51"/>
  <c r="L52"/>
  <c r="L53"/>
  <c r="L196"/>
  <c r="L169"/>
  <c r="L142"/>
  <c r="L115"/>
  <c r="L88"/>
  <c r="L61"/>
  <c r="L34"/>
  <c r="L8"/>
  <c r="L9"/>
  <c r="L10"/>
  <c r="L11"/>
  <c r="L12"/>
  <c r="L13"/>
  <c r="L14"/>
  <c r="L15"/>
  <c r="L16"/>
  <c r="L17"/>
  <c r="L18"/>
  <c r="L19"/>
  <c r="L20"/>
  <c r="L21"/>
  <c r="L22"/>
  <c r="L23"/>
  <c r="L24"/>
  <c r="L25"/>
  <c r="L26"/>
  <c r="L7"/>
  <c r="E33" i="44"/>
  <c r="C31"/>
  <c r="D31"/>
  <c r="E31"/>
  <c r="F31"/>
  <c r="G31"/>
  <c r="C32"/>
  <c r="D32"/>
  <c r="E32"/>
  <c r="F32"/>
  <c r="G32"/>
  <c r="C33"/>
  <c r="D33"/>
  <c r="F33"/>
  <c r="G33"/>
  <c r="C34"/>
  <c r="D34"/>
  <c r="E34"/>
  <c r="F34"/>
  <c r="G34"/>
  <c r="C35"/>
  <c r="D35"/>
  <c r="E35"/>
  <c r="F35"/>
  <c r="G35"/>
  <c r="C36"/>
  <c r="D36"/>
  <c r="E36"/>
  <c r="F36"/>
  <c r="G36"/>
  <c r="C37"/>
  <c r="D37"/>
  <c r="E37"/>
  <c r="F37"/>
  <c r="G37"/>
  <c r="C38"/>
  <c r="D38"/>
  <c r="E38"/>
  <c r="F38"/>
  <c r="G38"/>
  <c r="C39"/>
  <c r="D39"/>
  <c r="E39"/>
  <c r="F39"/>
  <c r="G39"/>
  <c r="B32"/>
  <c r="B33"/>
  <c r="B34"/>
  <c r="B35"/>
  <c r="B36"/>
  <c r="B37"/>
  <c r="B38"/>
  <c r="B39"/>
  <c r="B31"/>
  <c r="M4" i="24"/>
  <c r="M5"/>
  <c r="M10" s="1"/>
  <c r="M6"/>
  <c r="M7"/>
  <c r="M8"/>
  <c r="M9"/>
  <c r="I10"/>
  <c r="L10"/>
  <c r="C59" i="34"/>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N9" i="26"/>
  <c r="N10"/>
  <c r="N11"/>
  <c r="N12"/>
  <c r="N7"/>
  <c r="L4"/>
  <c r="L4" i="20"/>
  <c r="L5"/>
  <c r="L6"/>
  <c r="L7"/>
  <c r="L8"/>
  <c r="L9"/>
  <c r="L10"/>
  <c r="L11"/>
  <c r="L12"/>
  <c r="L13"/>
  <c r="L14"/>
  <c r="L15"/>
  <c r="L16"/>
  <c r="L17"/>
  <c r="L18"/>
  <c r="L19"/>
  <c r="L20"/>
  <c r="L21"/>
  <c r="L22"/>
  <c r="L23"/>
  <c r="L24"/>
  <c r="L25"/>
  <c r="L26"/>
  <c r="L3"/>
  <c r="N15" i="24"/>
  <c r="N16"/>
  <c r="N17"/>
  <c r="N18"/>
  <c r="N19"/>
  <c r="N20"/>
  <c r="N14"/>
  <c r="N5"/>
  <c r="N6"/>
  <c r="N7"/>
  <c r="N8"/>
  <c r="N9"/>
  <c r="N10"/>
  <c r="N4"/>
  <c r="Q31" i="38" l="1"/>
  <c r="Q14"/>
  <c r="Q23"/>
  <c r="L95" i="56"/>
  <c r="L111"/>
  <c r="L109"/>
  <c r="O67" i="47"/>
  <c r="O61"/>
  <c r="O77"/>
  <c r="O69"/>
  <c r="O212"/>
  <c r="O208"/>
  <c r="O200"/>
  <c r="O204"/>
  <c r="O207"/>
  <c r="O116"/>
  <c r="O205"/>
  <c r="O209"/>
  <c r="O158"/>
  <c r="O154"/>
  <c r="O150"/>
  <c r="O146"/>
  <c r="O96"/>
  <c r="L105" i="56"/>
  <c r="L103"/>
  <c r="L101"/>
  <c r="L99"/>
  <c r="L97"/>
  <c r="D57" i="45"/>
  <c r="D53"/>
  <c r="D49"/>
  <c r="D45"/>
  <c r="D41"/>
  <c r="D37"/>
  <c r="O213" i="47"/>
  <c r="O197"/>
  <c r="O201"/>
  <c r="O214"/>
  <c r="O198"/>
  <c r="O161"/>
  <c r="O153"/>
  <c r="O145"/>
  <c r="L104" i="56"/>
  <c r="L98"/>
  <c r="O88" i="47"/>
  <c r="O107"/>
  <c r="O99"/>
  <c r="O94"/>
  <c r="O90"/>
  <c r="N10" i="56"/>
  <c r="D95"/>
  <c r="D93"/>
  <c r="D91"/>
  <c r="D89"/>
  <c r="D87"/>
  <c r="D85"/>
  <c r="D83"/>
  <c r="D81"/>
  <c r="D79"/>
  <c r="D77"/>
  <c r="D56" i="45"/>
  <c r="D52"/>
  <c r="D48"/>
  <c r="D44"/>
  <c r="D40"/>
  <c r="D36"/>
  <c r="O148" i="57"/>
  <c r="D33" i="45"/>
  <c r="D50"/>
  <c r="D51"/>
  <c r="O196" i="47"/>
  <c r="O211"/>
  <c r="O215"/>
  <c r="O100"/>
  <c r="O92"/>
  <c r="O102"/>
  <c r="O104"/>
  <c r="O160"/>
  <c r="O156"/>
  <c r="O152"/>
  <c r="O148"/>
  <c r="O144"/>
  <c r="O151"/>
  <c r="O80"/>
  <c r="O76"/>
  <c r="O74"/>
  <c r="O71"/>
  <c r="O78"/>
  <c r="O75"/>
  <c r="O72"/>
  <c r="O68"/>
  <c r="O66"/>
  <c r="O79"/>
  <c r="O70"/>
  <c r="O73"/>
  <c r="AH166" i="57"/>
  <c r="AH163"/>
  <c r="AH167"/>
  <c r="AH173"/>
  <c r="AH176"/>
  <c r="AH165"/>
  <c r="AH157"/>
  <c r="AH155"/>
  <c r="AH141"/>
  <c r="AH142"/>
  <c r="AH143"/>
  <c r="AH145"/>
  <c r="AH147"/>
  <c r="AH149"/>
  <c r="AH150"/>
  <c r="AH151"/>
  <c r="AH153"/>
  <c r="AH139"/>
  <c r="L108" i="56"/>
  <c r="L93"/>
  <c r="L91"/>
  <c r="L89"/>
  <c r="L79"/>
  <c r="O146" i="57"/>
  <c r="O149"/>
  <c r="O153"/>
  <c r="O158"/>
  <c r="O147"/>
  <c r="O142"/>
  <c r="O145"/>
  <c r="O150"/>
  <c r="O151"/>
  <c r="O154"/>
  <c r="O156"/>
  <c r="O140"/>
  <c r="N24" i="56"/>
  <c r="N22"/>
  <c r="N9"/>
  <c r="D92"/>
  <c r="D86"/>
  <c r="D76"/>
  <c r="N25"/>
  <c r="N23"/>
  <c r="N21"/>
  <c r="N18"/>
  <c r="N16"/>
  <c r="N14"/>
  <c r="N12"/>
  <c r="N8"/>
  <c r="N6"/>
  <c r="D58" i="45"/>
  <c r="D42"/>
  <c r="D43"/>
  <c r="D34"/>
  <c r="D54"/>
  <c r="D46"/>
  <c r="D38"/>
  <c r="D35"/>
  <c r="D55"/>
  <c r="D47"/>
  <c r="D39"/>
  <c r="O206" i="47"/>
  <c r="O202"/>
  <c r="O210"/>
  <c r="O203"/>
  <c r="O199"/>
  <c r="O159"/>
  <c r="O155"/>
  <c r="O105"/>
  <c r="O139" i="57"/>
  <c r="O144"/>
  <c r="O157"/>
  <c r="O160"/>
  <c r="AH174"/>
  <c r="AH178"/>
  <c r="O138"/>
  <c r="O143"/>
  <c r="O159"/>
  <c r="AH140"/>
  <c r="AH146"/>
  <c r="AH148"/>
  <c r="AH152"/>
  <c r="O141"/>
  <c r="O152"/>
  <c r="O155"/>
  <c r="AH138"/>
  <c r="AH144"/>
  <c r="AH172"/>
  <c r="AH175"/>
  <c r="AH177"/>
  <c r="AH169"/>
  <c r="AH171"/>
  <c r="AH162"/>
  <c r="AH164"/>
  <c r="AH168"/>
  <c r="AH170"/>
  <c r="L112" i="56"/>
  <c r="L110"/>
  <c r="L106"/>
  <c r="L102"/>
  <c r="L100"/>
  <c r="L96"/>
  <c r="L94"/>
  <c r="L92"/>
  <c r="L90"/>
  <c r="L88"/>
  <c r="L80"/>
  <c r="L82"/>
  <c r="L75"/>
  <c r="L83"/>
  <c r="N26"/>
  <c r="N20"/>
  <c r="N15"/>
  <c r="N11"/>
  <c r="N7"/>
  <c r="N17"/>
  <c r="N13"/>
  <c r="N5"/>
  <c r="D75"/>
  <c r="D94"/>
  <c r="D90"/>
  <c r="D88"/>
  <c r="D84"/>
  <c r="D82"/>
  <c r="D80"/>
  <c r="D78"/>
  <c r="O179" i="47"/>
  <c r="AH161" i="57"/>
  <c r="L86" i="56"/>
  <c r="L85"/>
  <c r="L84"/>
  <c r="L81"/>
  <c r="L78"/>
  <c r="L77"/>
  <c r="L76"/>
  <c r="I46" i="38"/>
  <c r="K11" i="51"/>
  <c r="O181" i="47"/>
  <c r="AH154" i="57"/>
  <c r="AH156"/>
  <c r="AH158"/>
  <c r="AH159"/>
  <c r="AH160"/>
  <c r="K12" i="51"/>
  <c r="O142" i="47"/>
  <c r="O157"/>
  <c r="O149"/>
  <c r="O147"/>
  <c r="O143"/>
  <c r="O132"/>
  <c r="O120"/>
  <c r="O118"/>
  <c r="O89"/>
  <c r="O106"/>
  <c r="O98"/>
  <c r="O103"/>
  <c r="O101"/>
  <c r="O97"/>
  <c r="O95"/>
  <c r="O93"/>
  <c r="O91"/>
  <c r="O21"/>
  <c r="Q21" i="38"/>
  <c r="D48"/>
  <c r="D47"/>
  <c r="D44"/>
  <c r="D43"/>
  <c r="I47"/>
  <c r="D50"/>
  <c r="D46"/>
  <c r="D45"/>
  <c r="D49"/>
  <c r="I43"/>
  <c r="I45"/>
  <c r="I48"/>
  <c r="I50"/>
  <c r="I44"/>
  <c r="I49"/>
  <c r="Q33"/>
  <c r="Q29"/>
  <c r="Q30"/>
  <c r="Q27"/>
  <c r="Q4"/>
</calcChain>
</file>

<file path=xl/sharedStrings.xml><?xml version="1.0" encoding="utf-8"?>
<sst xmlns="http://schemas.openxmlformats.org/spreadsheetml/2006/main" count="2623" uniqueCount="792">
  <si>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</si>
  <si>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</si>
  <si>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</si>
  <si>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</si>
  <si>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</si>
  <si>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</si>
  <si>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</si>
  <si>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</si>
  <si>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</si>
  <si>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</si>
  <si>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</si>
  <si>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</si>
  <si>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</si>
  <si>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</si>
  <si>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Partially Pass</t>
  </si>
  <si>
    <t>Only some test cases pass</t>
  </si>
  <si>
    <t>Test Summary</t>
  </si>
  <si>
    <t>Test Data</t>
  </si>
  <si>
    <t>Test Result</t>
  </si>
  <si>
    <t>Related Defects</t>
  </si>
  <si>
    <t>Section</t>
  </si>
  <si>
    <t>% Change</t>
  </si>
  <si>
    <t>Comparison Period</t>
  </si>
  <si>
    <t>Reporting Period</t>
  </si>
  <si>
    <t>Makalu Test Procedure</t>
  </si>
  <si>
    <t>Backend Test Procedure</t>
  </si>
  <si>
    <t>Sub-Section</t>
  </si>
  <si>
    <t xml:space="preserve">Makalu Result </t>
  </si>
  <si>
    <t>Backend Result</t>
  </si>
  <si>
    <t>Result</t>
  </si>
  <si>
    <t>Testing Environment</t>
  </si>
  <si>
    <t>MSSQL 2008 R2</t>
  </si>
  <si>
    <t>SN</t>
  </si>
  <si>
    <t>% of Total</t>
  </si>
  <si>
    <t>Pharmacy Cost</t>
  </si>
  <si>
    <t>Total</t>
  </si>
  <si>
    <t>Utilization Metrics</t>
  </si>
  <si>
    <t>ER Visits</t>
  </si>
  <si>
    <t>Total Office Visits</t>
  </si>
  <si>
    <t>Chiropractic Visits</t>
  </si>
  <si>
    <t>Physical Therapy</t>
  </si>
  <si>
    <t>MRI Scan</t>
  </si>
  <si>
    <t>CT Scan</t>
  </si>
  <si>
    <t>Newborn Deliveries</t>
  </si>
  <si>
    <t>SNF Days</t>
  </si>
  <si>
    <t>Inpatient Days</t>
  </si>
  <si>
    <t>Total Admissions</t>
  </si>
  <si>
    <t>Admissions from ER</t>
  </si>
  <si>
    <t>Average Length of Stay</t>
  </si>
  <si>
    <t>Pharmacy Scripts</t>
  </si>
  <si>
    <t>Pharmacy Scripts Mail Order</t>
  </si>
  <si>
    <t>Pharmacy Scripts Brand Drugs</t>
  </si>
  <si>
    <t>Verify ER Visits</t>
  </si>
  <si>
    <t>Total Office Visits
    1) Routine Office Visits
    2) Preventive Office Visits
    3) Mental Health Office Visits</t>
  </si>
  <si>
    <t>Verify Total Office Visits</t>
  </si>
  <si>
    <t>Verify Chiropractic Visits</t>
  </si>
  <si>
    <t>Verify Physical Therapy</t>
  </si>
  <si>
    <t>Verify MRI Scan</t>
  </si>
  <si>
    <t>Verify CT Scan</t>
  </si>
  <si>
    <t>Newborn Deliveries
   1) Vaginal Delveries
   2) C-Section Deliveries</t>
  </si>
  <si>
    <t>Verify Newborn Deliveries</t>
  </si>
  <si>
    <t>Verify SNF Days</t>
  </si>
  <si>
    <t>Verify Inpatient Days</t>
  </si>
  <si>
    <t xml:space="preserve">Total Admissions
   1) Medical Admissions
   2) Surgical Admissions
   3) Maternity Admissions
   4) Mental Health Admissions
   5) Substance Abuse Admissions
</t>
  </si>
  <si>
    <t>Verify Total Admissions</t>
  </si>
  <si>
    <t>Verify Admissions from ER</t>
  </si>
  <si>
    <t>Verify Average Length of Stay</t>
  </si>
  <si>
    <t>Verify Pharmacy Scripts</t>
  </si>
  <si>
    <t>Verify Pharmacy Scripts Mail Order</t>
  </si>
  <si>
    <t>Verify Pharmacy Scripts Brand Drugs</t>
  </si>
  <si>
    <t>Metric Criteria</t>
  </si>
  <si>
    <t>Comparision Period</t>
  </si>
  <si>
    <t>per 1000</t>
  </si>
  <si>
    <t>Routine Office Visits</t>
  </si>
  <si>
    <t>Preventive Office Visits</t>
  </si>
  <si>
    <t>Mental Health Office Visits</t>
  </si>
  <si>
    <t>Vaginal Deliveries</t>
  </si>
  <si>
    <t>C-Section Deliveries</t>
  </si>
  <si>
    <t>Medical Admissions</t>
  </si>
  <si>
    <t>Surgical Admissions</t>
  </si>
  <si>
    <t>Maternity Admissions</t>
  </si>
  <si>
    <t>Mental Health Admissions</t>
  </si>
  <si>
    <t>Substance Abuse Admissions</t>
  </si>
  <si>
    <t>% in Admission</t>
  </si>
  <si>
    <t>Days</t>
  </si>
  <si>
    <t>UM Data'!A1</t>
  </si>
  <si>
    <t>Top 1%</t>
  </si>
  <si>
    <t>2-5%</t>
  </si>
  <si>
    <t>6-10%</t>
  </si>
  <si>
    <t>11-25%</t>
  </si>
  <si>
    <t>26-50%</t>
  </si>
  <si>
    <t>51-100%</t>
  </si>
  <si>
    <t>-</t>
  </si>
  <si>
    <t># of Members</t>
  </si>
  <si>
    <t>Medical Cost</t>
  </si>
  <si>
    <t>Average Cost</t>
  </si>
  <si>
    <t>% of Total Paid</t>
  </si>
  <si>
    <t>Duplicate Claims</t>
  </si>
  <si>
    <t>Inpatient Hospital</t>
  </si>
  <si>
    <t>Outpatient Hospital</t>
  </si>
  <si>
    <t>Outpatient Non Hospital</t>
  </si>
  <si>
    <t>Physician</t>
  </si>
  <si>
    <t>Primary Care Physician</t>
  </si>
  <si>
    <t>Verify Inpatient Hospital</t>
  </si>
  <si>
    <t>Verify Outpatient Hospital</t>
  </si>
  <si>
    <t>Verify Outpatient Non Hospital</t>
  </si>
  <si>
    <t>Verify Physician</t>
  </si>
  <si>
    <t>Verify Primary Care Physician</t>
  </si>
  <si>
    <t>Verify Total</t>
  </si>
  <si>
    <t>DC Data'!A1</t>
  </si>
  <si>
    <t>Claims to Same Provider for Same Date of Service - $ &gt;0</t>
  </si>
  <si>
    <t>Total Claim Paid</t>
  </si>
  <si>
    <t>% Suspect</t>
  </si>
  <si>
    <t>Number of Claims</t>
  </si>
  <si>
    <t>Amount Paid</t>
  </si>
  <si>
    <t>Place Of Service</t>
  </si>
  <si>
    <t>Total Amount Paid</t>
  </si>
  <si>
    <t>Duplicate Amount</t>
  </si>
  <si>
    <t>Number of 
Suspect Claims</t>
  </si>
  <si>
    <t>Total Number 
of Claims</t>
  </si>
  <si>
    <t>MD Data'!A1</t>
  </si>
  <si>
    <t>Membership Distribution</t>
  </si>
  <si>
    <t>Age Band</t>
  </si>
  <si>
    <t>Female</t>
  </si>
  <si>
    <t>Male</t>
  </si>
  <si>
    <t>%</t>
  </si>
  <si>
    <t>Verify Female Count</t>
  </si>
  <si>
    <t>Verify Male Count</t>
  </si>
  <si>
    <t>Verify Total Count</t>
  </si>
  <si>
    <t>Verify %</t>
  </si>
  <si>
    <t>Coverage By Reltionship</t>
  </si>
  <si>
    <t>Employee</t>
  </si>
  <si>
    <t>Spouse</t>
  </si>
  <si>
    <t>Dependents</t>
  </si>
  <si>
    <t>1) Count
2) Count %
3) Amount Paid
4) Amount Paid %</t>
  </si>
  <si>
    <t>1) Verify Count
2) Verify Count %
3) Verify Amount Paid
4) Verify Amount Paid %</t>
  </si>
  <si>
    <t>Chronic Conditions</t>
  </si>
  <si>
    <t>Chronic Condition</t>
  </si>
  <si>
    <t>#With Condition</t>
  </si>
  <si>
    <t>% of Members</t>
  </si>
  <si>
    <t>Members Per 1000</t>
  </si>
  <si>
    <t>1) Prevalance
2) Utilization</t>
  </si>
  <si>
    <t xml:space="preserve">1) Verify Chronic Condition
</t>
  </si>
  <si>
    <t xml:space="preserve">1) Verify #With Condition
</t>
  </si>
  <si>
    <t xml:space="preserve">1) Verify % of Members
</t>
  </si>
  <si>
    <t xml:space="preserve">1) VerifyMembers Per 1000
</t>
  </si>
  <si>
    <t>High Cost Members</t>
  </si>
  <si>
    <t>Member ID</t>
  </si>
  <si>
    <t>Member/
Spouse/
Dependent</t>
  </si>
  <si>
    <t>Primary Diagnosis</t>
  </si>
  <si>
    <t>Inpatient Cost</t>
  </si>
  <si>
    <t>Other Facility</t>
  </si>
  <si>
    <t>Physician Cost</t>
  </si>
  <si>
    <t>Verify Member/
Spouse/
Dependent</t>
  </si>
  <si>
    <t>Verify Member ID</t>
  </si>
  <si>
    <t>Verify Primary Diagnosis</t>
  </si>
  <si>
    <t>Verify Inpatient Cost</t>
  </si>
  <si>
    <t>Verify Other Facility</t>
  </si>
  <si>
    <t>Verify Physician Cost</t>
  </si>
  <si>
    <t>Verify Pharmacy Cost</t>
  </si>
  <si>
    <t>HCM Data'!A1</t>
  </si>
  <si>
    <t>CBR Data'!A1</t>
  </si>
  <si>
    <t>CC Data'!A1</t>
  </si>
  <si>
    <t>1) Run the query from following svn path
2)  The Backend result for both "Reporting Period" and "Comparision Period" can be seen in "CC Data" tab.</t>
  </si>
  <si>
    <t xml:space="preserve">1) Login to Makalu
2) Click "Dynamic Reports"
3) Select Default values(Basis and Period)
3) Click "Search"
4) Click "Utilization Metrics"
5)  The Makalu resultfor both "Reporting Period" and "Comparision Period" can be seen in "UM Data" tab.
</t>
  </si>
  <si>
    <t>1) Login to Makalu
2) Click "Dynamic Reports"
3) Select Default                                                                                           values(Basis and Period)
3) Click "Search"
4) Click "Duplicate Claims"
5)  The Makalu result for both "Reporting Period" and "Comparision Period" can be seen in "DC Data" tab.</t>
  </si>
  <si>
    <t>1) Login to Makalu
2) Click "Dynamic Reports"
3) Select Default                                                                                           values(Basis and Period)
3) Click "Search"
4) Click "Duplicate Claims"
5)  The Makalu result for both "Reporting Period" and "Comparision Period" can be seen in "HCM Data" tab.</t>
  </si>
  <si>
    <t>1) Login to Makalu
2) Click "Dynamic Reports"
3) Select Default                                                                                           values(Basis and Period)
3) Click "Search"
4) Click "Duplicate Claims"
5) The Makalu result for both "Reporting Period" and "Comparision Period" can be seen in "MD Data" tab.</t>
  </si>
  <si>
    <t>1) Login to Makalu
2) Click "Dynamic Reports"
3) Select Default                                                                                           values(Basis and Period)
3) Click "Search"
4) Click "Coverage By Relationship"
5)  The Makalu result for both "Reporting Period" and "Comparision Period" can be seen in "CBR Data" tab.</t>
  </si>
  <si>
    <t>1) Login to Makalu
2) Click "Dynamic Reports"
3) Select Default                                                                                           values(Basis and Period)
3) Click "Search"
4) Click "Chronic Conditions"
5)  The Makalu result for both "Reporting Period" and "Comparision Period" can be seen in "CC Data" tab.</t>
  </si>
  <si>
    <t>Record Count</t>
  </si>
  <si>
    <t>Verify Record Count</t>
  </si>
  <si>
    <t xml:space="preserve">1) Run the query from following svn path
</t>
  </si>
  <si>
    <t xml:space="preserve">1)Run the query from following svn path
</t>
  </si>
  <si>
    <t>http://www.deerwalk.com/repos/dwproject/makalu/docs/
quality_control/test_cases/data_qc/Testing_Script/UtilizationMetrics.sql</t>
  </si>
  <si>
    <t xml:space="preserve">
2)The Backend result for both "Reporting Period" and "Comparision Period" can be seen in "UM Data" tab.</t>
  </si>
  <si>
    <t>2)  The Backend result for both "Reporting Period" and "Comparision Period" can be seen in "DC Data" tab.</t>
  </si>
  <si>
    <t>http://www.deerwalk.com/repos/dwproject/makalu/docs/quality_control/test_cases/data_qc/Testing_Script/DuplicateClaims.sql</t>
  </si>
  <si>
    <t>2)  The Backend result for both "Reporting Period" and "Comparision Period" can be seen in "HCM Data" tab.</t>
  </si>
  <si>
    <t>2)  The Backend result for both "Reporting Period" and "Comparision Period" can be seen in "MD Data" tab.</t>
  </si>
  <si>
    <t>2)  The Backend result for both "Reporting Period" and "Comparision Period" can be seen in "CBR Data" tab.</t>
  </si>
  <si>
    <t>Project:</t>
  </si>
  <si>
    <t>Product:</t>
  </si>
  <si>
    <t>Task/Area/Module/Feature</t>
  </si>
  <si>
    <t>TEST CASE REVISION HISTORY</t>
  </si>
  <si>
    <t>Date</t>
  </si>
  <si>
    <t>Version</t>
  </si>
  <si>
    <t>Description</t>
  </si>
  <si>
    <t>Author/s</t>
  </si>
  <si>
    <t>Reviewer/s</t>
  </si>
  <si>
    <t xml:space="preserve">TEST EXECUTION HISTORY </t>
  </si>
  <si>
    <t>Start Date</t>
  </si>
  <si>
    <t>End Date</t>
  </si>
  <si>
    <t>Test Environment</t>
  </si>
  <si>
    <t>Tester/s</t>
  </si>
  <si>
    <t>Overall Result</t>
  </si>
  <si>
    <t>000000001226298</t>
  </si>
  <si>
    <t>000000033225238</t>
  </si>
  <si>
    <t>000000036217660</t>
  </si>
  <si>
    <t>000000039119217</t>
  </si>
  <si>
    <t>000000045130439</t>
  </si>
  <si>
    <t>000000072118413</t>
  </si>
  <si>
    <t>000000072218234</t>
  </si>
  <si>
    <t>000000075126363</t>
  </si>
  <si>
    <t>000000077120302</t>
  </si>
  <si>
    <t>000000084220903</t>
  </si>
  <si>
    <t>000000077218591</t>
  </si>
  <si>
    <t>000000118117686</t>
  </si>
  <si>
    <t>000000118219553</t>
  </si>
  <si>
    <t>000000131223524</t>
  </si>
  <si>
    <t>000000140120478</t>
  </si>
  <si>
    <t>000000146221368</t>
  </si>
  <si>
    <t>000000149118841</t>
  </si>
  <si>
    <t>000000152232986</t>
  </si>
  <si>
    <t>0000001621389342</t>
  </si>
  <si>
    <t>000000210231171</t>
  </si>
  <si>
    <t>000000220116901</t>
  </si>
  <si>
    <t>000000236123613</t>
  </si>
  <si>
    <t>000000247217838</t>
  </si>
  <si>
    <t>000000253120176</t>
  </si>
  <si>
    <t>000000274128622</t>
  </si>
  <si>
    <t>000000274139722</t>
  </si>
  <si>
    <t>000000282223839</t>
  </si>
  <si>
    <t>000000281134150</t>
  </si>
  <si>
    <t>000000300232883</t>
  </si>
  <si>
    <t>000000329120839</t>
  </si>
  <si>
    <t>000000286237190</t>
  </si>
  <si>
    <t>000000333131704</t>
  </si>
  <si>
    <t>000000333121579</t>
  </si>
  <si>
    <t>000000337136963</t>
  </si>
  <si>
    <t>000000340125028</t>
  </si>
  <si>
    <t>000000376224656</t>
  </si>
  <si>
    <t>000000400135604</t>
  </si>
  <si>
    <t>000000400236229</t>
  </si>
  <si>
    <t>000000411135457</t>
  </si>
  <si>
    <t>000000424123346</t>
  </si>
  <si>
    <t>000000426134870</t>
  </si>
  <si>
    <t>000000426238070</t>
  </si>
  <si>
    <t>000000428234431</t>
  </si>
  <si>
    <t>000000443221448</t>
  </si>
  <si>
    <t>000000465139475</t>
  </si>
  <si>
    <t>000000447135777</t>
  </si>
  <si>
    <t>000000497137097</t>
  </si>
  <si>
    <t>000000554123306</t>
  </si>
  <si>
    <t>000000481221406</t>
  </si>
  <si>
    <t>000000597239695</t>
  </si>
  <si>
    <t>000000623137200</t>
  </si>
  <si>
    <t>000000638217776</t>
  </si>
  <si>
    <t>0000006441387321</t>
  </si>
  <si>
    <t>000000623236229</t>
  </si>
  <si>
    <t>000000648220176</t>
  </si>
  <si>
    <t>000000649123273</t>
  </si>
  <si>
    <t>000000649135672</t>
  </si>
  <si>
    <t>000000682138776</t>
  </si>
  <si>
    <t>000000716130249</t>
  </si>
  <si>
    <t>000000759138868</t>
  </si>
  <si>
    <t>000000749136176</t>
  </si>
  <si>
    <t>000000769223695</t>
  </si>
  <si>
    <t>000000759228960</t>
  </si>
  <si>
    <t>000000772129835</t>
  </si>
  <si>
    <t>000000827227971</t>
  </si>
  <si>
    <t>000000821139104</t>
  </si>
  <si>
    <t>000000837138062</t>
  </si>
  <si>
    <t>000000821231444</t>
  </si>
  <si>
    <t>000000839222714</t>
  </si>
  <si>
    <t>000000850227708</t>
  </si>
  <si>
    <t>others</t>
  </si>
  <si>
    <t># With Condition</t>
  </si>
  <si>
    <t>Members per 1000</t>
  </si>
  <si>
    <t>Mental Health or Substance Abuse Admissions</t>
  </si>
  <si>
    <t>Book of Business</t>
  </si>
  <si>
    <t>Medical Claims Paid</t>
  </si>
  <si>
    <t>Verify Medical Claims Paid</t>
  </si>
  <si>
    <t xml:space="preserve">1) Login to Makalu
2) Click "Dynamic Reports"
3) Select Default values(Basis and Period)
3) Click "Search"
4)The Makalu result for both "Reporting Period" and "Comparision Period" can be seen in "SP Data" tab.
</t>
  </si>
  <si>
    <t>1)Run the query from following svn path.
http://www.deerwalk.com/repos/dwproject/makalu/docs/quality_control/test_cases/data_qc/Testing_Script/SummaryPage.sql
2)The Backend result for both "Reporting Period" and "Comparision Period" can be seen in "SP Data" tab.</t>
  </si>
  <si>
    <t>Pharmacy Claims Paid</t>
  </si>
  <si>
    <t>Verify Pharmacy Claims Paid</t>
  </si>
  <si>
    <t>Total Healthplan Claims Paid</t>
  </si>
  <si>
    <t>Verify Total Healthplan 
Claims Paid</t>
  </si>
  <si>
    <t>2)The Backend result for both "Reporting Period" and "Comparision Period" can be seen in "BB Data" tab.</t>
  </si>
  <si>
    <t>Subscribers</t>
  </si>
  <si>
    <t>Verify Subscribers</t>
  </si>
  <si>
    <t>Members</t>
  </si>
  <si>
    <t>Verify Members</t>
  </si>
  <si>
    <t>Member Months</t>
  </si>
  <si>
    <t>Verify Member Months</t>
  </si>
  <si>
    <t>Average Contract Size</t>
  </si>
  <si>
    <t>Verify Average Contract Size</t>
  </si>
  <si>
    <t>Acute Care PMPM</t>
  </si>
  <si>
    <t>Verify Acute Care PMPM</t>
  </si>
  <si>
    <t>Outpatient Facility PMPM</t>
  </si>
  <si>
    <t>Verify Outpatient Facility PMPM</t>
  </si>
  <si>
    <t>Professional PMPM</t>
  </si>
  <si>
    <t>Verify Professional PMPM</t>
  </si>
  <si>
    <t>Medical Claims PMPM</t>
  </si>
  <si>
    <t>Verify Medical Claims PMPM</t>
  </si>
  <si>
    <t>Pharmacy Claims PMPM</t>
  </si>
  <si>
    <t>Verify Pharmacy Claims PMPM</t>
  </si>
  <si>
    <t>Other PMPM</t>
  </si>
  <si>
    <t>Verify  Other PMPM</t>
  </si>
  <si>
    <t>Total Healthplan Claims PMPM</t>
  </si>
  <si>
    <t>Verify Total Healthplan Claims PMPM</t>
  </si>
  <si>
    <t>Healthplan Snapshot</t>
  </si>
  <si>
    <t>Repo Amount Diff</t>
  </si>
  <si>
    <t>Comp Amount Diff</t>
  </si>
  <si>
    <t>Top 20 Reports</t>
  </si>
  <si>
    <t>Diagnoses</t>
  </si>
  <si>
    <t>Verify Top 20 Diagnoses</t>
  </si>
  <si>
    <t>1) Login to Makalu
2) Click "Dynamic Reports"
3) Select Default values(Basis and Period)
3) Click "Search"
4) Click "Top 20 Reports"</t>
  </si>
  <si>
    <t xml:space="preserve">1) Click "Diagnoses"
2) The Makalu result for both "Reporting Period" and "Comparision Period" can be seen in "T20 Reports Data" tab.
</t>
  </si>
  <si>
    <t>Procedure Group</t>
  </si>
  <si>
    <t>Verify Top 20 Procedure Group</t>
  </si>
  <si>
    <t xml:space="preserve">1) Click "Procedure Group"
2) The Makalu result for both "Reporting Period" and "Comparision Period" can be seen in "T20 Reports Data" tab.
</t>
  </si>
  <si>
    <t>Therapeutic Classes</t>
  </si>
  <si>
    <t>Verify Top 20 Therapeutic Classes</t>
  </si>
  <si>
    <t xml:space="preserve">1) Click Therapeutic Classes"
2) The Makalu resultfor both "Reporting Period" and "Comparision Period" can be seen in "T20 Reports Data" tab.
</t>
  </si>
  <si>
    <t>2) The backend result for both "Reporting Period" and "Comparision Period" can be seen in "T20 Reports Data" tab.</t>
  </si>
  <si>
    <t>Drugs</t>
  </si>
  <si>
    <t>Verify Top 20 Drugs</t>
  </si>
  <si>
    <t xml:space="preserve">1) Click "Drugs"
2) The Makalu result for both "Reporting Period" and "Comparision Period" can be seen in "T20 Reports Data" tab.
</t>
  </si>
  <si>
    <t>Injectable Drugs</t>
  </si>
  <si>
    <t>Verify Top 20 Injectable Drugs</t>
  </si>
  <si>
    <t xml:space="preserve">1) Click "Injectable Drugs"
2) The Makalu result for both "Reporting Period" and "Comparision Period" can be seen in "T20 Reports Data" tab.
</t>
  </si>
  <si>
    <t>Provider List</t>
  </si>
  <si>
    <t>Verify Top 20 Provider List</t>
  </si>
  <si>
    <t xml:space="preserve">1) Click "Provider List"
2) The Makalu resultfor both "Reporting Period" and "Comparision Period" can be seen in "T20 Reports Data" tab.
</t>
  </si>
  <si>
    <t>Benefit codes</t>
  </si>
  <si>
    <t>Verify Top 20 Benefit codes</t>
  </si>
  <si>
    <t xml:space="preserve">1) Click "Benefit codes"
2) The Makalu result for both "Reporting Period" and "Comparision Period" can be seen in "T20 Reports Data" tab.
</t>
  </si>
  <si>
    <t>Place of service</t>
  </si>
  <si>
    <t>Verify Top 20 Place of service</t>
  </si>
  <si>
    <t xml:space="preserve">1) Click "Place of service"
2) The Makalu result for both "Reporting Period" and "Comparision Period" can be seen in "T20 Reports Data" tab.
</t>
  </si>
  <si>
    <t>Repo amount check</t>
  </si>
  <si>
    <t>Comp amount check</t>
  </si>
  <si>
    <t>Scrub Result</t>
  </si>
  <si>
    <t>TOP 20 DIAGNOSES DATA</t>
  </si>
  <si>
    <t>Top 20 Diagnoses</t>
  </si>
  <si>
    <t>Prior Period Ranking</t>
  </si>
  <si>
    <t>All Others:</t>
  </si>
  <si>
    <t>Total:</t>
  </si>
  <si>
    <t>PMPM:</t>
  </si>
  <si>
    <t>TOP 20 PROCEDURE GROUP DATA</t>
  </si>
  <si>
    <t>TOP 20 THERAPEUTIC CLASSES DATA</t>
  </si>
  <si>
    <t>Top 20 Therapeutic Classes</t>
  </si>
  <si>
    <t>TOP 20 DRUGS DATA</t>
  </si>
  <si>
    <t>Top 20 Drugs</t>
  </si>
  <si>
    <t>Generic</t>
  </si>
  <si>
    <t>Prescription Count</t>
  </si>
  <si>
    <t>TOP 20 INJECTABLE DRUGS DATA</t>
  </si>
  <si>
    <t>TOP 20 PROVIDER LIST DATA</t>
  </si>
  <si>
    <t>Top 20 Provider</t>
  </si>
  <si>
    <t>Reporting PMPM</t>
  </si>
  <si>
    <t>Comparison PMPM</t>
  </si>
  <si>
    <t>Member Count</t>
  </si>
  <si>
    <t>Member count</t>
  </si>
  <si>
    <t>TOP 20 PLACE OF SERVICE DATA</t>
  </si>
  <si>
    <t>Test Result_Check</t>
  </si>
  <si>
    <t>Age</t>
  </si>
  <si>
    <t>Inpatient PMPM</t>
  </si>
  <si>
    <t>Outpatient PMPM</t>
  </si>
  <si>
    <t>Emergency Room</t>
  </si>
  <si>
    <t>Average Family Size</t>
  </si>
  <si>
    <t>Makalu Result (Last Processing)</t>
  </si>
  <si>
    <t>Trending Analysis ( Diff of 10 % is considered for Monthly Clients )</t>
  </si>
  <si>
    <t xml:space="preserve">Basis: Paid </t>
  </si>
  <si>
    <t>Basis: Incurrred</t>
  </si>
  <si>
    <t>Makalu Result (Current Processing)</t>
  </si>
  <si>
    <t>Category</t>
  </si>
  <si>
    <t>Paid Amount</t>
  </si>
  <si>
    <t>Paid PMPM</t>
  </si>
  <si>
    <t>Allowed Amount</t>
  </si>
  <si>
    <t>Allowed PMPM</t>
  </si>
  <si>
    <t>Professional Services</t>
  </si>
  <si>
    <t>Hospital Inpatient</t>
  </si>
  <si>
    <t>Hospital Outpatient</t>
  </si>
  <si>
    <t>Pharmacy</t>
  </si>
  <si>
    <t>Lab/X-Ray</t>
  </si>
  <si>
    <t>DME</t>
  </si>
  <si>
    <t>Mental Health/Substance Abuse</t>
  </si>
  <si>
    <t>Others</t>
  </si>
  <si>
    <t>Unit</t>
  </si>
  <si>
    <t>Other</t>
  </si>
  <si>
    <t>Pharmacy Scripts Generic Drugs</t>
  </si>
  <si>
    <t>Makalu Result(Current Processing)</t>
  </si>
  <si>
    <t>Basis: Paid</t>
  </si>
  <si>
    <t>Basis: Incurred</t>
  </si>
  <si>
    <t xml:space="preserve">Top 20 Procedure Group </t>
  </si>
  <si>
    <t>TOP 20 BENEFIT CODES</t>
  </si>
  <si>
    <t>Top 20 Benefit Codes</t>
  </si>
  <si>
    <t>Top 20 POS</t>
  </si>
  <si>
    <t>Rep. amount check</t>
  </si>
  <si>
    <t>Comp. amount check</t>
  </si>
  <si>
    <t>SP_Data!A1</t>
  </si>
  <si>
    <t>Cycle Date</t>
  </si>
  <si>
    <t>DATE</t>
  </si>
  <si>
    <t>Top 20 Data'!A1</t>
  </si>
  <si>
    <t>Front End Total Member</t>
  </si>
  <si>
    <t>Backend Total Members</t>
  </si>
  <si>
    <t>1.5.5</t>
  </si>
  <si>
    <t>Trending Result</t>
  </si>
  <si>
    <t>Group Risk Score</t>
  </si>
  <si>
    <t>Total PEPM</t>
  </si>
  <si>
    <t>Rx PEPM</t>
  </si>
  <si>
    <t>Med PEPM</t>
  </si>
  <si>
    <t>Total Paid</t>
  </si>
  <si>
    <t>Rx Paid</t>
  </si>
  <si>
    <t>Med Paid</t>
  </si>
  <si>
    <t># of Subscribers</t>
  </si>
  <si>
    <t>Group</t>
  </si>
  <si>
    <t xml:space="preserve"> Result</t>
  </si>
  <si>
    <t>Metric</t>
  </si>
  <si>
    <t>% Meeting Metric</t>
  </si>
  <si>
    <t>Verify  Group Name</t>
  </si>
  <si>
    <t xml:space="preserve">1) Login to Makalu
2) Check groupwise data from dashboard.                                                                                          </t>
  </si>
  <si>
    <t>Dash_board_data</t>
  </si>
  <si>
    <t>Verify Subscribers count.</t>
  </si>
  <si>
    <t>Verify Member count.</t>
  </si>
  <si>
    <t>2) Tally  Makalu data with executed SQL result.</t>
  </si>
  <si>
    <t>Verify Med Paid amount</t>
  </si>
  <si>
    <t>Verify Rx Paid amount</t>
  </si>
  <si>
    <t>Verify Med PEPM</t>
  </si>
  <si>
    <t>Verify Rx PEPM</t>
  </si>
  <si>
    <t>Verify Total PEPM</t>
  </si>
  <si>
    <t>Verify Group Risk Score</t>
  </si>
  <si>
    <t>Dashboard</t>
  </si>
  <si>
    <t>Mgole</t>
  </si>
  <si>
    <t>Atrial Fibrillation</t>
  </si>
  <si>
    <t>Osteoarthritis</t>
  </si>
  <si>
    <t>Members by County, Age, Gender</t>
  </si>
  <si>
    <t>Makalu Result (last processing)</t>
  </si>
  <si>
    <t>Makalu Result current processing)</t>
  </si>
  <si>
    <t>Makalu Result (Scrub result)</t>
  </si>
  <si>
    <t>PCP</t>
  </si>
  <si>
    <t>Gross Dollars</t>
  </si>
  <si>
    <t>PMPM</t>
  </si>
  <si>
    <t>County</t>
  </si>
  <si>
    <t>Gender Grouping</t>
  </si>
  <si>
    <t>Amount test</t>
  </si>
  <si>
    <t>Member check</t>
  </si>
  <si>
    <t>PMPM check</t>
  </si>
  <si>
    <t>PCP Test</t>
  </si>
  <si>
    <t>PCP Cost By Type</t>
  </si>
  <si>
    <t>PCP Name</t>
  </si>
  <si>
    <t>Primary Costs</t>
  </si>
  <si>
    <t>Speciality Costs</t>
  </si>
  <si>
    <t>Hospital Costs</t>
  </si>
  <si>
    <t>Pharmacy Costs</t>
  </si>
  <si>
    <t>Outpatient Costs</t>
  </si>
  <si>
    <t>Mental Health</t>
  </si>
  <si>
    <t>Non Acute Costs</t>
  </si>
  <si>
    <t>PCP Speciality Cost</t>
  </si>
  <si>
    <t>PCP Name/ Speciality</t>
  </si>
  <si>
    <t>Family Practitioner</t>
  </si>
  <si>
    <t>General Practitioner</t>
  </si>
  <si>
    <t>OB/GYN</t>
  </si>
  <si>
    <t>Internal Medicine</t>
  </si>
  <si>
    <t>Osteopathy</t>
  </si>
  <si>
    <t>Pediatrician</t>
  </si>
  <si>
    <t>Federally Qualified Health Center</t>
  </si>
  <si>
    <t>Public Health Department</t>
  </si>
  <si>
    <t>Community Health Center</t>
  </si>
  <si>
    <t>Certified Nurse Practitioner</t>
  </si>
  <si>
    <t>Rural Health Center (RHCs)</t>
  </si>
  <si>
    <t>Unknown-Speciality</t>
  </si>
  <si>
    <t>Quarterly Health Maintenance Report</t>
  </si>
  <si>
    <t>Current Quarter</t>
  </si>
  <si>
    <t>Prior Quarter</t>
  </si>
  <si>
    <t># Enrolled Members</t>
  </si>
  <si>
    <t># Meeting Metric</t>
  </si>
  <si>
    <t>% Meeting Metric (YTD)</t>
  </si>
  <si>
    <t>http://www.deerwalk.com/repos/dwproject/makalu/docs/quality_control/test_cases/data_qc/1MASTER/Automated_Scripts/Care_Analytics/All_IN_ONE_INCURRED_1_8_0.sql</t>
  </si>
  <si>
    <t>% In Paid In-Network (Total)</t>
  </si>
  <si>
    <t>% In Paid In-Network (Professional)</t>
  </si>
  <si>
    <t>% Paid In-Network (Facility)</t>
  </si>
  <si>
    <t>% In Paid In-Network (Facility)</t>
  </si>
  <si>
    <t>Avg Lines/Claimants</t>
  </si>
  <si>
    <t>Avg Lines/claimants</t>
  </si>
  <si>
    <t>Avg Cost/claimants</t>
  </si>
  <si>
    <t>Avg Claim Cost</t>
  </si>
  <si>
    <t>ER visits/1000 covered lives</t>
  </si>
  <si>
    <t>Procedure/1000 covered lives</t>
  </si>
  <si>
    <t>Claims/1000 cov. lives</t>
  </si>
  <si>
    <t>Claims/1000 covered lives</t>
  </si>
  <si>
    <t>Avg. turnaround incurred to paid</t>
  </si>
  <si>
    <t>% of claimants to members</t>
  </si>
  <si>
    <t>Avg Lines/Members</t>
  </si>
  <si>
    <t>Avg. lines/member</t>
  </si>
  <si>
    <t>Avg. claims/member</t>
  </si>
  <si>
    <t>Total Dollars (in thousand)</t>
  </si>
  <si>
    <t>Total Dollars (in thousands)</t>
  </si>
  <si>
    <t># Claims</t>
  </si>
  <si>
    <t># Claimants</t>
  </si>
  <si>
    <t>Gender Mix (% of Female)</t>
  </si>
  <si>
    <t>Avg Family Size</t>
  </si>
  <si>
    <t># Avg Age</t>
  </si>
  <si>
    <t>Avg Age</t>
  </si>
  <si>
    <t># Members</t>
  </si>
  <si>
    <t># Employees</t>
  </si>
  <si>
    <t>Comparison Check</t>
  </si>
  <si>
    <t>Reporting Check</t>
  </si>
  <si>
    <t>Avg</t>
  </si>
  <si>
    <t>Apr</t>
  </si>
  <si>
    <t>May</t>
  </si>
  <si>
    <t>Jun</t>
  </si>
  <si>
    <t>Jul</t>
  </si>
  <si>
    <t>Aug</t>
  </si>
  <si>
    <t>Sep</t>
  </si>
  <si>
    <t>Oct</t>
  </si>
  <si>
    <t>Nov</t>
  </si>
  <si>
    <t>Dec</t>
  </si>
  <si>
    <t>Jan</t>
  </si>
  <si>
    <t>Feb</t>
  </si>
  <si>
    <t>Mar</t>
  </si>
  <si>
    <t>Actual PEPM</t>
  </si>
  <si>
    <t>Actual PMPM</t>
  </si>
  <si>
    <t>Makalu Result (Scrub Result)</t>
  </si>
  <si>
    <t># Scripts</t>
  </si>
  <si>
    <t>Employer Cost (in thousands)</t>
  </si>
  <si>
    <t>Avg. script cost</t>
  </si>
  <si>
    <t>Avg. scripts/claimant</t>
  </si>
  <si>
    <t>Avg. scripts/member</t>
  </si>
  <si>
    <t>Employer vs. Copay</t>
  </si>
  <si>
    <t>Total Copay (in thousands)</t>
  </si>
  <si>
    <t>Total Coinsurance</t>
  </si>
  <si>
    <t>Total Deductible</t>
  </si>
  <si>
    <t>Total Cost (in thousands)</t>
  </si>
  <si>
    <t>Employee %</t>
  </si>
  <si>
    <t>Employer %</t>
  </si>
  <si>
    <t>Copay Breakdown of Scripts</t>
  </si>
  <si>
    <t>$0.00 - $5.00</t>
  </si>
  <si>
    <t>$5.01 - $10.00</t>
  </si>
  <si>
    <t>$10.01 - $15.00</t>
  </si>
  <si>
    <t>$15.01 - $20.00</t>
  </si>
  <si>
    <t>$20.01 - $25.00</t>
  </si>
  <si>
    <t>$25.01 - $30.00</t>
  </si>
  <si>
    <t>$30.01+</t>
  </si>
  <si>
    <t>Generic % of dollars</t>
  </si>
  <si>
    <t>Brand % of dollars</t>
  </si>
  <si>
    <t>Generic % of Scripts</t>
  </si>
  <si>
    <t>Brand % of Scripts</t>
  </si>
  <si>
    <t>Total Cost Breakdown</t>
  </si>
  <si>
    <t>% Ingredient Cost</t>
  </si>
  <si>
    <t>% Administrative Cost</t>
  </si>
  <si>
    <t>% Tax Cost</t>
  </si>
  <si>
    <t>90 Day Supply % of dollars</t>
  </si>
  <si>
    <t>90 Day Supply % of scripts</t>
  </si>
  <si>
    <t># of Rx Claims PMPM</t>
  </si>
  <si>
    <t>Pharmacy_Periodic_Analysis</t>
  </si>
  <si>
    <t>Medical_Periodic_Analysis</t>
  </si>
  <si>
    <t>Medical Monthly Analysis</t>
  </si>
  <si>
    <t>Pharmacy Monthly Analysis</t>
  </si>
  <si>
    <t>Month_1</t>
  </si>
  <si>
    <t>Month_2</t>
  </si>
  <si>
    <t>Month_3</t>
  </si>
  <si>
    <t>Month_4</t>
  </si>
  <si>
    <t>Month_5</t>
  </si>
  <si>
    <t>Month_6</t>
  </si>
  <si>
    <t>Month_7</t>
  </si>
  <si>
    <t>Month_8</t>
  </si>
  <si>
    <t>Month_9</t>
  </si>
  <si>
    <t>Month_10</t>
  </si>
  <si>
    <t>Month_11</t>
  </si>
  <si>
    <t>Month_12</t>
  </si>
  <si>
    <t>AVG</t>
  </si>
  <si>
    <t>Trending_Analysis</t>
  </si>
  <si>
    <t>Trending report</t>
  </si>
  <si>
    <t xml:space="preserve">Perodic </t>
  </si>
  <si>
    <t xml:space="preserve">1) Count
2) Amount
</t>
  </si>
  <si>
    <t>1) Verify # Employees
Verify # Members
Verify # Avg Age
Verify Avg Family Size
Verify Gender Mix (% of Verify Female)
Verify # Claimants
Verify # Claim Lines
Verify Total Dollars (in thousand)
Verify Avg. claims/member
Verify Avg Lines/Members
Verify % of claimants to members
Verify Avg. turnaround incurred to paid
Verify Claims/1000 cov. lives
Verify E &amp; M visits/1000 covered lives
Verify Procedure/1000 covered lives
Verify Avg Claim Cost
Verify Avg Cost/claimants
Verify Avg Lines/Claimants
Verify % Paid In-Network (Facility)
Verify % In Paid In-Network (Professional)
Verify % In Paid In-Network (Total)</t>
  </si>
  <si>
    <t>1) Login to Makalu
2) Click "Care Analytics"
3) Select Default                                                                                           values(Basis and Period)
3) Click "Select"
4) Click "Trending Analysis"
5)  The Makalu trending result for monthly and perodic  can be seen in report.</t>
  </si>
  <si>
    <t xml:space="preserve">1) Run the query from  svn path
</t>
  </si>
  <si>
    <t>Periodic Analysis'!A1</t>
  </si>
  <si>
    <t>2)  The Backend result for both periodic and monthwise and  can be seen in "trending data " tab.</t>
  </si>
  <si>
    <t>Monthwise</t>
  </si>
  <si>
    <t>Dialysis Services</t>
  </si>
  <si>
    <t>Office Visit PMPM</t>
  </si>
  <si>
    <t>Coronary Artery Disease</t>
  </si>
  <si>
    <t>Active</t>
  </si>
  <si>
    <t>Medical/Surgical Complications</t>
  </si>
  <si>
    <t>Medical</t>
  </si>
  <si>
    <t>Eligibility</t>
  </si>
  <si>
    <t>Total Cost (thousands)</t>
  </si>
  <si>
    <t>$0.00-$5.00</t>
  </si>
  <si>
    <t>$5.00-$10.00</t>
  </si>
  <si>
    <t>$10.00-$15.00</t>
  </si>
  <si>
    <t>$15.01-$20.00</t>
  </si>
  <si>
    <t>$20.00-$25.00</t>
  </si>
  <si>
    <t xml:space="preserve">$25.00-$30.00 </t>
  </si>
  <si>
    <t>Generic % of Dollors</t>
  </si>
  <si>
    <t>brand % of dollor</t>
  </si>
  <si>
    <t>% Ingrediant cost</t>
  </si>
  <si>
    <t>% admin cost</t>
  </si>
  <si>
    <t>[% tax cost]</t>
  </si>
  <si>
    <t>% 90 Day Supply % of dollars</t>
  </si>
  <si>
    <t>% In Paid In-Network (Total)%</t>
  </si>
  <si>
    <t>Avg Lines/member</t>
  </si>
  <si>
    <t>Procedure/1000 cov.lines</t>
  </si>
  <si>
    <t>E &amp; M visit/1000 cov.lines</t>
  </si>
  <si>
    <t>% Paid In-Network (Professional)</t>
  </si>
  <si>
    <t>$25.00-$30.00</t>
  </si>
  <si>
    <t>Spine Disorders, Other</t>
  </si>
  <si>
    <t>Labor and Delivery Related</t>
  </si>
  <si>
    <t>Musculoskeletal Disorders, Other</t>
  </si>
  <si>
    <t>Breast Cancer</t>
  </si>
  <si>
    <t>Abdominal Disorders</t>
  </si>
  <si>
    <t>Arthropathies, Other</t>
  </si>
  <si>
    <t>Screenings</t>
  </si>
  <si>
    <t>Benign Neoplasm</t>
  </si>
  <si>
    <t>Surgery</t>
  </si>
  <si>
    <t>Office Visits</t>
  </si>
  <si>
    <t>Imaging/Radiology</t>
  </si>
  <si>
    <t>Laboratory</t>
  </si>
  <si>
    <t>Obstetrics</t>
  </si>
  <si>
    <t>Physical Medicine</t>
  </si>
  <si>
    <t>Cardiology</t>
  </si>
  <si>
    <t>Oncology</t>
  </si>
  <si>
    <t>Gastroenterology</t>
  </si>
  <si>
    <t>Anesthesia</t>
  </si>
  <si>
    <t>Inpatient Hospital Care</t>
  </si>
  <si>
    <t>Other Procedures</t>
  </si>
  <si>
    <t>Durable Medical Equipment</t>
  </si>
  <si>
    <t>Dermatology</t>
  </si>
  <si>
    <t>Pulmonary</t>
  </si>
  <si>
    <t>BLANK</t>
  </si>
  <si>
    <t>Diabetic Therapy</t>
  </si>
  <si>
    <t>Antiarthritics</t>
  </si>
  <si>
    <t>Anti-Ulcer Preps/Gastrointestinal Preps</t>
  </si>
  <si>
    <t>Bronchial Dilators</t>
  </si>
  <si>
    <t>Lipotropics</t>
  </si>
  <si>
    <t>Antineoplastics</t>
  </si>
  <si>
    <t>Other Antihypertensives</t>
  </si>
  <si>
    <t>Narcotic Analgesics</t>
  </si>
  <si>
    <t>Non-Narcotic Analgesics</t>
  </si>
  <si>
    <t>Psychostimulants-Antidepressants</t>
  </si>
  <si>
    <t>Nexium</t>
  </si>
  <si>
    <t>Lantus Solostar</t>
  </si>
  <si>
    <t>Humira</t>
  </si>
  <si>
    <t>Enbrel</t>
  </si>
  <si>
    <t>Advair Diskus</t>
  </si>
  <si>
    <t>Androgel</t>
  </si>
  <si>
    <t>Copaxone</t>
  </si>
  <si>
    <t>Crestor</t>
  </si>
  <si>
    <t>Celebrex</t>
  </si>
  <si>
    <t>Office</t>
  </si>
  <si>
    <t>Emergency Room - Hospital</t>
  </si>
  <si>
    <t>Ambulatory Surgical Center</t>
  </si>
  <si>
    <t>Home</t>
  </si>
  <si>
    <t>Urgent Care Facility</t>
  </si>
  <si>
    <t>Other Place of Service</t>
  </si>
  <si>
    <t>Independent Laboratory</t>
  </si>
  <si>
    <t>Comprehensive Outpatient Rehabilitation Facility</t>
  </si>
  <si>
    <t>End-Stage Renal Disease Treatment Facility</t>
  </si>
  <si>
    <t>Hospice</t>
  </si>
  <si>
    <t>Ambulance - Land</t>
  </si>
  <si>
    <t>Skilled Nursing Facility</t>
  </si>
  <si>
    <t>Rural Health Clinic</t>
  </si>
  <si>
    <t>Nursing Facility</t>
  </si>
  <si>
    <t>Visits</t>
  </si>
  <si>
    <t>Service</t>
  </si>
  <si>
    <t>Admits</t>
  </si>
  <si>
    <t>Cancers, Other</t>
  </si>
  <si>
    <t>Antivirals</t>
  </si>
  <si>
    <t>Ataractics-Tranquilizers</t>
  </si>
  <si>
    <t>All Other Dermatologicals</t>
  </si>
  <si>
    <t>Lumizyme</t>
  </si>
  <si>
    <t>Sovaldi</t>
  </si>
  <si>
    <t>Independent Clinic</t>
  </si>
  <si>
    <t>Inpatient Days/1,000</t>
  </si>
  <si>
    <t>Ambulance - Air or Water</t>
  </si>
  <si>
    <t>Lymphomas</t>
  </si>
  <si>
    <t>Duloxetine Hcl</t>
  </si>
  <si>
    <t>Cimzia</t>
  </si>
  <si>
    <t>A0000</t>
  </si>
  <si>
    <t>Anticoagulants</t>
  </si>
  <si>
    <t>Glucocorticoids</t>
  </si>
  <si>
    <t>Subsys</t>
  </si>
  <si>
    <t>Abilify</t>
  </si>
  <si>
    <t>HCA HEALTH SERVICES OF FLORIDA, INC.</t>
  </si>
  <si>
    <t>MANATEE MEMORIAL HOSPITAL L P</t>
  </si>
  <si>
    <t>SARASOTA MEMORIAL HOSPITAL</t>
  </si>
  <si>
    <t>LAKEWOOD RANCH MEDICAL CENTER</t>
  </si>
  <si>
    <t>FLORIDA HEALTH SCIENCES CENTER INC</t>
  </si>
  <si>
    <t>ALL CHILDREN'S HOSPITAL, INC</t>
  </si>
  <si>
    <t>MUSCULOSKELETAL AMBULATORY SURGERY CENTER, INC.</t>
  </si>
  <si>
    <t>SOUTHEASTERN REGIONAL MEDICAL CENTER, INC.</t>
  </si>
  <si>
    <t>SARASOTA DOCTORS HOSPITAL INC</t>
  </si>
  <si>
    <t>THE TOLEDO HOSPITAL</t>
  </si>
  <si>
    <t>SUSAN K STONE</t>
  </si>
  <si>
    <t>Chest Pain</t>
  </si>
  <si>
    <t>Diagnostics</t>
  </si>
  <si>
    <t>N</t>
  </si>
  <si>
    <t>Oxycontin</t>
  </si>
  <si>
    <t>Humalog</t>
  </si>
  <si>
    <t>Infliximab Injection</t>
  </si>
  <si>
    <t>Omalizumab Injection</t>
  </si>
  <si>
    <t>Palonosetron Hcl</t>
  </si>
  <si>
    <t>Daptomycin Injection</t>
  </si>
  <si>
    <t>Natalizumab Injection</t>
  </si>
  <si>
    <t>Tocilizumab Injection</t>
  </si>
  <si>
    <t>Denosumab Injection</t>
  </si>
  <si>
    <t>Gammagard Liquid Injection</t>
  </si>
  <si>
    <t>Drugs Unclassified Injection</t>
  </si>
  <si>
    <t>Gamunex Injection</t>
  </si>
  <si>
    <t>Ranibizumab Injection</t>
  </si>
  <si>
    <t>Fosaprepitant Injection</t>
  </si>
  <si>
    <t>NORTH FLORIDA REGIONAL MEDICAL CENTER, INC.</t>
  </si>
  <si>
    <t>H. LEE MOFFITT CANCER CENTER AND RESEARCH INSTITUTE HOSPITAL, INC.</t>
  </si>
  <si>
    <t>SHANDS TEACHING HOSPITAL &amp; CLINICS INC</t>
  </si>
  <si>
    <t>Public Health Clinic</t>
  </si>
  <si>
    <t>School District of Manatee County</t>
  </si>
  <si>
    <t>Alachua County BOCC</t>
  </si>
  <si>
    <t>All Others</t>
  </si>
  <si>
    <t>Inj Ivig Privigen 500 Mg</t>
  </si>
  <si>
    <t>NULL</t>
  </si>
  <si>
    <t>Operating Room</t>
  </si>
  <si>
    <t>GAINESVILLE VAMC</t>
  </si>
  <si>
    <t>Anticonvulsants</t>
  </si>
  <si>
    <t>Lyrica</t>
  </si>
  <si>
    <t>Gallbladder and Biliary Disease</t>
  </si>
  <si>
    <t>Perinatal Disorders</t>
  </si>
  <si>
    <t>Stroke</t>
  </si>
  <si>
    <t>Ambulatory Services</t>
  </si>
  <si>
    <t>Tetracyclines</t>
  </si>
  <si>
    <t>Page Total</t>
  </si>
  <si>
    <t xml:space="preserve">Copay Breakdown of Scripts </t>
  </si>
  <si>
    <t xml:space="preserve">Total Cost Breakdown </t>
  </si>
  <si>
    <t>N/A</t>
  </si>
  <si>
    <t>Y</t>
  </si>
  <si>
    <t>Plan  Analytics</t>
  </si>
  <si>
    <t>Liveborn Infants</t>
  </si>
  <si>
    <t>Immunizations</t>
  </si>
  <si>
    <t>Walk-in Retail Health Clinic</t>
  </si>
  <si>
    <t>Total Health Plan Claims Paid</t>
  </si>
  <si>
    <t>Collagenase, Clost Hist Inj</t>
  </si>
  <si>
    <t>Cancer Therapies</t>
  </si>
  <si>
    <t>Miscellaneous</t>
  </si>
  <si>
    <t>Injection, Pegfilgrastim 6Mg</t>
  </si>
  <si>
    <t>Injection,Onabotulinumtoxina</t>
  </si>
  <si>
    <t>Synvisc Or Synvisc-One</t>
  </si>
  <si>
    <t>ERIK MICHAEL SCHABERT</t>
  </si>
  <si>
    <t>Xalkori</t>
  </si>
  <si>
    <t>Urgent Care Visits</t>
  </si>
  <si>
    <t>PET</t>
  </si>
  <si>
    <t>Mammograms</t>
  </si>
  <si>
    <t>Outpatient / Ambulatory Surgeries</t>
  </si>
  <si>
    <t>NICU Days</t>
  </si>
  <si>
    <t>NICU Admissions</t>
  </si>
  <si>
    <t>Aug 2014 - Jan 2015</t>
  </si>
  <si>
    <t xml:space="preserve">Congenital Anomalies </t>
  </si>
  <si>
    <t>Intervertebral Disc Disorders</t>
  </si>
  <si>
    <t>Injection, Pertuzumab, 1 Mg</t>
  </si>
  <si>
    <t>Injection, Carfilzomib, 1 Mg</t>
  </si>
  <si>
    <t>Injection, Filgrastim (G-Csf), 1 Microgram</t>
  </si>
  <si>
    <t>Amphotericin B Liposome Inj</t>
  </si>
  <si>
    <t>Epoetin Alfa, Non-Esrd</t>
  </si>
  <si>
    <t>KOTESHWAR R TELUKUNTLA</t>
  </si>
  <si>
    <t>ANDRES WILFREDO BHATIA</t>
  </si>
  <si>
    <t>BRIAN T. BERRY</t>
  </si>
  <si>
    <t>30 Day ReAdmissions</t>
  </si>
  <si>
    <t>Lantus</t>
  </si>
  <si>
    <t>Injection, Aflibercept, 1 Mg</t>
  </si>
  <si>
    <t>Total LOA Count</t>
  </si>
  <si>
    <t>Parameters</t>
  </si>
  <si>
    <t>Value</t>
  </si>
  <si>
    <t>Front End LOA</t>
  </si>
  <si>
    <t>Back End LOA</t>
  </si>
  <si>
    <t>Level 1</t>
  </si>
  <si>
    <t>Level 2</t>
  </si>
  <si>
    <t>Level 3</t>
  </si>
  <si>
    <t>Summary</t>
  </si>
  <si>
    <t>Manully tested</t>
  </si>
  <si>
    <t>Manually tested summary page data, counts and LOA values</t>
  </si>
  <si>
    <t>Plan</t>
  </si>
  <si>
    <t>Medical and Pharmacy Claims PMPM</t>
  </si>
  <si>
    <t>TFK</t>
  </si>
  <si>
    <t>Carrier</t>
  </si>
  <si>
    <t>Location</t>
  </si>
  <si>
    <t>Division</t>
  </si>
  <si>
    <t>Employee Type</t>
  </si>
  <si>
    <t>Level 4</t>
  </si>
  <si>
    <t>Level 5</t>
  </si>
  <si>
    <t>Level 6</t>
  </si>
  <si>
    <t>Level 7</t>
  </si>
  <si>
    <t>AchyutB</t>
  </si>
  <si>
    <t>Financial Analytics/Clinical Analytics-TFK</t>
  </si>
  <si>
    <t>Plan Analytics Ver: 6.0.0</t>
  </si>
  <si>
    <t>January 01, 2012 to December 31, 2016</t>
  </si>
  <si>
    <t>https://app1.pa.uat.deerwalk.com</t>
  </si>
  <si>
    <t>stage1_tfk_app_20170130</t>
  </si>
  <si>
    <t>Office PMPM</t>
  </si>
  <si>
    <t>Medical PMPM</t>
  </si>
  <si>
    <t>Total Health Plan claims PMPM</t>
  </si>
</sst>
</file>

<file path=xl/styles.xml><?xml version="1.0" encoding="utf-8"?>
<styleSheet xmlns="http://schemas.openxmlformats.org/spreadsheetml/2006/main">
  <numFmts count="7">
    <numFmt numFmtId="6" formatCode="&quot;$&quot;#,##0_);[Red]\(&quot;$&quot;#,##0\)"/>
    <numFmt numFmtId="8" formatCode="&quot;$&quot;#,##0.00_);[Red]\(&quot;$&quot;#,##0.00\)"/>
    <numFmt numFmtId="164" formatCode="_-&quot;£&quot;* #,##0.00_-;\-&quot;£&quot;* #,##0.00_-;_-&quot;£&quot;* &quot;-&quot;??_-;_-@_-"/>
    <numFmt numFmtId="165" formatCode="[$-409]General"/>
    <numFmt numFmtId="166" formatCode="0.0"/>
    <numFmt numFmtId="167" formatCode="&quot;$&quot;#,##0.00"/>
    <numFmt numFmtId="168" formatCode="mm/dd/yyyy"/>
  </numFmts>
  <fonts count="37">
    <font>
      <sz val="11"/>
      <color theme="1"/>
      <name val="Calibri"/>
      <family val="2"/>
      <scheme val="minor"/>
    </font>
    <font>
      <sz val="10"/>
      <name val="Arial"/>
      <family val="2"/>
    </font>
    <font>
      <b/>
      <sz val="10"/>
      <name val="Arial"/>
      <family val="2"/>
    </font>
    <font>
      <sz val="11"/>
      <color indexed="8"/>
      <name val="Calibri"/>
      <family val="2"/>
    </font>
    <font>
      <sz val="10"/>
      <color indexed="8"/>
      <name val="Arial"/>
      <family val="2"/>
    </font>
    <font>
      <sz val="10"/>
      <color indexed="63"/>
      <name val="Arial"/>
      <family val="2"/>
    </font>
    <font>
      <b/>
      <sz val="10"/>
      <color indexed="8"/>
      <name val="Arial"/>
      <family val="2"/>
    </font>
    <font>
      <sz val="10"/>
      <color indexed="8"/>
      <name val="Arial"/>
      <family val="2"/>
    </font>
    <font>
      <sz val="10"/>
      <color indexed="8"/>
      <name val="Arial"/>
      <family val="2"/>
    </font>
    <font>
      <sz val="10"/>
      <color indexed="10"/>
      <name val="Arial"/>
      <family val="2"/>
    </font>
    <font>
      <sz val="10"/>
      <color indexed="50"/>
      <name val="Arial"/>
      <family val="2"/>
    </font>
    <font>
      <sz val="10"/>
      <color indexed="11"/>
      <name val="Arial"/>
      <family val="2"/>
    </font>
    <font>
      <sz val="11"/>
      <color theme="1"/>
      <name val="Calibri"/>
      <family val="2"/>
      <scheme val="minor"/>
    </font>
    <font>
      <sz val="11"/>
      <color theme="0"/>
      <name val="Calibri"/>
      <family val="2"/>
      <scheme val="minor"/>
    </font>
    <font>
      <sz val="11"/>
      <color rgb="FF000000"/>
      <name val="Calibri"/>
      <family val="2"/>
    </font>
    <font>
      <u/>
      <sz val="8.8000000000000007"/>
      <color theme="10"/>
      <name val="Calibri"/>
      <family val="2"/>
    </font>
    <font>
      <u/>
      <sz val="11"/>
      <color theme="10"/>
      <name val="Calibri"/>
      <family val="2"/>
    </font>
    <font>
      <sz val="10"/>
      <color theme="1"/>
      <name val="Calibri"/>
      <family val="2"/>
      <scheme val="minor"/>
    </font>
    <font>
      <b/>
      <sz val="11"/>
      <color theme="1"/>
      <name val="Calibri"/>
      <family val="2"/>
      <scheme val="minor"/>
    </font>
    <font>
      <b/>
      <sz val="10"/>
      <color theme="1"/>
      <name val="Arial"/>
      <family val="2"/>
    </font>
    <font>
      <sz val="10"/>
      <color theme="1"/>
      <name val="Arial"/>
      <family val="2"/>
    </font>
    <font>
      <sz val="10"/>
      <color rgb="FF000000"/>
      <name val="Arial"/>
      <family val="2"/>
    </font>
    <font>
      <b/>
      <sz val="10"/>
      <color theme="0"/>
      <name val="Arial"/>
      <family val="2"/>
    </font>
    <font>
      <sz val="10"/>
      <color theme="0"/>
      <name val="Arial"/>
      <family val="2"/>
    </font>
    <font>
      <u/>
      <sz val="10"/>
      <color theme="10"/>
      <name val="Arial"/>
      <family val="2"/>
    </font>
    <font>
      <sz val="10"/>
      <color rgb="FF333333"/>
      <name val="Arial"/>
      <family val="2"/>
    </font>
    <font>
      <sz val="10"/>
      <color rgb="FFFF0000"/>
      <name val="Arial"/>
      <family val="2"/>
    </font>
    <font>
      <sz val="8"/>
      <color rgb="FF000000"/>
      <name val="Verdana"/>
      <family val="2"/>
    </font>
    <font>
      <b/>
      <sz val="10"/>
      <color rgb="FFFF0000"/>
      <name val="Arial"/>
      <family val="2"/>
    </font>
    <font>
      <sz val="10"/>
      <color rgb="FF008000"/>
      <name val="Arial"/>
      <family val="2"/>
    </font>
    <font>
      <sz val="9"/>
      <color rgb="FF222222"/>
      <name val="Arial"/>
      <family val="2"/>
    </font>
    <font>
      <b/>
      <sz val="10"/>
      <color rgb="FF005B91"/>
      <name val="Arial"/>
      <family val="2"/>
    </font>
    <font>
      <sz val="10"/>
      <color rgb="FF005B91"/>
      <name val="Arial"/>
      <family val="2"/>
    </font>
    <font>
      <b/>
      <sz val="10"/>
      <color rgb="FF0B5188"/>
      <name val="Arial"/>
      <family val="2"/>
    </font>
    <font>
      <sz val="11"/>
      <name val="Calibri"/>
      <family val="2"/>
      <scheme val="minor"/>
    </font>
    <font>
      <sz val="10"/>
      <color theme="1" tint="0.14999847407452621"/>
      <name val="Arial"/>
      <family val="2"/>
    </font>
    <font>
      <sz val="9"/>
      <color rgb="FF000000"/>
      <name val="Arial"/>
      <family val="2"/>
    </font>
  </fonts>
  <fills count="30">
    <fill>
      <patternFill patternType="none"/>
    </fill>
    <fill>
      <patternFill patternType="gray125"/>
    </fill>
    <fill>
      <patternFill patternType="solid">
        <fgColor indexed="9"/>
        <bgColor indexed="64"/>
      </patternFill>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rgb="FFFFFF00"/>
        <bgColor rgb="FFC6D9F1"/>
      </patternFill>
    </fill>
    <fill>
      <patternFill patternType="solid">
        <fgColor theme="7" tint="0.59999389629810485"/>
        <bgColor rgb="FFC6D9F1"/>
      </patternFill>
    </fill>
    <fill>
      <patternFill patternType="solid">
        <fgColor theme="0" tint="-4.9989318521683403E-2"/>
        <bgColor rgb="FFD9D9D9"/>
      </patternFill>
    </fill>
    <fill>
      <patternFill patternType="solid">
        <fgColor theme="0" tint="-0.34998626667073579"/>
        <bgColor indexed="64"/>
      </patternFill>
    </fill>
    <fill>
      <patternFill patternType="solid">
        <fgColor theme="4" tint="0.59999389629810485"/>
        <bgColor rgb="FF808080"/>
      </patternFill>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8" tint="-0.499984740745262"/>
        <bgColor indexed="64"/>
      </patternFill>
    </fill>
    <fill>
      <patternFill patternType="solid">
        <fgColor theme="2" tint="-0.89999084444715716"/>
        <bgColor indexed="64"/>
      </patternFill>
    </fill>
    <fill>
      <patternFill patternType="solid">
        <fgColor theme="4" tint="-0.499984740745262"/>
        <bgColor indexed="64"/>
      </patternFill>
    </fill>
    <fill>
      <patternFill patternType="solid">
        <fgColor theme="3"/>
        <bgColor indexed="64"/>
      </patternFill>
    </fill>
    <fill>
      <patternFill patternType="solid">
        <fgColor theme="0"/>
        <bgColor rgb="FF808080"/>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rgb="FFF9F9F9"/>
        <bgColor indexed="64"/>
      </patternFill>
    </fill>
    <fill>
      <patternFill patternType="solid">
        <fgColor theme="1" tint="0.14999847407452621"/>
        <bgColor indexed="64"/>
      </patternFill>
    </fill>
    <fill>
      <patternFill patternType="solid">
        <fgColor theme="8" tint="0.79998168889431442"/>
        <bgColor indexed="64"/>
      </patternFill>
    </fill>
    <fill>
      <patternFill patternType="solid">
        <fgColor theme="1" tint="4.9989318521683403E-2"/>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rgb="FF1A1A1A"/>
      </left>
      <right style="thin">
        <color rgb="FF1A1A1A"/>
      </right>
      <top/>
      <bottom style="thin">
        <color rgb="FF1A1A1A"/>
      </bottom>
      <diagonal/>
    </border>
  </borders>
  <cellStyleXfs count="11">
    <xf numFmtId="0" fontId="0" fillId="0" borderId="0"/>
    <xf numFmtId="164" fontId="12" fillId="0" borderId="0" applyFont="0" applyFill="0" applyBorder="0" applyAlignment="0" applyProtection="0"/>
    <xf numFmtId="165" fontId="14" fillId="0" borderId="0" applyBorder="0" applyProtection="0"/>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 fillId="0" borderId="0"/>
    <xf numFmtId="0" fontId="12" fillId="0" borderId="0"/>
    <xf numFmtId="0" fontId="1" fillId="0" borderId="0">
      <alignment vertical="center"/>
    </xf>
    <xf numFmtId="0" fontId="1" fillId="0" borderId="0">
      <alignment vertical="center"/>
    </xf>
    <xf numFmtId="0" fontId="3" fillId="0" borderId="0"/>
    <xf numFmtId="0" fontId="17" fillId="0" borderId="0"/>
  </cellStyleXfs>
  <cellXfs count="846">
    <xf numFmtId="0" fontId="0" fillId="0" borderId="0" xfId="0"/>
    <xf numFmtId="0" fontId="19" fillId="0" borderId="0" xfId="0" applyFont="1"/>
    <xf numFmtId="0" fontId="20" fillId="0" borderId="0" xfId="0" applyFont="1"/>
    <xf numFmtId="165" fontId="21" fillId="3" borderId="1" xfId="2" applyFont="1" applyFill="1" applyBorder="1" applyAlignment="1" applyProtection="1">
      <alignment vertical="top"/>
    </xf>
    <xf numFmtId="165" fontId="21" fillId="0" borderId="1" xfId="2" applyFont="1" applyFill="1" applyBorder="1" applyAlignment="1" applyProtection="1">
      <alignment vertical="top"/>
    </xf>
    <xf numFmtId="165" fontId="21" fillId="4" borderId="1" xfId="2" applyFont="1" applyFill="1" applyBorder="1" applyAlignment="1" applyProtection="1">
      <alignment vertical="top"/>
    </xf>
    <xf numFmtId="165" fontId="21" fillId="5" borderId="1" xfId="2" applyFont="1" applyFill="1" applyBorder="1" applyAlignment="1" applyProtection="1">
      <alignment vertical="top"/>
    </xf>
    <xf numFmtId="165" fontId="21" fillId="6" borderId="1" xfId="2" applyFont="1" applyFill="1" applyBorder="1" applyAlignment="1" applyProtection="1">
      <alignment vertical="top"/>
    </xf>
    <xf numFmtId="165" fontId="21" fillId="7" borderId="1" xfId="2" applyFont="1" applyFill="1" applyBorder="1" applyAlignment="1" applyProtection="1">
      <alignment vertical="top"/>
    </xf>
    <xf numFmtId="165" fontId="21" fillId="8" borderId="1" xfId="2" applyFont="1" applyFill="1" applyBorder="1" applyAlignment="1" applyProtection="1">
      <alignment vertical="top"/>
    </xf>
    <xf numFmtId="0" fontId="20" fillId="9" borderId="1" xfId="0" applyFont="1" applyFill="1" applyBorder="1"/>
    <xf numFmtId="0" fontId="4" fillId="0" borderId="1" xfId="5" applyFont="1" applyFill="1" applyBorder="1" applyAlignment="1">
      <alignment horizontal="left" vertical="center" wrapText="1"/>
    </xf>
    <xf numFmtId="0" fontId="20" fillId="0" borderId="1" xfId="0" applyFont="1" applyBorder="1" applyAlignment="1">
      <alignment vertical="center" wrapText="1"/>
    </xf>
    <xf numFmtId="1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20" fillId="0" borderId="1" xfId="0" applyFont="1" applyBorder="1" applyAlignment="1">
      <alignment horizontal="left" vertical="top" wrapText="1"/>
    </xf>
    <xf numFmtId="0" fontId="1" fillId="0" borderId="0" xfId="0" applyFont="1" applyAlignment="1">
      <alignment vertical="top" wrapText="1"/>
    </xf>
    <xf numFmtId="0" fontId="1" fillId="0" borderId="0" xfId="0" applyFont="1"/>
    <xf numFmtId="0" fontId="20" fillId="11" borderId="1" xfId="0" applyFont="1" applyFill="1" applyBorder="1" applyAlignment="1">
      <alignment wrapText="1"/>
    </xf>
    <xf numFmtId="0" fontId="1" fillId="0" borderId="1" xfId="0" applyFont="1" applyBorder="1" applyAlignment="1">
      <alignment vertical="center"/>
    </xf>
    <xf numFmtId="0" fontId="1" fillId="0" borderId="1" xfId="0" applyFont="1" applyBorder="1"/>
    <xf numFmtId="0" fontId="20" fillId="0" borderId="1" xfId="0" applyFont="1" applyFill="1" applyBorder="1" applyAlignment="1">
      <alignment horizontal="left" vertical="center" wrapText="1"/>
    </xf>
    <xf numFmtId="0" fontId="5" fillId="0" borderId="2" xfId="0" applyFont="1" applyBorder="1" applyAlignment="1">
      <alignment vertical="top" wrapText="1"/>
    </xf>
    <xf numFmtId="16" fontId="1" fillId="0" borderId="1" xfId="0" applyNumberFormat="1" applyFont="1" applyBorder="1" applyAlignment="1">
      <alignment vertical="center"/>
    </xf>
    <xf numFmtId="0" fontId="5" fillId="0" borderId="1" xfId="0" applyFont="1" applyBorder="1" applyAlignment="1">
      <alignment vertical="top"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20"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 xfId="0" applyFont="1" applyFill="1" applyBorder="1" applyAlignment="1">
      <alignment horizontal="left" vertical="center" wrapText="1"/>
    </xf>
    <xf numFmtId="0" fontId="20" fillId="0" borderId="1" xfId="0" applyFont="1" applyBorder="1" applyAlignment="1">
      <alignment horizontal="left" vertical="center" wrapText="1"/>
    </xf>
    <xf numFmtId="0" fontId="20" fillId="0" borderId="0" xfId="0" applyFont="1" applyAlignment="1">
      <alignment horizontal="left"/>
    </xf>
    <xf numFmtId="0" fontId="20" fillId="0" borderId="0" xfId="0" applyFont="1" applyFill="1"/>
    <xf numFmtId="0" fontId="20" fillId="0" borderId="1" xfId="0" applyFont="1" applyBorder="1"/>
    <xf numFmtId="0" fontId="20" fillId="0" borderId="1" xfId="0" applyFont="1" applyBorder="1" applyAlignment="1">
      <alignment horizontal="left"/>
    </xf>
    <xf numFmtId="0" fontId="5" fillId="0" borderId="1" xfId="0" applyFont="1" applyBorder="1" applyAlignment="1">
      <alignment vertical="center" wrapText="1"/>
    </xf>
    <xf numFmtId="0" fontId="1" fillId="11" borderId="1" xfId="0" applyFont="1" applyFill="1" applyBorder="1" applyAlignment="1">
      <alignment wrapText="1"/>
    </xf>
    <xf numFmtId="10" fontId="1" fillId="11" borderId="1" xfId="0" applyNumberFormat="1" applyFont="1" applyFill="1" applyBorder="1" applyAlignment="1">
      <alignment horizontal="righ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8" fontId="1" fillId="11" borderId="1" xfId="0" applyNumberFormat="1" applyFont="1" applyFill="1" applyBorder="1" applyAlignment="1">
      <alignment horizontal="right" wrapText="1"/>
    </xf>
    <xf numFmtId="8" fontId="1" fillId="12" borderId="1" xfId="0" applyNumberFormat="1" applyFont="1" applyFill="1" applyBorder="1" applyAlignment="1">
      <alignment horizontal="right" wrapText="1"/>
    </xf>
    <xf numFmtId="0" fontId="20" fillId="0" borderId="0" xfId="0" applyFont="1" applyAlignment="1"/>
    <xf numFmtId="0" fontId="22" fillId="13"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8" fontId="20" fillId="12" borderId="1" xfId="0" applyNumberFormat="1" applyFont="1" applyFill="1" applyBorder="1" applyAlignment="1">
      <alignment horizontal="right" wrapText="1"/>
    </xf>
    <xf numFmtId="0" fontId="20" fillId="12" borderId="1" xfId="0" applyFont="1" applyFill="1" applyBorder="1" applyAlignment="1">
      <alignment horizontal="right" wrapText="1"/>
    </xf>
    <xf numFmtId="0" fontId="19" fillId="12" borderId="1" xfId="0" applyFont="1" applyFill="1" applyBorder="1" applyAlignment="1">
      <alignment horizontal="right" wrapText="1"/>
    </xf>
    <xf numFmtId="0" fontId="20" fillId="12" borderId="1" xfId="0" applyFont="1" applyFill="1" applyBorder="1"/>
    <xf numFmtId="0" fontId="20" fillId="0" borderId="0" xfId="0" applyFont="1" applyAlignment="1">
      <alignment vertical="top"/>
    </xf>
    <xf numFmtId="0" fontId="22" fillId="14" borderId="1" xfId="0" applyFont="1" applyFill="1" applyBorder="1" applyAlignment="1">
      <alignment horizontal="center" vertical="top" wrapText="1"/>
    </xf>
    <xf numFmtId="0" fontId="20" fillId="11" borderId="1" xfId="0" applyFont="1" applyFill="1" applyBorder="1" applyAlignment="1">
      <alignment vertical="top" wrapText="1"/>
    </xf>
    <xf numFmtId="0" fontId="20" fillId="0" borderId="1" xfId="0" applyFont="1" applyBorder="1" applyAlignment="1">
      <alignment vertical="top"/>
    </xf>
    <xf numFmtId="0" fontId="22" fillId="15" borderId="1" xfId="0" applyFont="1" applyFill="1" applyBorder="1" applyAlignment="1">
      <alignment horizontal="center" vertical="top" wrapText="1"/>
    </xf>
    <xf numFmtId="0" fontId="20" fillId="11" borderId="1" xfId="0" applyFont="1" applyFill="1" applyBorder="1" applyAlignment="1">
      <alignment horizontal="right" vertical="top" wrapText="1"/>
    </xf>
    <xf numFmtId="10" fontId="20" fillId="11" borderId="1" xfId="0" applyNumberFormat="1" applyFont="1" applyFill="1" applyBorder="1" applyAlignment="1">
      <alignment horizontal="right" vertical="top" wrapText="1"/>
    </xf>
    <xf numFmtId="0" fontId="20" fillId="12" borderId="1" xfId="0" applyFont="1" applyFill="1" applyBorder="1" applyAlignment="1">
      <alignment vertical="top" wrapText="1"/>
    </xf>
    <xf numFmtId="0" fontId="20" fillId="12" borderId="1" xfId="0" applyFont="1" applyFill="1" applyBorder="1" applyAlignment="1">
      <alignment horizontal="right" vertical="top" wrapText="1"/>
    </xf>
    <xf numFmtId="10" fontId="20" fillId="12" borderId="1" xfId="0" applyNumberFormat="1" applyFont="1" applyFill="1" applyBorder="1" applyAlignment="1">
      <alignment horizontal="right" vertical="top" wrapText="1"/>
    </xf>
    <xf numFmtId="0" fontId="20" fillId="11" borderId="1" xfId="0" applyFont="1" applyFill="1" applyBorder="1" applyAlignment="1">
      <alignment vertical="top"/>
    </xf>
    <xf numFmtId="0" fontId="20" fillId="12" borderId="1" xfId="0" applyFont="1" applyFill="1" applyBorder="1" applyAlignment="1">
      <alignment vertical="top"/>
    </xf>
    <xf numFmtId="0" fontId="2" fillId="0" borderId="6" xfId="0" applyFont="1" applyFill="1" applyBorder="1" applyAlignment="1">
      <alignment vertical="center" wrapText="1"/>
    </xf>
    <xf numFmtId="0" fontId="2" fillId="11" borderId="1" xfId="0" applyFont="1" applyFill="1" applyBorder="1" applyAlignment="1">
      <alignment wrapText="1"/>
    </xf>
    <xf numFmtId="8" fontId="2" fillId="11" borderId="1" xfId="0" applyNumberFormat="1" applyFont="1" applyFill="1" applyBorder="1" applyAlignment="1">
      <alignment horizontal="right" wrapText="1"/>
    </xf>
    <xf numFmtId="10" fontId="2" fillId="11" borderId="1" xfId="0" applyNumberFormat="1" applyFont="1" applyFill="1" applyBorder="1" applyAlignment="1">
      <alignment horizontal="right" wrapText="1"/>
    </xf>
    <xf numFmtId="8" fontId="19" fillId="12" borderId="1" xfId="0" applyNumberFormat="1" applyFont="1" applyFill="1" applyBorder="1" applyAlignment="1">
      <alignment horizontal="right" wrapText="1"/>
    </xf>
    <xf numFmtId="8" fontId="2" fillId="12" borderId="1" xfId="0" applyNumberFormat="1" applyFont="1" applyFill="1" applyBorder="1" applyAlignment="1">
      <alignment horizontal="right" wrapText="1"/>
    </xf>
    <xf numFmtId="0" fontId="22" fillId="16" borderId="1" xfId="0" applyFont="1" applyFill="1" applyBorder="1"/>
    <xf numFmtId="8" fontId="20" fillId="12" borderId="1" xfId="0" applyNumberFormat="1" applyFont="1" applyFill="1" applyBorder="1"/>
    <xf numFmtId="10" fontId="20" fillId="12" borderId="1" xfId="0" applyNumberFormat="1" applyFont="1" applyFill="1" applyBorder="1"/>
    <xf numFmtId="0" fontId="22" fillId="16" borderId="1" xfId="0" applyFont="1" applyFill="1" applyBorder="1" applyAlignment="1">
      <alignment wrapText="1"/>
    </xf>
    <xf numFmtId="0" fontId="22" fillId="13" borderId="1" xfId="0" applyFont="1" applyFill="1" applyBorder="1" applyAlignment="1">
      <alignment vertical="top"/>
    </xf>
    <xf numFmtId="10" fontId="20" fillId="12" borderId="1" xfId="0" applyNumberFormat="1" applyFont="1" applyFill="1" applyBorder="1" applyAlignment="1">
      <alignment vertical="top"/>
    </xf>
    <xf numFmtId="10" fontId="20" fillId="0" borderId="1" xfId="0" applyNumberFormat="1" applyFont="1" applyBorder="1" applyAlignment="1">
      <alignment vertical="top"/>
    </xf>
    <xf numFmtId="0" fontId="20" fillId="0" borderId="0" xfId="0" applyFont="1" applyBorder="1" applyAlignment="1">
      <alignment vertical="top"/>
    </xf>
    <xf numFmtId="8" fontId="20" fillId="0" borderId="1" xfId="0" applyNumberFormat="1" applyFont="1" applyBorder="1" applyAlignment="1">
      <alignment vertical="top"/>
    </xf>
    <xf numFmtId="8" fontId="20" fillId="12" borderId="1" xfId="0" applyNumberFormat="1" applyFont="1" applyFill="1" applyBorder="1" applyAlignment="1">
      <alignment vertical="top"/>
    </xf>
    <xf numFmtId="0" fontId="2" fillId="0" borderId="0" xfId="0" applyFont="1" applyFill="1" applyBorder="1" applyAlignment="1">
      <alignment vertical="top" wrapText="1"/>
    </xf>
    <xf numFmtId="0" fontId="19" fillId="0" borderId="0" xfId="0" applyFont="1" applyAlignment="1">
      <alignment vertical="top"/>
    </xf>
    <xf numFmtId="0" fontId="22" fillId="13" borderId="0" xfId="0" applyFont="1" applyFill="1" applyAlignment="1">
      <alignment vertical="top"/>
    </xf>
    <xf numFmtId="0" fontId="23" fillId="13" borderId="0" xfId="0" applyFont="1" applyFill="1" applyAlignment="1">
      <alignment vertical="top"/>
    </xf>
    <xf numFmtId="10" fontId="20" fillId="0" borderId="0" xfId="0" applyNumberFormat="1" applyFont="1" applyBorder="1" applyAlignment="1">
      <alignment vertical="top"/>
    </xf>
    <xf numFmtId="8" fontId="20" fillId="0" borderId="0" xfId="0" applyNumberFormat="1" applyFont="1" applyBorder="1" applyAlignment="1">
      <alignment vertical="top"/>
    </xf>
    <xf numFmtId="0" fontId="24" fillId="0" borderId="0" xfId="3" applyFont="1" applyAlignment="1" applyProtection="1">
      <alignment wrapText="1"/>
    </xf>
    <xf numFmtId="0" fontId="24" fillId="0" borderId="3" xfId="3" applyFont="1" applyBorder="1" applyAlignment="1" applyProtection="1">
      <alignment vertical="top" wrapText="1"/>
    </xf>
    <xf numFmtId="0" fontId="0" fillId="0" borderId="1" xfId="0" applyBorder="1"/>
    <xf numFmtId="0" fontId="22" fillId="13" borderId="1" xfId="0" applyFont="1" applyFill="1" applyBorder="1" applyAlignment="1">
      <alignment horizontal="center" vertical="center"/>
    </xf>
    <xf numFmtId="0" fontId="4" fillId="2" borderId="0" xfId="0" applyFont="1" applyFill="1" applyBorder="1" applyAlignment="1" applyProtection="1">
      <alignment horizontal="right" wrapText="1"/>
    </xf>
    <xf numFmtId="0" fontId="22" fillId="16" borderId="1" xfId="0" applyFont="1" applyFill="1" applyBorder="1" applyAlignment="1"/>
    <xf numFmtId="3" fontId="2" fillId="11" borderId="1" xfId="0" applyNumberFormat="1" applyFont="1" applyFill="1" applyBorder="1" applyAlignment="1">
      <alignment horizontal="right" wrapText="1"/>
    </xf>
    <xf numFmtId="8" fontId="1" fillId="0" borderId="1" xfId="0" applyNumberFormat="1" applyFont="1" applyFill="1" applyBorder="1" applyAlignment="1">
      <alignment horizontal="right" wrapText="1"/>
    </xf>
    <xf numFmtId="8" fontId="4" fillId="2" borderId="1" xfId="0" applyNumberFormat="1" applyFont="1" applyFill="1" applyBorder="1" applyAlignment="1" applyProtection="1">
      <alignment wrapText="1"/>
    </xf>
    <xf numFmtId="0" fontId="4" fillId="2" borderId="7" xfId="0" applyFont="1" applyFill="1" applyBorder="1" applyAlignment="1" applyProtection="1">
      <alignment wrapText="1"/>
    </xf>
    <xf numFmtId="0" fontId="4" fillId="2" borderId="0" xfId="0" applyFont="1" applyFill="1" applyBorder="1" applyAlignment="1" applyProtection="1">
      <alignment horizontal="left" wrapText="1"/>
    </xf>
    <xf numFmtId="0" fontId="22" fillId="17" borderId="1" xfId="0" applyFont="1" applyFill="1" applyBorder="1" applyAlignment="1">
      <alignment vertical="top" wrapText="1"/>
    </xf>
    <xf numFmtId="0" fontId="22" fillId="17" borderId="1" xfId="0" applyFont="1" applyFill="1" applyBorder="1" applyAlignment="1">
      <alignment vertical="top"/>
    </xf>
    <xf numFmtId="0" fontId="4" fillId="2" borderId="1" xfId="0" applyFont="1" applyFill="1" applyBorder="1" applyAlignment="1" applyProtection="1">
      <alignment horizontal="right" wrapText="1"/>
    </xf>
    <xf numFmtId="0" fontId="20" fillId="0" borderId="0" xfId="0" applyFont="1" applyAlignment="1">
      <alignment horizontal="right"/>
    </xf>
    <xf numFmtId="10" fontId="4" fillId="2" borderId="1" xfId="0" applyNumberFormat="1" applyFont="1" applyFill="1" applyBorder="1" applyAlignment="1" applyProtection="1">
      <alignment horizontal="right" wrapText="1"/>
    </xf>
    <xf numFmtId="0" fontId="23" fillId="13" borderId="0" xfId="0" applyFont="1" applyFill="1" applyAlignment="1">
      <alignment horizontal="right"/>
    </xf>
    <xf numFmtId="0" fontId="20" fillId="0" borderId="1" xfId="0" applyFont="1" applyBorder="1" applyAlignment="1">
      <alignment horizontal="right"/>
    </xf>
    <xf numFmtId="40" fontId="2" fillId="0" borderId="1" xfId="0" applyNumberFormat="1" applyFont="1" applyFill="1" applyBorder="1" applyAlignment="1">
      <alignment horizontal="center" vertical="center" wrapText="1"/>
    </xf>
    <xf numFmtId="10" fontId="1" fillId="0" borderId="1" xfId="0" applyNumberFormat="1" applyFont="1" applyFill="1" applyBorder="1" applyAlignment="1">
      <alignment horizontal="right" wrapText="1"/>
    </xf>
    <xf numFmtId="0" fontId="2" fillId="18" borderId="16" xfId="0" applyFont="1" applyFill="1" applyBorder="1" applyAlignment="1">
      <alignment horizontal="left" vertical="center" wrapText="1"/>
    </xf>
    <xf numFmtId="0" fontId="20" fillId="11" borderId="17" xfId="0" applyFont="1" applyFill="1" applyBorder="1" applyAlignment="1">
      <alignment horizontal="left" vertical="center" wrapText="1"/>
    </xf>
    <xf numFmtId="0" fontId="20" fillId="11" borderId="0" xfId="0" applyFont="1" applyFill="1" applyAlignment="1">
      <alignment horizontal="left" vertical="center" wrapText="1"/>
    </xf>
    <xf numFmtId="0" fontId="20" fillId="11" borderId="18" xfId="0" applyFont="1" applyFill="1" applyBorder="1" applyAlignment="1">
      <alignment horizontal="left" vertical="center" wrapText="1"/>
    </xf>
    <xf numFmtId="0" fontId="20" fillId="11" borderId="0" xfId="0" applyFont="1" applyFill="1" applyAlignment="1">
      <alignment vertical="center" wrapText="1"/>
    </xf>
    <xf numFmtId="14" fontId="25" fillId="11" borderId="16" xfId="0" applyNumberFormat="1" applyFont="1" applyFill="1" applyBorder="1" applyAlignment="1">
      <alignment horizontal="left" vertical="center" wrapText="1"/>
    </xf>
    <xf numFmtId="49" fontId="1" fillId="11" borderId="1" xfId="0" applyNumberFormat="1" applyFont="1" applyFill="1" applyBorder="1" applyAlignment="1">
      <alignment horizontal="center" vertical="center" wrapText="1"/>
    </xf>
    <xf numFmtId="0" fontId="1" fillId="11" borderId="1" xfId="0" applyFont="1" applyFill="1" applyBorder="1" applyAlignment="1">
      <alignment vertical="center" wrapText="1"/>
    </xf>
    <xf numFmtId="0" fontId="1" fillId="11" borderId="1" xfId="0" applyFont="1" applyFill="1" applyBorder="1" applyAlignment="1">
      <alignment horizontal="left" vertical="center" wrapText="1"/>
    </xf>
    <xf numFmtId="0" fontId="20" fillId="11" borderId="1" xfId="0" applyFont="1" applyFill="1" applyBorder="1" applyAlignment="1">
      <alignment vertical="center" wrapText="1"/>
    </xf>
    <xf numFmtId="14" fontId="20" fillId="11" borderId="1" xfId="0" applyNumberFormat="1" applyFont="1" applyFill="1" applyBorder="1" applyAlignment="1">
      <alignment horizontal="left" vertical="center" wrapText="1"/>
    </xf>
    <xf numFmtId="0" fontId="4" fillId="11" borderId="1" xfId="5" applyFont="1" applyFill="1" applyBorder="1" applyAlignment="1">
      <alignment horizontal="left" vertical="center" wrapText="1"/>
    </xf>
    <xf numFmtId="8" fontId="4" fillId="2" borderId="8" xfId="0" applyNumberFormat="1" applyFont="1" applyFill="1" applyBorder="1" applyAlignment="1" applyProtection="1">
      <alignment horizontal="right" wrapText="1"/>
    </xf>
    <xf numFmtId="10" fontId="4" fillId="2" borderId="1" xfId="0" applyNumberFormat="1" applyFont="1" applyFill="1" applyBorder="1" applyAlignment="1" applyProtection="1">
      <alignment wrapText="1"/>
    </xf>
    <xf numFmtId="0" fontId="7" fillId="2" borderId="1" xfId="0" applyFont="1" applyFill="1" applyBorder="1" applyAlignment="1" applyProtection="1">
      <alignment horizontal="center" wrapText="1"/>
    </xf>
    <xf numFmtId="0" fontId="19" fillId="0" borderId="1" xfId="0" applyFont="1" applyBorder="1"/>
    <xf numFmtId="0" fontId="6" fillId="2" borderId="1" xfId="0" applyFont="1" applyFill="1" applyBorder="1" applyAlignment="1" applyProtection="1">
      <alignment horizontal="center" wrapText="1"/>
    </xf>
    <xf numFmtId="0" fontId="6" fillId="2" borderId="0" xfId="0" applyFont="1" applyFill="1" applyBorder="1" applyAlignment="1" applyProtection="1">
      <alignment horizontal="right" wrapText="1"/>
    </xf>
    <xf numFmtId="0" fontId="19" fillId="12" borderId="1" xfId="0" applyFont="1" applyFill="1" applyBorder="1"/>
    <xf numFmtId="8" fontId="19" fillId="12" borderId="1" xfId="0" applyNumberFormat="1" applyFont="1" applyFill="1" applyBorder="1"/>
    <xf numFmtId="10" fontId="19" fillId="12" borderId="1" xfId="0" applyNumberFormat="1" applyFont="1" applyFill="1" applyBorder="1"/>
    <xf numFmtId="0" fontId="4" fillId="0" borderId="1" xfId="0" applyFont="1" applyFill="1" applyBorder="1" applyAlignment="1" applyProtection="1">
      <alignment horizontal="left" wrapText="1"/>
    </xf>
    <xf numFmtId="49" fontId="0" fillId="0" borderId="1" xfId="0" applyNumberFormat="1" applyBorder="1"/>
    <xf numFmtId="0" fontId="4" fillId="19" borderId="1" xfId="0" applyFont="1" applyFill="1" applyBorder="1" applyAlignment="1" applyProtection="1">
      <alignment horizontal="left" wrapText="1"/>
    </xf>
    <xf numFmtId="49" fontId="0" fillId="20" borderId="1" xfId="0" applyNumberFormat="1" applyFill="1" applyBorder="1"/>
    <xf numFmtId="49" fontId="0" fillId="19" borderId="1" xfId="0" applyNumberFormat="1" applyFill="1" applyBorder="1"/>
    <xf numFmtId="0" fontId="1" fillId="19" borderId="1" xfId="0" applyFont="1" applyFill="1" applyBorder="1" applyAlignment="1" applyProtection="1">
      <alignment horizontal="left" wrapText="1"/>
    </xf>
    <xf numFmtId="0" fontId="26" fillId="0" borderId="1" xfId="0" applyFont="1" applyFill="1" applyBorder="1" applyAlignment="1" applyProtection="1">
      <alignment horizontal="left" wrapText="1"/>
    </xf>
    <xf numFmtId="49" fontId="0" fillId="0" borderId="1" xfId="0" applyNumberFormat="1" applyFill="1" applyBorder="1"/>
    <xf numFmtId="0" fontId="26" fillId="19" borderId="1" xfId="0" applyFont="1" applyFill="1" applyBorder="1" applyAlignment="1" applyProtection="1">
      <alignment horizontal="left" wrapText="1"/>
    </xf>
    <xf numFmtId="0" fontId="4" fillId="2" borderId="9" xfId="0" applyFont="1" applyFill="1" applyBorder="1" applyAlignment="1" applyProtection="1">
      <alignment horizontal="center" vertical="center" wrapText="1"/>
    </xf>
    <xf numFmtId="0" fontId="20" fillId="0" borderId="9" xfId="0" applyFont="1" applyBorder="1" applyAlignment="1">
      <alignment vertical="top"/>
    </xf>
    <xf numFmtId="8" fontId="20" fillId="0" borderId="0" xfId="0" applyNumberFormat="1" applyFont="1"/>
    <xf numFmtId="0" fontId="7" fillId="2" borderId="9" xfId="0" applyFont="1" applyFill="1" applyBorder="1" applyAlignment="1" applyProtection="1">
      <alignment horizontal="center" wrapText="1"/>
    </xf>
    <xf numFmtId="0" fontId="6" fillId="2" borderId="9" xfId="0" applyFont="1" applyFill="1" applyBorder="1" applyAlignment="1" applyProtection="1">
      <alignment horizontal="center" wrapText="1"/>
    </xf>
    <xf numFmtId="0" fontId="8" fillId="2" borderId="8" xfId="0" applyFont="1" applyFill="1" applyBorder="1" applyAlignment="1" applyProtection="1">
      <alignment wrapText="1"/>
    </xf>
    <xf numFmtId="0" fontId="8" fillId="2" borderId="8" xfId="0" applyFont="1" applyFill="1" applyBorder="1" applyAlignment="1" applyProtection="1">
      <alignment horizontal="left" wrapText="1"/>
    </xf>
    <xf numFmtId="8" fontId="8" fillId="2" borderId="1" xfId="0" applyNumberFormat="1" applyFont="1" applyFill="1" applyBorder="1" applyAlignment="1" applyProtection="1">
      <alignment horizontal="center" vertical="center" wrapText="1"/>
    </xf>
    <xf numFmtId="0" fontId="20" fillId="0" borderId="0" xfId="0" applyFont="1" applyAlignment="1">
      <alignment horizontal="left" vertical="top"/>
    </xf>
    <xf numFmtId="0" fontId="6" fillId="2" borderId="8" xfId="0" applyFont="1" applyFill="1" applyBorder="1" applyAlignment="1" applyProtection="1">
      <alignment wrapText="1"/>
    </xf>
    <xf numFmtId="8" fontId="4" fillId="2" borderId="9" xfId="0" applyNumberFormat="1" applyFont="1" applyFill="1" applyBorder="1" applyAlignment="1" applyProtection="1">
      <alignment horizontal="right" wrapText="1"/>
    </xf>
    <xf numFmtId="0" fontId="19" fillId="0" borderId="1" xfId="0" applyFont="1" applyBorder="1" applyAlignment="1">
      <alignment horizontal="center"/>
    </xf>
    <xf numFmtId="10" fontId="4" fillId="2" borderId="8" xfId="0" applyNumberFormat="1" applyFont="1" applyFill="1" applyBorder="1" applyAlignment="1" applyProtection="1">
      <alignment horizontal="center" wrapText="1"/>
    </xf>
    <xf numFmtId="8" fontId="4" fillId="2" borderId="1" xfId="0" applyNumberFormat="1" applyFont="1" applyFill="1" applyBorder="1" applyAlignment="1" applyProtection="1">
      <alignment horizontal="center" wrapText="1"/>
    </xf>
    <xf numFmtId="10" fontId="6" fillId="2" borderId="8" xfId="0" applyNumberFormat="1" applyFont="1" applyFill="1" applyBorder="1" applyAlignment="1" applyProtection="1">
      <alignment horizontal="center" wrapText="1"/>
    </xf>
    <xf numFmtId="8" fontId="6" fillId="2" borderId="1" xfId="0" applyNumberFormat="1" applyFont="1" applyFill="1" applyBorder="1" applyAlignment="1" applyProtection="1">
      <alignment horizontal="center" wrapText="1"/>
    </xf>
    <xf numFmtId="10" fontId="19" fillId="0" borderId="1" xfId="0" applyNumberFormat="1" applyFont="1" applyBorder="1" applyAlignment="1">
      <alignment horizontal="center"/>
    </xf>
    <xf numFmtId="8" fontId="19" fillId="0" borderId="1" xfId="0" applyNumberFormat="1" applyFont="1" applyBorder="1" applyAlignment="1">
      <alignment horizontal="center"/>
    </xf>
    <xf numFmtId="8" fontId="6" fillId="2" borderId="1" xfId="0" applyNumberFormat="1" applyFont="1" applyFill="1" applyBorder="1" applyAlignment="1" applyProtection="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7" fillId="0" borderId="1" xfId="0" applyFont="1" applyBorder="1" applyAlignment="1">
      <alignment horizontal="left" vertical="top"/>
    </xf>
    <xf numFmtId="2" fontId="20" fillId="12" borderId="1" xfId="0" applyNumberFormat="1" applyFont="1" applyFill="1" applyBorder="1"/>
    <xf numFmtId="49" fontId="20" fillId="0" borderId="1" xfId="0" applyNumberFormat="1" applyFont="1" applyBorder="1" applyAlignment="1">
      <alignment horizontal="left" vertical="center" wrapText="1"/>
    </xf>
    <xf numFmtId="49" fontId="20" fillId="0" borderId="0" xfId="0" applyNumberFormat="1" applyFont="1"/>
    <xf numFmtId="49" fontId="20" fillId="0" borderId="0" xfId="0" applyNumberFormat="1" applyFont="1" applyAlignment="1">
      <alignment horizontal="center" vertical="top" wrapText="1"/>
    </xf>
    <xf numFmtId="49" fontId="20" fillId="0" borderId="1" xfId="0" applyNumberFormat="1" applyFont="1" applyBorder="1" applyAlignment="1">
      <alignment horizontal="center" vertical="top" wrapText="1"/>
    </xf>
    <xf numFmtId="49" fontId="20" fillId="0" borderId="1" xfId="0" applyNumberFormat="1" applyFont="1" applyBorder="1"/>
    <xf numFmtId="0" fontId="20" fillId="0" borderId="1" xfId="0" applyFont="1" applyBorder="1" applyAlignment="1">
      <alignment horizontal="center"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20" fillId="0" borderId="1" xfId="0" applyFont="1" applyBorder="1" applyAlignment="1">
      <alignment horizontal="left" vertical="center" wrapText="1"/>
    </xf>
    <xf numFmtId="3" fontId="1" fillId="11" borderId="1" xfId="0" applyNumberFormat="1" applyFont="1" applyFill="1" applyBorder="1" applyAlignment="1">
      <alignment horizontal="right" wrapText="1"/>
    </xf>
    <xf numFmtId="3" fontId="1" fillId="12" borderId="1" xfId="0" applyNumberFormat="1" applyFont="1" applyFill="1" applyBorder="1" applyAlignment="1">
      <alignment horizontal="right" wrapText="1"/>
    </xf>
    <xf numFmtId="3" fontId="2" fillId="12" borderId="1" xfId="0" applyNumberFormat="1" applyFont="1" applyFill="1" applyBorder="1" applyAlignment="1">
      <alignment horizontal="right" wrapText="1"/>
    </xf>
    <xf numFmtId="10" fontId="2" fillId="0" borderId="1" xfId="0" applyNumberFormat="1" applyFont="1" applyFill="1" applyBorder="1" applyAlignment="1">
      <alignment horizontal="center" vertical="center" wrapText="1"/>
    </xf>
    <xf numFmtId="0" fontId="2" fillId="21" borderId="1" xfId="0" applyFont="1" applyFill="1" applyBorder="1" applyAlignment="1">
      <alignment horizontal="left" wrapText="1"/>
    </xf>
    <xf numFmtId="3" fontId="2" fillId="21" borderId="1" xfId="0" applyNumberFormat="1" applyFont="1" applyFill="1" applyBorder="1" applyAlignment="1">
      <alignment horizontal="right" wrapText="1"/>
    </xf>
    <xf numFmtId="8" fontId="2" fillId="21" borderId="1" xfId="0" applyNumberFormat="1" applyFont="1" applyFill="1" applyBorder="1" applyAlignment="1">
      <alignment horizontal="right" wrapText="1"/>
    </xf>
    <xf numFmtId="10" fontId="2" fillId="21" borderId="1" xfId="0" applyNumberFormat="1" applyFont="1" applyFill="1" applyBorder="1" applyAlignment="1">
      <alignment horizontal="right" wrapText="1"/>
    </xf>
    <xf numFmtId="10" fontId="20" fillId="11" borderId="1" xfId="0" applyNumberFormat="1" applyFont="1" applyFill="1" applyBorder="1" applyAlignment="1">
      <alignment horizontal="right" wrapText="1"/>
    </xf>
    <xf numFmtId="10" fontId="20" fillId="0" borderId="0" xfId="0" applyNumberFormat="1" applyFont="1" applyAlignment="1">
      <alignment vertical="top"/>
    </xf>
    <xf numFmtId="10" fontId="22" fillId="17" borderId="1" xfId="0" applyNumberFormat="1" applyFont="1" applyFill="1" applyBorder="1" applyAlignment="1">
      <alignment vertical="top" wrapText="1"/>
    </xf>
    <xf numFmtId="10" fontId="4" fillId="2" borderId="0" xfId="0" applyNumberFormat="1" applyFont="1" applyFill="1" applyBorder="1" applyAlignment="1" applyProtection="1">
      <alignment horizontal="right" wrapText="1"/>
    </xf>
    <xf numFmtId="0" fontId="20" fillId="0" borderId="1" xfId="0" applyFont="1" applyBorder="1" applyAlignment="1">
      <alignment horizontal="left" vertical="center" wrapText="1"/>
    </xf>
    <xf numFmtId="0" fontId="20" fillId="0" borderId="0" xfId="0" applyFont="1" applyAlignment="1">
      <alignment horizontal="left" vertical="center" wrapText="1"/>
    </xf>
    <xf numFmtId="0" fontId="20" fillId="0" borderId="0" xfId="0" applyFont="1" applyBorder="1" applyAlignment="1">
      <alignment horizontal="left" vertical="center" wrapText="1"/>
    </xf>
    <xf numFmtId="49" fontId="20" fillId="0" borderId="0" xfId="0" applyNumberFormat="1" applyFont="1" applyAlignment="1">
      <alignment horizontal="left" vertical="center" wrapText="1"/>
    </xf>
    <xf numFmtId="0" fontId="19" fillId="11" borderId="0" xfId="0" applyFont="1" applyFill="1" applyBorder="1"/>
    <xf numFmtId="0" fontId="27" fillId="0" borderId="1" xfId="0" applyFont="1" applyBorder="1"/>
    <xf numFmtId="8" fontId="20" fillId="22" borderId="1" xfId="0" applyNumberFormat="1" applyFont="1" applyFill="1" applyBorder="1"/>
    <xf numFmtId="0" fontId="20" fillId="22" borderId="1" xfId="0" applyFont="1" applyFill="1" applyBorder="1"/>
    <xf numFmtId="167" fontId="20" fillId="0" borderId="0" xfId="0" applyNumberFormat="1" applyFont="1" applyAlignment="1">
      <alignment horizontal="right"/>
    </xf>
    <xf numFmtId="2" fontId="20" fillId="0" borderId="0" xfId="0" applyNumberFormat="1" applyFont="1" applyAlignment="1">
      <alignment horizontal="center" vertical="center"/>
    </xf>
    <xf numFmtId="0" fontId="20" fillId="0" borderId="0" xfId="0" applyFont="1" applyAlignment="1">
      <alignment vertical="center"/>
    </xf>
    <xf numFmtId="0" fontId="20" fillId="0" borderId="0" xfId="0" applyFont="1" applyAlignment="1">
      <alignment wrapText="1"/>
    </xf>
    <xf numFmtId="2" fontId="20" fillId="0" borderId="0" xfId="0" applyNumberFormat="1" applyFont="1"/>
    <xf numFmtId="8" fontId="20" fillId="0" borderId="1" xfId="0" applyNumberFormat="1" applyFont="1" applyBorder="1" applyAlignment="1">
      <alignment horizontal="right"/>
    </xf>
    <xf numFmtId="10" fontId="1" fillId="22" borderId="1" xfId="0" applyNumberFormat="1" applyFont="1" applyFill="1" applyBorder="1" applyAlignment="1">
      <alignment horizontal="right" wrapText="1"/>
    </xf>
    <xf numFmtId="0" fontId="20" fillId="11" borderId="1" xfId="0" applyFont="1" applyFill="1" applyBorder="1"/>
    <xf numFmtId="6" fontId="1" fillId="22" borderId="1" xfId="0" applyNumberFormat="1" applyFont="1" applyFill="1" applyBorder="1" applyAlignment="1">
      <alignment horizontal="right" wrapText="1"/>
    </xf>
    <xf numFmtId="0" fontId="20" fillId="11" borderId="1" xfId="0" applyNumberFormat="1" applyFont="1" applyFill="1" applyBorder="1" applyAlignment="1">
      <alignment horizontal="center" vertical="center"/>
    </xf>
    <xf numFmtId="0" fontId="1" fillId="11" borderId="1" xfId="0" applyFont="1" applyFill="1" applyBorder="1" applyAlignment="1"/>
    <xf numFmtId="0" fontId="1" fillId="11" borderId="1" xfId="0" applyFont="1" applyFill="1" applyBorder="1" applyAlignment="1">
      <alignment horizontal="left" vertical="center"/>
    </xf>
    <xf numFmtId="167" fontId="1" fillId="22" borderId="1" xfId="0" applyNumberFormat="1" applyFont="1" applyFill="1" applyBorder="1" applyAlignment="1">
      <alignment horizontal="right" wrapText="1"/>
    </xf>
    <xf numFmtId="8" fontId="1" fillId="22" borderId="1" xfId="0" applyNumberFormat="1" applyFont="1" applyFill="1" applyBorder="1" applyAlignment="1">
      <alignment horizontal="right" wrapText="1"/>
    </xf>
    <xf numFmtId="0" fontId="27" fillId="0" borderId="1" xfId="0" applyFont="1" applyBorder="1" applyAlignment="1">
      <alignment horizontal="center" vertical="center"/>
    </xf>
    <xf numFmtId="0" fontId="0" fillId="0" borderId="1" xfId="0" applyBorder="1" applyAlignment="1">
      <alignment horizontal="center" vertical="center"/>
    </xf>
    <xf numFmtId="0" fontId="20" fillId="0" borderId="0" xfId="0" applyNumberFormat="1" applyFont="1"/>
    <xf numFmtId="8" fontId="20" fillId="0" borderId="1" xfId="0" applyNumberFormat="1" applyFont="1" applyBorder="1" applyAlignment="1"/>
    <xf numFmtId="167" fontId="20" fillId="0" borderId="1" xfId="0" applyNumberFormat="1" applyFont="1" applyBorder="1" applyAlignment="1"/>
    <xf numFmtId="0" fontId="1" fillId="22" borderId="1" xfId="0" applyNumberFormat="1" applyFont="1" applyFill="1" applyBorder="1" applyAlignment="1">
      <alignment horizontal="right" wrapText="1"/>
    </xf>
    <xf numFmtId="0" fontId="22" fillId="13" borderId="1" xfId="0" applyFont="1" applyFill="1" applyBorder="1" applyAlignment="1">
      <alignment horizontal="center" vertical="top" wrapText="1"/>
    </xf>
    <xf numFmtId="0" fontId="20" fillId="0" borderId="0" xfId="0" applyFont="1" applyBorder="1"/>
    <xf numFmtId="0" fontId="22" fillId="13" borderId="10" xfId="0" applyFont="1" applyFill="1" applyBorder="1" applyAlignment="1">
      <alignment horizontal="center" vertical="center" wrapText="1"/>
    </xf>
    <xf numFmtId="0" fontId="22" fillId="13" borderId="6" xfId="0" applyFont="1" applyFill="1" applyBorder="1" applyAlignment="1">
      <alignment horizontal="center" vertical="center" wrapText="1"/>
    </xf>
    <xf numFmtId="2" fontId="22" fillId="13" borderId="6" xfId="0" applyNumberFormat="1" applyFont="1" applyFill="1" applyBorder="1" applyAlignment="1">
      <alignment horizontal="center" vertical="center" wrapText="1"/>
    </xf>
    <xf numFmtId="0" fontId="23" fillId="11" borderId="0" xfId="0" applyFont="1" applyFill="1"/>
    <xf numFmtId="0" fontId="4" fillId="2" borderId="0" xfId="0" applyFont="1" applyFill="1" applyBorder="1" applyAlignment="1" applyProtection="1">
      <alignment wrapText="1"/>
    </xf>
    <xf numFmtId="0" fontId="1" fillId="0" borderId="0" xfId="0" applyFont="1" applyFill="1"/>
    <xf numFmtId="0" fontId="26" fillId="0" borderId="0" xfId="0" applyFont="1" applyFill="1"/>
    <xf numFmtId="0" fontId="26" fillId="0" borderId="0" xfId="0" applyFont="1"/>
    <xf numFmtId="0" fontId="19" fillId="11" borderId="0" xfId="0" applyFont="1" applyFill="1"/>
    <xf numFmtId="0" fontId="22" fillId="13" borderId="1" xfId="0" applyNumberFormat="1" applyFont="1" applyFill="1" applyBorder="1" applyAlignment="1">
      <alignment horizontal="center" vertical="center" wrapText="1"/>
    </xf>
    <xf numFmtId="2" fontId="22" fillId="13" borderId="1" xfId="0" applyNumberFormat="1" applyFont="1" applyFill="1" applyBorder="1" applyAlignment="1">
      <alignment horizontal="center" vertical="center" wrapText="1"/>
    </xf>
    <xf numFmtId="0" fontId="26" fillId="2" borderId="0" xfId="0" applyFont="1" applyFill="1" applyBorder="1" applyAlignment="1" applyProtection="1">
      <alignment wrapText="1"/>
    </xf>
    <xf numFmtId="8" fontId="20" fillId="11" borderId="1" xfId="0" applyNumberFormat="1" applyFont="1" applyFill="1" applyBorder="1" applyAlignment="1">
      <alignment horizontal="right"/>
    </xf>
    <xf numFmtId="0" fontId="28" fillId="2" borderId="0" xfId="0" applyFont="1" applyFill="1" applyBorder="1" applyAlignment="1" applyProtection="1">
      <alignment wrapText="1"/>
    </xf>
    <xf numFmtId="0" fontId="28" fillId="11" borderId="0" xfId="0" applyFont="1" applyFill="1" applyBorder="1"/>
    <xf numFmtId="0" fontId="2" fillId="0" borderId="0" xfId="0" applyFont="1" applyFill="1" applyBorder="1" applyAlignment="1">
      <alignment vertical="center" wrapText="1"/>
    </xf>
    <xf numFmtId="0" fontId="22" fillId="13" borderId="9" xfId="0" applyFont="1" applyFill="1" applyBorder="1" applyAlignment="1">
      <alignment horizontal="center" vertical="center" wrapText="1"/>
    </xf>
    <xf numFmtId="0" fontId="23" fillId="11" borderId="0" xfId="0" applyFont="1" applyFill="1" applyBorder="1"/>
    <xf numFmtId="0" fontId="6" fillId="2" borderId="0" xfId="0" applyFont="1" applyFill="1" applyBorder="1" applyAlignment="1" applyProtection="1">
      <alignment wrapText="1"/>
    </xf>
    <xf numFmtId="0" fontId="22" fillId="13" borderId="2" xfId="0" applyFont="1" applyFill="1" applyBorder="1" applyAlignment="1">
      <alignment horizontal="center" vertical="center" wrapText="1"/>
    </xf>
    <xf numFmtId="0" fontId="1" fillId="11" borderId="1" xfId="0" applyFont="1" applyFill="1" applyBorder="1" applyAlignment="1" applyProtection="1">
      <alignment horizontal="left"/>
    </xf>
    <xf numFmtId="0" fontId="26" fillId="11" borderId="0" xfId="0" applyFont="1" applyFill="1" applyBorder="1" applyAlignment="1" applyProtection="1">
      <alignment wrapText="1"/>
    </xf>
    <xf numFmtId="0" fontId="1" fillId="11" borderId="0" xfId="0" applyFont="1" applyFill="1"/>
    <xf numFmtId="2" fontId="22" fillId="13" borderId="2" xfId="0" applyNumberFormat="1" applyFont="1" applyFill="1" applyBorder="1" applyAlignment="1">
      <alignment horizontal="center" vertical="center" wrapText="1"/>
    </xf>
    <xf numFmtId="0" fontId="1" fillId="22" borderId="1" xfId="0" applyFont="1" applyFill="1" applyBorder="1" applyAlignment="1">
      <alignment vertical="center" wrapText="1"/>
    </xf>
    <xf numFmtId="0" fontId="1" fillId="22" borderId="1" xfId="0" applyFont="1" applyFill="1" applyBorder="1"/>
    <xf numFmtId="167" fontId="20" fillId="22" borderId="1" xfId="0" applyNumberFormat="1" applyFont="1" applyFill="1" applyBorder="1"/>
    <xf numFmtId="8" fontId="1" fillId="22" borderId="1" xfId="3" applyNumberFormat="1" applyFont="1" applyFill="1" applyBorder="1" applyAlignment="1" applyProtection="1">
      <alignment horizontal="right" vertical="top" wrapText="1"/>
    </xf>
    <xf numFmtId="0" fontId="26" fillId="22" borderId="1" xfId="0" applyFont="1" applyFill="1" applyBorder="1" applyAlignment="1">
      <alignment horizontal="center" wrapText="1"/>
    </xf>
    <xf numFmtId="0" fontId="29" fillId="22" borderId="1" xfId="0" applyFont="1" applyFill="1" applyBorder="1" applyAlignment="1">
      <alignment horizontal="center" wrapText="1"/>
    </xf>
    <xf numFmtId="0" fontId="20" fillId="22" borderId="1" xfId="0" applyFont="1" applyFill="1" applyBorder="1" applyAlignment="1">
      <alignment vertical="top" wrapText="1"/>
    </xf>
    <xf numFmtId="0" fontId="20" fillId="22" borderId="1" xfId="0" applyFont="1" applyFill="1" applyBorder="1" applyAlignment="1">
      <alignment horizontal="center" wrapText="1"/>
    </xf>
    <xf numFmtId="10" fontId="20" fillId="0" borderId="1" xfId="0" applyNumberFormat="1" applyFont="1" applyBorder="1" applyAlignment="1"/>
    <xf numFmtId="2" fontId="19" fillId="0" borderId="1" xfId="0" applyNumberFormat="1" applyFont="1" applyBorder="1" applyAlignment="1">
      <alignment horizontal="center" vertical="center"/>
    </xf>
    <xf numFmtId="0" fontId="2" fillId="22" borderId="1" xfId="0" applyFont="1" applyFill="1" applyBorder="1" applyAlignment="1">
      <alignment vertical="center" wrapText="1"/>
    </xf>
    <xf numFmtId="0" fontId="19" fillId="22" borderId="1" xfId="0" applyFont="1" applyFill="1" applyBorder="1" applyAlignment="1">
      <alignment vertical="top" wrapText="1"/>
    </xf>
    <xf numFmtId="8" fontId="2" fillId="22" borderId="1" xfId="0" applyNumberFormat="1" applyFont="1" applyFill="1" applyBorder="1" applyAlignment="1">
      <alignment horizontal="right" vertical="top" wrapText="1"/>
    </xf>
    <xf numFmtId="167" fontId="2" fillId="22" borderId="1" xfId="0" applyNumberFormat="1" applyFont="1" applyFill="1" applyBorder="1" applyAlignment="1">
      <alignment horizontal="right" wrapText="1"/>
    </xf>
    <xf numFmtId="0" fontId="2" fillId="22" borderId="1" xfId="0" applyFont="1" applyFill="1" applyBorder="1" applyAlignment="1">
      <alignment vertical="top" wrapText="1"/>
    </xf>
    <xf numFmtId="2" fontId="2" fillId="22" borderId="1" xfId="0" applyNumberFormat="1" applyFont="1" applyFill="1" applyBorder="1" applyAlignment="1">
      <alignment horizontal="right" vertical="top" wrapText="1"/>
    </xf>
    <xf numFmtId="167" fontId="20" fillId="0" borderId="1" xfId="0" applyNumberFormat="1" applyFont="1" applyBorder="1" applyAlignment="1">
      <alignment horizontal="right"/>
    </xf>
    <xf numFmtId="2" fontId="20" fillId="0" borderId="1" xfId="0" applyNumberFormat="1" applyFont="1" applyBorder="1" applyAlignment="1">
      <alignment horizontal="center" vertical="center"/>
    </xf>
    <xf numFmtId="8" fontId="2" fillId="22" borderId="1" xfId="0" applyNumberFormat="1" applyFont="1" applyFill="1" applyBorder="1" applyAlignment="1">
      <alignment horizontal="right" wrapText="1"/>
    </xf>
    <xf numFmtId="0" fontId="2" fillId="22" borderId="1" xfId="0" applyFont="1" applyFill="1" applyBorder="1" applyAlignment="1">
      <alignment vertical="top"/>
    </xf>
    <xf numFmtId="0" fontId="1" fillId="11" borderId="1" xfId="0" applyFont="1" applyFill="1" applyBorder="1"/>
    <xf numFmtId="167" fontId="20" fillId="11" borderId="1" xfId="0" applyNumberFormat="1" applyFont="1" applyFill="1" applyBorder="1"/>
    <xf numFmtId="8" fontId="1" fillId="11" borderId="1" xfId="3" applyNumberFormat="1" applyFont="1" applyFill="1" applyBorder="1" applyAlignment="1" applyProtection="1">
      <alignment horizontal="right" wrapText="1"/>
    </xf>
    <xf numFmtId="0" fontId="1" fillId="11" borderId="1" xfId="0" applyNumberFormat="1" applyFont="1" applyFill="1" applyBorder="1" applyAlignment="1">
      <alignment horizontal="center" wrapText="1"/>
    </xf>
    <xf numFmtId="167" fontId="1" fillId="11" borderId="1" xfId="0" applyNumberFormat="1" applyFont="1" applyFill="1" applyBorder="1"/>
    <xf numFmtId="0" fontId="1" fillId="11" borderId="1" xfId="0" applyNumberFormat="1" applyFont="1" applyFill="1" applyBorder="1" applyAlignment="1">
      <alignment horizontal="center" vertical="center" wrapText="1"/>
    </xf>
    <xf numFmtId="0" fontId="22" fillId="13" borderId="1" xfId="0" applyFont="1" applyFill="1" applyBorder="1" applyAlignment="1">
      <alignment vertical="center" wrapText="1"/>
    </xf>
    <xf numFmtId="0" fontId="1" fillId="11" borderId="1" xfId="0" applyNumberFormat="1" applyFont="1" applyFill="1" applyBorder="1" applyAlignment="1" applyProtection="1">
      <alignment horizontal="center" vertical="center" wrapText="1"/>
    </xf>
    <xf numFmtId="0" fontId="20" fillId="22" borderId="1" xfId="0" applyFont="1" applyFill="1" applyBorder="1" applyAlignment="1">
      <alignment vertical="center" wrapText="1"/>
    </xf>
    <xf numFmtId="0" fontId="1" fillId="11" borderId="1" xfId="0" applyNumberFormat="1" applyFont="1" applyFill="1" applyBorder="1" applyAlignment="1">
      <alignment horizontal="center" vertical="center"/>
    </xf>
    <xf numFmtId="167" fontId="20" fillId="11" borderId="1" xfId="0" applyNumberFormat="1" applyFont="1" applyFill="1" applyBorder="1" applyAlignment="1">
      <alignment horizontal="right"/>
    </xf>
    <xf numFmtId="0" fontId="20" fillId="11" borderId="1" xfId="0" applyNumberFormat="1" applyFont="1" applyFill="1" applyBorder="1" applyAlignment="1">
      <alignment horizontal="right"/>
    </xf>
    <xf numFmtId="0" fontId="28" fillId="22" borderId="1" xfId="0" applyFont="1" applyFill="1" applyBorder="1" applyAlignment="1">
      <alignment vertical="center" wrapText="1"/>
    </xf>
    <xf numFmtId="167" fontId="22" fillId="13" borderId="1" xfId="0" applyNumberFormat="1" applyFont="1" applyFill="1" applyBorder="1" applyAlignment="1">
      <alignment horizontal="center" vertical="center" wrapText="1"/>
    </xf>
    <xf numFmtId="8" fontId="1" fillId="11" borderId="1" xfId="0" applyNumberFormat="1" applyFont="1" applyFill="1" applyBorder="1" applyAlignment="1">
      <alignment horizontal="right"/>
    </xf>
    <xf numFmtId="167" fontId="1" fillId="11" borderId="1" xfId="0" applyNumberFormat="1" applyFont="1" applyFill="1" applyBorder="1" applyAlignment="1">
      <alignment horizontal="right"/>
    </xf>
    <xf numFmtId="2" fontId="1" fillId="11" borderId="1" xfId="0" applyNumberFormat="1" applyFont="1" applyFill="1" applyBorder="1" applyAlignment="1">
      <alignment horizontal="center" vertical="center"/>
    </xf>
    <xf numFmtId="8" fontId="1" fillId="22" borderId="1" xfId="3" applyNumberFormat="1" applyFont="1" applyFill="1" applyBorder="1" applyAlignment="1" applyProtection="1">
      <alignment horizontal="right" wrapText="1"/>
    </xf>
    <xf numFmtId="0" fontId="4" fillId="11" borderId="1" xfId="0" applyNumberFormat="1" applyFont="1" applyFill="1" applyBorder="1" applyAlignment="1" applyProtection="1">
      <alignment horizontal="center" vertical="center" wrapText="1"/>
    </xf>
    <xf numFmtId="0" fontId="9" fillId="11" borderId="1" xfId="0" applyNumberFormat="1" applyFont="1" applyFill="1" applyBorder="1" applyAlignment="1" applyProtection="1">
      <alignment horizontal="center" vertical="center" wrapText="1"/>
    </xf>
    <xf numFmtId="0" fontId="11" fillId="11" borderId="1" xfId="0" applyNumberFormat="1" applyFont="1" applyFill="1" applyBorder="1" applyAlignment="1" applyProtection="1">
      <alignment horizontal="center" vertical="center" wrapText="1"/>
    </xf>
    <xf numFmtId="0" fontId="1" fillId="2" borderId="0" xfId="0" applyFont="1" applyFill="1" applyBorder="1" applyAlignment="1" applyProtection="1">
      <alignment wrapText="1"/>
    </xf>
    <xf numFmtId="0" fontId="20" fillId="11" borderId="1" xfId="0" applyNumberFormat="1" applyFont="1" applyFill="1" applyBorder="1" applyAlignment="1">
      <alignment horizontal="center" vertical="center" wrapText="1"/>
    </xf>
    <xf numFmtId="10" fontId="20" fillId="11" borderId="1" xfId="0" applyNumberFormat="1" applyFont="1" applyFill="1" applyBorder="1" applyAlignment="1">
      <alignment horizontal="right"/>
    </xf>
    <xf numFmtId="2" fontId="20" fillId="11" borderId="1" xfId="0" applyNumberFormat="1" applyFont="1" applyFill="1" applyBorder="1" applyAlignment="1">
      <alignment horizontal="center" vertical="center"/>
    </xf>
    <xf numFmtId="8" fontId="1" fillId="2" borderId="1" xfId="0" applyNumberFormat="1" applyFont="1" applyFill="1" applyBorder="1" applyAlignment="1" applyProtection="1">
      <alignment horizontal="left"/>
    </xf>
    <xf numFmtId="8" fontId="1" fillId="2" borderId="1" xfId="0" applyNumberFormat="1" applyFont="1" applyFill="1" applyBorder="1" applyAlignment="1" applyProtection="1">
      <alignment horizontal="right"/>
    </xf>
    <xf numFmtId="10" fontId="1" fillId="2" borderId="1" xfId="0" applyNumberFormat="1" applyFont="1" applyFill="1" applyBorder="1" applyAlignment="1" applyProtection="1">
      <alignment horizontal="right"/>
    </xf>
    <xf numFmtId="0" fontId="1" fillId="2" borderId="1" xfId="0" applyNumberFormat="1" applyFont="1" applyFill="1" applyBorder="1" applyAlignment="1" applyProtection="1">
      <alignment horizontal="center" vertical="center"/>
    </xf>
    <xf numFmtId="2" fontId="1" fillId="2" borderId="1" xfId="0" applyNumberFormat="1" applyFont="1" applyFill="1" applyBorder="1" applyAlignment="1" applyProtection="1"/>
    <xf numFmtId="167" fontId="1" fillId="22" borderId="1" xfId="1" applyNumberFormat="1" applyFont="1" applyFill="1" applyBorder="1"/>
    <xf numFmtId="0" fontId="1" fillId="22" borderId="1" xfId="0" applyNumberFormat="1" applyFont="1" applyFill="1" applyBorder="1" applyAlignment="1" applyProtection="1">
      <alignment horizontal="center" vertical="center"/>
    </xf>
    <xf numFmtId="167" fontId="1" fillId="22" borderId="1" xfId="0" applyNumberFormat="1" applyFont="1" applyFill="1" applyBorder="1"/>
    <xf numFmtId="8" fontId="1" fillId="11" borderId="1" xfId="0" applyNumberFormat="1" applyFont="1" applyFill="1" applyBorder="1" applyAlignment="1" applyProtection="1">
      <alignment horizontal="right"/>
    </xf>
    <xf numFmtId="10" fontId="1" fillId="11" borderId="1" xfId="0" applyNumberFormat="1" applyFont="1" applyFill="1" applyBorder="1" applyAlignment="1" applyProtection="1">
      <alignment horizontal="right"/>
    </xf>
    <xf numFmtId="0" fontId="1" fillId="11" borderId="1" xfId="0" applyNumberFormat="1" applyFont="1" applyFill="1" applyBorder="1" applyAlignment="1" applyProtection="1">
      <alignment horizontal="center" vertical="center"/>
    </xf>
    <xf numFmtId="2" fontId="1" fillId="11" borderId="1" xfId="0" applyNumberFormat="1" applyFont="1" applyFill="1" applyBorder="1" applyAlignment="1" applyProtection="1"/>
    <xf numFmtId="2" fontId="1" fillId="11" borderId="1" xfId="0" applyNumberFormat="1" applyFont="1" applyFill="1" applyBorder="1" applyAlignment="1">
      <alignment horizontal="right"/>
    </xf>
    <xf numFmtId="2" fontId="1" fillId="11" borderId="1" xfId="0" applyNumberFormat="1" applyFont="1" applyFill="1" applyBorder="1" applyAlignment="1"/>
    <xf numFmtId="0" fontId="1" fillId="22" borderId="1" xfId="0" applyNumberFormat="1" applyFont="1" applyFill="1" applyBorder="1" applyAlignment="1">
      <alignment horizontal="center" vertical="center"/>
    </xf>
    <xf numFmtId="0" fontId="1" fillId="0" borderId="1" xfId="0" applyFont="1" applyBorder="1" applyAlignment="1"/>
    <xf numFmtId="8" fontId="1" fillId="0" borderId="1" xfId="0" applyNumberFormat="1" applyFont="1" applyBorder="1" applyAlignment="1">
      <alignment horizontal="right"/>
    </xf>
    <xf numFmtId="10" fontId="1" fillId="0" borderId="1" xfId="0" applyNumberFormat="1" applyFont="1" applyBorder="1" applyAlignment="1">
      <alignment horizontal="right"/>
    </xf>
    <xf numFmtId="2" fontId="1" fillId="0" borderId="1" xfId="0" applyNumberFormat="1" applyFont="1" applyBorder="1" applyAlignment="1">
      <alignment horizontal="right"/>
    </xf>
    <xf numFmtId="0" fontId="2" fillId="22" borderId="1" xfId="0" applyFont="1" applyFill="1" applyBorder="1" applyAlignment="1">
      <alignment horizontal="left" wrapText="1"/>
    </xf>
    <xf numFmtId="0" fontId="2" fillId="22" borderId="1" xfId="0" applyNumberFormat="1" applyFont="1" applyFill="1" applyBorder="1" applyAlignment="1">
      <alignment horizontal="center" vertical="center"/>
    </xf>
    <xf numFmtId="2" fontId="2" fillId="22" borderId="1" xfId="0" applyNumberFormat="1" applyFont="1" applyFill="1" applyBorder="1" applyAlignment="1">
      <alignment horizontal="right" wrapText="1"/>
    </xf>
    <xf numFmtId="0" fontId="28" fillId="22" borderId="1" xfId="0" applyFont="1" applyFill="1" applyBorder="1" applyAlignment="1">
      <alignment wrapText="1"/>
    </xf>
    <xf numFmtId="2" fontId="20" fillId="0" borderId="1" xfId="0" applyNumberFormat="1" applyFont="1" applyBorder="1" applyAlignment="1">
      <alignment horizontal="right" vertical="center"/>
    </xf>
    <xf numFmtId="0" fontId="2" fillId="22" borderId="1" xfId="0" applyFont="1" applyFill="1" applyBorder="1" applyAlignment="1">
      <alignment wrapText="1"/>
    </xf>
    <xf numFmtId="2" fontId="2" fillId="22" borderId="1" xfId="0" applyNumberFormat="1" applyFont="1" applyFill="1" applyBorder="1"/>
    <xf numFmtId="0" fontId="28" fillId="22" borderId="1" xfId="0" applyFont="1" applyFill="1" applyBorder="1"/>
    <xf numFmtId="2" fontId="2" fillId="0" borderId="0" xfId="0" applyNumberFormat="1" applyFont="1"/>
    <xf numFmtId="0"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20" fillId="0" borderId="1" xfId="0" applyNumberFormat="1" applyFont="1" applyBorder="1" applyAlignment="1">
      <alignment horizontal="center" vertical="center"/>
    </xf>
    <xf numFmtId="0" fontId="30" fillId="0" borderId="0" xfId="0" applyFont="1"/>
    <xf numFmtId="3" fontId="30" fillId="0" borderId="0" xfId="0" applyNumberFormat="1" applyFont="1"/>
    <xf numFmtId="0" fontId="22" fillId="13" borderId="2" xfId="0" applyNumberFormat="1" applyFont="1" applyFill="1" applyBorder="1" applyAlignment="1">
      <alignment horizontal="center" vertical="center" wrapText="1"/>
    </xf>
    <xf numFmtId="0" fontId="20" fillId="0" borderId="0" xfId="0" applyNumberFormat="1" applyFont="1" applyAlignment="1">
      <alignment horizontal="center" vertical="center"/>
    </xf>
    <xf numFmtId="8" fontId="20" fillId="11" borderId="1" xfId="0" applyNumberFormat="1" applyFont="1" applyFill="1" applyBorder="1" applyAlignment="1">
      <alignment horizontal="left"/>
    </xf>
    <xf numFmtId="0" fontId="22" fillId="13" borderId="11" xfId="0" applyNumberFormat="1" applyFont="1" applyFill="1" applyBorder="1" applyAlignment="1">
      <alignment horizontal="center" vertical="center" wrapText="1"/>
    </xf>
    <xf numFmtId="0" fontId="20" fillId="0" borderId="0" xfId="0" applyNumberFormat="1" applyFont="1" applyAlignment="1">
      <alignment horizontal="right"/>
    </xf>
    <xf numFmtId="8" fontId="2" fillId="22" borderId="1" xfId="3" applyNumberFormat="1" applyFont="1" applyFill="1" applyBorder="1" applyAlignment="1" applyProtection="1">
      <alignment horizontal="left" vertical="top" wrapText="1"/>
    </xf>
    <xf numFmtId="0" fontId="22" fillId="13" borderId="1" xfId="0" applyNumberFormat="1" applyFont="1" applyFill="1" applyBorder="1" applyAlignment="1">
      <alignment horizontal="center" vertical="center"/>
    </xf>
    <xf numFmtId="0" fontId="19" fillId="22" borderId="1" xfId="0" applyNumberFormat="1" applyFont="1" applyFill="1" applyBorder="1" applyAlignment="1">
      <alignment horizontal="right" wrapText="1"/>
    </xf>
    <xf numFmtId="0" fontId="22" fillId="11" borderId="0" xfId="0" applyFont="1" applyFill="1" applyBorder="1" applyAlignment="1">
      <alignment horizontal="center" vertical="center" wrapText="1"/>
    </xf>
    <xf numFmtId="10" fontId="1" fillId="11" borderId="0" xfId="0" applyNumberFormat="1" applyFont="1" applyFill="1" applyBorder="1" applyAlignment="1">
      <alignment horizontal="right" wrapText="1"/>
    </xf>
    <xf numFmtId="0" fontId="20" fillId="0" borderId="1" xfId="0" applyFont="1" applyBorder="1" applyAlignment="1"/>
    <xf numFmtId="0" fontId="1" fillId="0" borderId="0" xfId="0" applyFont="1" applyFill="1" applyBorder="1" applyAlignment="1">
      <alignment wrapText="1"/>
    </xf>
    <xf numFmtId="8" fontId="1" fillId="0" borderId="0" xfId="3" applyNumberFormat="1" applyFont="1" applyFill="1" applyBorder="1" applyAlignment="1" applyProtection="1">
      <alignment horizontal="right" wrapText="1"/>
    </xf>
    <xf numFmtId="0" fontId="1" fillId="22" borderId="1" xfId="0" applyNumberFormat="1" applyFont="1" applyFill="1" applyBorder="1" applyAlignment="1">
      <alignment wrapText="1"/>
    </xf>
    <xf numFmtId="0" fontId="20" fillId="22" borderId="1" xfId="0" applyNumberFormat="1" applyFont="1" applyFill="1" applyBorder="1"/>
    <xf numFmtId="0" fontId="20" fillId="0" borderId="0" xfId="0" applyNumberFormat="1" applyFont="1" applyFill="1" applyAlignment="1">
      <alignment horizontal="center"/>
    </xf>
    <xf numFmtId="0" fontId="31" fillId="0" borderId="0" xfId="0" applyNumberFormat="1" applyFont="1" applyFill="1" applyAlignment="1">
      <alignment horizontal="center" vertical="center" wrapText="1"/>
    </xf>
    <xf numFmtId="0" fontId="22" fillId="13" borderId="12" xfId="0" applyNumberFormat="1" applyFont="1" applyFill="1" applyBorder="1" applyAlignment="1">
      <alignment horizontal="center" vertical="center" wrapText="1"/>
    </xf>
    <xf numFmtId="0" fontId="22" fillId="13" borderId="0" xfId="0" applyNumberFormat="1" applyFont="1" applyFill="1" applyBorder="1" applyAlignment="1">
      <alignment horizontal="center" vertical="center" wrapText="1"/>
    </xf>
    <xf numFmtId="0" fontId="22" fillId="13" borderId="7" xfId="0" applyNumberFormat="1" applyFont="1" applyFill="1" applyBorder="1" applyAlignment="1">
      <alignment horizontal="center" vertical="center" wrapText="1"/>
    </xf>
    <xf numFmtId="0" fontId="22" fillId="13" borderId="0" xfId="0" applyNumberFormat="1" applyFont="1" applyFill="1" applyAlignment="1">
      <alignment horizontal="center" vertical="center" wrapText="1"/>
    </xf>
    <xf numFmtId="0" fontId="32" fillId="11" borderId="0" xfId="0" applyNumberFormat="1" applyFont="1" applyFill="1" applyAlignment="1">
      <alignment horizontal="right" wrapText="1"/>
    </xf>
    <xf numFmtId="0" fontId="1" fillId="22" borderId="1" xfId="0" applyNumberFormat="1" applyFont="1" applyFill="1" applyBorder="1" applyAlignment="1"/>
    <xf numFmtId="0" fontId="20" fillId="0" borderId="0" xfId="0" applyNumberFormat="1" applyFont="1" applyFill="1"/>
    <xf numFmtId="0" fontId="32" fillId="0" borderId="0" xfId="0" applyNumberFormat="1" applyFont="1" applyFill="1" applyAlignment="1">
      <alignment horizontal="right" wrapText="1"/>
    </xf>
    <xf numFmtId="4" fontId="0" fillId="0" borderId="1" xfId="0" applyNumberFormat="1" applyBorder="1"/>
    <xf numFmtId="10" fontId="0" fillId="0" borderId="1" xfId="0" applyNumberFormat="1" applyBorder="1"/>
    <xf numFmtId="0" fontId="20" fillId="11" borderId="0" xfId="0" applyNumberFormat="1" applyFont="1" applyFill="1" applyAlignment="1">
      <alignment horizontal="left"/>
    </xf>
    <xf numFmtId="3" fontId="0" fillId="0" borderId="1" xfId="0" applyNumberFormat="1" applyBorder="1"/>
    <xf numFmtId="0" fontId="22" fillId="13" borderId="1" xfId="0" applyFont="1" applyFill="1" applyBorder="1" applyAlignment="1">
      <alignment horizontal="center"/>
    </xf>
    <xf numFmtId="0" fontId="22" fillId="13" borderId="1" xfId="0" applyFont="1" applyFill="1" applyBorder="1" applyAlignment="1">
      <alignment horizontal="center" vertical="top"/>
    </xf>
    <xf numFmtId="0" fontId="22" fillId="13" borderId="1" xfId="0" applyFont="1" applyFill="1" applyBorder="1" applyAlignment="1">
      <alignment horizontal="center" vertical="center" wrapText="1"/>
    </xf>
    <xf numFmtId="0" fontId="20" fillId="0" borderId="1" xfId="0" applyFont="1" applyBorder="1" applyAlignment="1">
      <alignment horizontal="left" vertical="center" wrapText="1"/>
    </xf>
    <xf numFmtId="0" fontId="20" fillId="12" borderId="1" xfId="0" applyNumberFormat="1" applyFont="1" applyFill="1" applyBorder="1" applyAlignment="1">
      <alignment horizontal="center"/>
    </xf>
    <xf numFmtId="0" fontId="19" fillId="20" borderId="1" xfId="0" applyNumberFormat="1" applyFont="1" applyFill="1" applyBorder="1" applyAlignment="1">
      <alignment horizontal="center" vertical="center" wrapText="1"/>
    </xf>
    <xf numFmtId="167" fontId="22" fillId="13" borderId="2" xfId="0" applyNumberFormat="1" applyFont="1" applyFill="1" applyBorder="1" applyAlignment="1">
      <alignment horizontal="center" vertical="center" wrapText="1"/>
    </xf>
    <xf numFmtId="0" fontId="22" fillId="13" borderId="4" xfId="0" applyFont="1" applyFill="1" applyBorder="1" applyAlignment="1">
      <alignment horizontal="center" vertical="center" wrapText="1"/>
    </xf>
    <xf numFmtId="2" fontId="22" fillId="13" borderId="4" xfId="0" applyNumberFormat="1" applyFont="1" applyFill="1" applyBorder="1" applyAlignment="1">
      <alignment horizontal="center" vertical="center" wrapText="1"/>
    </xf>
    <xf numFmtId="167" fontId="22" fillId="13" borderId="0" xfId="0" applyNumberFormat="1" applyFont="1" applyFill="1" applyBorder="1" applyAlignment="1">
      <alignment horizontal="center" vertical="center" wrapText="1"/>
    </xf>
    <xf numFmtId="0" fontId="22" fillId="13" borderId="3" xfId="0" applyFont="1" applyFill="1" applyBorder="1" applyAlignment="1">
      <alignment horizontal="center" vertical="top" wrapText="1"/>
    </xf>
    <xf numFmtId="2" fontId="22" fillId="23" borderId="1" xfId="0" applyNumberFormat="1" applyFont="1" applyFill="1" applyBorder="1" applyAlignment="1">
      <alignment horizontal="center" vertical="center" wrapText="1"/>
    </xf>
    <xf numFmtId="0" fontId="22" fillId="13" borderId="1" xfId="0" applyFont="1" applyFill="1" applyBorder="1" applyAlignment="1">
      <alignment horizontal="right" vertical="center" wrapText="1"/>
    </xf>
    <xf numFmtId="167" fontId="22" fillId="13" borderId="1" xfId="0" applyNumberFormat="1" applyFont="1" applyFill="1" applyBorder="1" applyAlignment="1">
      <alignment horizontal="right" vertical="center" wrapText="1"/>
    </xf>
    <xf numFmtId="2" fontId="1" fillId="0" borderId="1" xfId="0" applyNumberFormat="1" applyFont="1" applyBorder="1" applyAlignment="1"/>
    <xf numFmtId="0" fontId="1" fillId="0" borderId="1" xfId="0" applyNumberFormat="1" applyFont="1" applyBorder="1" applyAlignment="1">
      <alignment horizontal="center" vertical="center"/>
    </xf>
    <xf numFmtId="10" fontId="20" fillId="0" borderId="1" xfId="0" applyNumberFormat="1" applyFont="1" applyBorder="1" applyAlignment="1">
      <alignment horizontal="right"/>
    </xf>
    <xf numFmtId="0" fontId="20" fillId="21" borderId="1" xfId="0" applyFont="1" applyFill="1" applyBorder="1" applyAlignment="1">
      <alignment horizontal="right" wrapText="1"/>
    </xf>
    <xf numFmtId="8" fontId="20" fillId="21" borderId="1" xfId="0" applyNumberFormat="1" applyFont="1" applyFill="1" applyBorder="1" applyAlignment="1">
      <alignment horizontal="right" wrapText="1"/>
    </xf>
    <xf numFmtId="167" fontId="20" fillId="21" borderId="1" xfId="0" applyNumberFormat="1" applyFont="1" applyFill="1" applyBorder="1" applyAlignment="1">
      <alignment horizontal="right" wrapText="1"/>
    </xf>
    <xf numFmtId="2" fontId="20" fillId="0" borderId="1" xfId="0" applyNumberFormat="1" applyFont="1" applyBorder="1" applyAlignment="1">
      <alignment horizontal="right"/>
    </xf>
    <xf numFmtId="10" fontId="20" fillId="0" borderId="1" xfId="0" applyNumberFormat="1" applyFont="1" applyBorder="1" applyAlignment="1">
      <alignment horizontal="center" vertical="center"/>
    </xf>
    <xf numFmtId="0" fontId="4" fillId="11" borderId="1" xfId="0" applyFont="1" applyFill="1" applyBorder="1" applyAlignment="1" applyProtection="1">
      <alignment vertical="center" wrapText="1"/>
    </xf>
    <xf numFmtId="167" fontId="1" fillId="11" borderId="1" xfId="0" applyNumberFormat="1" applyFont="1" applyFill="1" applyBorder="1" applyAlignment="1">
      <alignment horizontal="right" wrapText="1"/>
    </xf>
    <xf numFmtId="6" fontId="1" fillId="11" borderId="1" xfId="0" applyNumberFormat="1" applyFont="1" applyFill="1" applyBorder="1" applyAlignment="1">
      <alignment horizontal="right" wrapText="1"/>
    </xf>
    <xf numFmtId="2" fontId="20" fillId="11" borderId="1" xfId="0" applyNumberFormat="1" applyFont="1" applyFill="1" applyBorder="1" applyAlignment="1">
      <alignment horizontal="right" wrapText="1"/>
    </xf>
    <xf numFmtId="0" fontId="0" fillId="12" borderId="1" xfId="0" applyFill="1" applyBorder="1"/>
    <xf numFmtId="10" fontId="0" fillId="12" borderId="1" xfId="0" applyNumberFormat="1" applyFill="1" applyBorder="1"/>
    <xf numFmtId="4" fontId="0" fillId="12" borderId="1" xfId="0" applyNumberFormat="1" applyFill="1" applyBorder="1"/>
    <xf numFmtId="0" fontId="0" fillId="12" borderId="1" xfId="0" applyFill="1" applyBorder="1" applyAlignment="1">
      <alignment horizontal="left" indent="8"/>
    </xf>
    <xf numFmtId="0" fontId="0" fillId="22" borderId="1" xfId="0" applyFill="1" applyBorder="1"/>
    <xf numFmtId="10" fontId="0" fillId="22" borderId="1" xfId="0" applyNumberFormat="1" applyFill="1" applyBorder="1"/>
    <xf numFmtId="4" fontId="0" fillId="22" borderId="1" xfId="0" applyNumberFormat="1" applyFill="1" applyBorder="1"/>
    <xf numFmtId="10" fontId="0" fillId="12" borderId="1" xfId="0" applyNumberFormat="1" applyFill="1" applyBorder="1" applyAlignment="1">
      <alignment horizontal="right"/>
    </xf>
    <xf numFmtId="167" fontId="19" fillId="22" borderId="1" xfId="0" applyNumberFormat="1" applyFont="1" applyFill="1" applyBorder="1"/>
    <xf numFmtId="8" fontId="2" fillId="22" borderId="1" xfId="3" applyNumberFormat="1" applyFont="1" applyFill="1" applyBorder="1" applyAlignment="1" applyProtection="1">
      <alignment horizontal="right" vertical="top" wrapText="1"/>
    </xf>
    <xf numFmtId="6" fontId="2" fillId="22" borderId="1" xfId="0" applyNumberFormat="1" applyFont="1" applyFill="1" applyBorder="1" applyAlignment="1">
      <alignment horizontal="right" wrapText="1"/>
    </xf>
    <xf numFmtId="8" fontId="0" fillId="0" borderId="1" xfId="0" applyNumberFormat="1" applyBorder="1"/>
    <xf numFmtId="0" fontId="20" fillId="22" borderId="1" xfId="0" applyFont="1" applyFill="1" applyBorder="1" applyAlignment="1">
      <alignment vertical="top"/>
    </xf>
    <xf numFmtId="0" fontId="1" fillId="22" borderId="1" xfId="0" applyFont="1" applyFill="1" applyBorder="1" applyAlignment="1">
      <alignment horizontal="left" vertical="center"/>
    </xf>
    <xf numFmtId="0" fontId="19" fillId="22" borderId="1" xfId="0" applyFont="1" applyFill="1" applyBorder="1" applyAlignment="1">
      <alignment vertical="top"/>
    </xf>
    <xf numFmtId="3" fontId="1" fillId="22" borderId="1" xfId="0" applyNumberFormat="1" applyFont="1" applyFill="1" applyBorder="1" applyAlignment="1">
      <alignment horizontal="right" wrapText="1"/>
    </xf>
    <xf numFmtId="3" fontId="1" fillId="22" borderId="1" xfId="0" applyNumberFormat="1" applyFont="1" applyFill="1" applyBorder="1" applyAlignment="1">
      <alignment wrapText="1"/>
    </xf>
    <xf numFmtId="10" fontId="1" fillId="22" borderId="1" xfId="0" applyNumberFormat="1" applyFont="1" applyFill="1" applyBorder="1" applyAlignment="1">
      <alignment wrapText="1"/>
    </xf>
    <xf numFmtId="2" fontId="20" fillId="22" borderId="1" xfId="0" applyNumberFormat="1" applyFont="1" applyFill="1" applyBorder="1"/>
    <xf numFmtId="2" fontId="19" fillId="0" borderId="1" xfId="0" applyNumberFormat="1" applyFont="1" applyBorder="1" applyAlignment="1">
      <alignment horizontal="right" vertical="center"/>
    </xf>
    <xf numFmtId="0" fontId="19" fillId="0" borderId="1" xfId="0" applyNumberFormat="1" applyFont="1" applyBorder="1" applyAlignment="1">
      <alignment horizontal="center" vertical="center"/>
    </xf>
    <xf numFmtId="0" fontId="19" fillId="11" borderId="1" xfId="0" applyNumberFormat="1" applyFont="1" applyFill="1" applyBorder="1" applyAlignment="1">
      <alignment horizontal="center" vertical="center"/>
    </xf>
    <xf numFmtId="2" fontId="19" fillId="11" borderId="1" xfId="0" applyNumberFormat="1" applyFont="1" applyFill="1" applyBorder="1" applyAlignment="1">
      <alignment horizontal="center" vertical="center"/>
    </xf>
    <xf numFmtId="2" fontId="2" fillId="0" borderId="1" xfId="0" applyNumberFormat="1" applyFont="1" applyBorder="1" applyAlignment="1"/>
    <xf numFmtId="0" fontId="2" fillId="0" borderId="1" xfId="0" applyNumberFormat="1" applyFont="1" applyBorder="1" applyAlignment="1">
      <alignment horizontal="center" vertical="center"/>
    </xf>
    <xf numFmtId="0" fontId="19" fillId="0" borderId="1" xfId="0" applyFont="1" applyBorder="1" applyAlignment="1">
      <alignment horizontal="right"/>
    </xf>
    <xf numFmtId="10" fontId="19" fillId="0" borderId="1" xfId="0" applyNumberFormat="1" applyFont="1" applyBorder="1" applyAlignment="1">
      <alignment horizontal="right"/>
    </xf>
    <xf numFmtId="2" fontId="19" fillId="0" borderId="1" xfId="0" applyNumberFormat="1" applyFont="1" applyBorder="1" applyAlignment="1">
      <alignment horizontal="right"/>
    </xf>
    <xf numFmtId="0" fontId="15" fillId="0" borderId="1" xfId="3" quotePrefix="1" applyBorder="1" applyAlignment="1" applyProtection="1">
      <alignment horizontal="left" vertical="center"/>
    </xf>
    <xf numFmtId="0" fontId="22" fillId="24" borderId="1" xfId="0" applyFont="1" applyFill="1" applyBorder="1" applyAlignment="1">
      <alignment vertical="center" wrapText="1"/>
    </xf>
    <xf numFmtId="0" fontId="0" fillId="11" borderId="0" xfId="0" applyNumberFormat="1" applyFill="1" applyBorder="1" applyAlignment="1"/>
    <xf numFmtId="8" fontId="19" fillId="22" borderId="1" xfId="0" applyNumberFormat="1" applyFont="1" applyFill="1" applyBorder="1"/>
    <xf numFmtId="3" fontId="20" fillId="22" borderId="1" xfId="0" applyNumberFormat="1" applyFont="1" applyFill="1" applyBorder="1"/>
    <xf numFmtId="0" fontId="19" fillId="22" borderId="1" xfId="0" applyNumberFormat="1" applyFont="1" applyFill="1" applyBorder="1"/>
    <xf numFmtId="8" fontId="22" fillId="13" borderId="1" xfId="0" applyNumberFormat="1" applyFont="1" applyFill="1" applyBorder="1"/>
    <xf numFmtId="8" fontId="22" fillId="13" borderId="1" xfId="0" applyNumberFormat="1" applyFont="1" applyFill="1" applyBorder="1" applyAlignment="1">
      <alignment horizontal="center" vertical="center" wrapText="1"/>
    </xf>
    <xf numFmtId="8" fontId="22" fillId="13" borderId="1" xfId="0" applyNumberFormat="1" applyFont="1" applyFill="1" applyBorder="1" applyAlignment="1">
      <alignment horizontal="center" vertical="center"/>
    </xf>
    <xf numFmtId="0" fontId="22" fillId="13" borderId="1" xfId="0" applyFont="1" applyFill="1" applyBorder="1" applyAlignment="1">
      <alignment horizontal="center" vertical="center" wrapText="1"/>
    </xf>
    <xf numFmtId="168" fontId="25" fillId="11" borderId="16" xfId="0" applyNumberFormat="1" applyFont="1" applyFill="1" applyBorder="1" applyAlignment="1">
      <alignment horizontal="left" vertical="center" wrapText="1"/>
    </xf>
    <xf numFmtId="0" fontId="2" fillId="18" borderId="19" xfId="0" applyFont="1" applyFill="1" applyBorder="1" applyAlignment="1">
      <alignment horizontal="left" vertical="center" wrapText="1"/>
    </xf>
    <xf numFmtId="6" fontId="1" fillId="22" borderId="1" xfId="0" applyNumberFormat="1" applyFont="1" applyFill="1" applyBorder="1" applyAlignment="1">
      <alignment horizontal="right"/>
    </xf>
    <xf numFmtId="3" fontId="1" fillId="22" borderId="1" xfId="0" applyNumberFormat="1" applyFont="1" applyFill="1" applyBorder="1" applyAlignment="1"/>
    <xf numFmtId="8" fontId="1" fillId="22" borderId="1" xfId="0" applyNumberFormat="1" applyFont="1" applyFill="1" applyBorder="1" applyAlignment="1">
      <alignment horizontal="right"/>
    </xf>
    <xf numFmtId="8" fontId="20" fillId="22" borderId="1" xfId="0" applyNumberFormat="1" applyFont="1" applyFill="1" applyBorder="1" applyAlignment="1"/>
    <xf numFmtId="0" fontId="22" fillId="13" borderId="2" xfId="0" applyFont="1" applyFill="1" applyBorder="1" applyAlignment="1">
      <alignment horizontal="center" vertical="center"/>
    </xf>
    <xf numFmtId="0" fontId="22" fillId="13" borderId="4" xfId="0" applyFont="1" applyFill="1" applyBorder="1" applyAlignment="1">
      <alignment horizontal="center" vertical="center"/>
    </xf>
    <xf numFmtId="0" fontId="19" fillId="0" borderId="13" xfId="0" applyFont="1" applyBorder="1" applyAlignment="1">
      <alignment horizontal="center"/>
    </xf>
    <xf numFmtId="2" fontId="20" fillId="0" borderId="0" xfId="0" applyNumberFormat="1" applyFont="1" applyAlignment="1"/>
    <xf numFmtId="2" fontId="2" fillId="22" borderId="1" xfId="0" applyNumberFormat="1" applyFont="1" applyFill="1" applyBorder="1" applyAlignment="1"/>
    <xf numFmtId="0" fontId="2" fillId="22" borderId="1" xfId="0" applyFont="1" applyFill="1" applyBorder="1" applyAlignment="1"/>
    <xf numFmtId="0" fontId="28" fillId="22" borderId="1" xfId="0" applyFont="1" applyFill="1" applyBorder="1" applyAlignment="1">
      <alignment vertical="center"/>
    </xf>
    <xf numFmtId="2" fontId="2" fillId="22" borderId="1" xfId="0" applyNumberFormat="1" applyFont="1" applyFill="1" applyBorder="1" applyAlignment="1">
      <alignment horizontal="right"/>
    </xf>
    <xf numFmtId="0" fontId="2" fillId="22" borderId="1" xfId="0" applyFont="1" applyFill="1" applyBorder="1" applyAlignment="1">
      <alignment horizontal="left"/>
    </xf>
    <xf numFmtId="167" fontId="19" fillId="22" borderId="1" xfId="0" applyNumberFormat="1" applyFont="1" applyFill="1" applyBorder="1" applyAlignment="1"/>
    <xf numFmtId="8" fontId="2" fillId="22" borderId="1" xfId="0" applyNumberFormat="1" applyFont="1" applyFill="1" applyBorder="1" applyAlignment="1">
      <alignment horizontal="right"/>
    </xf>
    <xf numFmtId="0" fontId="19" fillId="22" borderId="1" xfId="0" applyNumberFormat="1" applyFont="1" applyFill="1" applyBorder="1" applyAlignment="1">
      <alignment horizontal="right"/>
    </xf>
    <xf numFmtId="10" fontId="1" fillId="22" borderId="1" xfId="3" applyNumberFormat="1" applyFont="1" applyFill="1" applyBorder="1" applyAlignment="1" applyProtection="1">
      <alignment horizontal="right" vertical="top"/>
    </xf>
    <xf numFmtId="8" fontId="1" fillId="22" borderId="1" xfId="3" applyNumberFormat="1" applyFont="1" applyFill="1" applyBorder="1" applyAlignment="1" applyProtection="1">
      <alignment horizontal="right" vertical="top"/>
    </xf>
    <xf numFmtId="0" fontId="2" fillId="22" borderId="1" xfId="3" applyNumberFormat="1" applyFont="1" applyFill="1" applyBorder="1" applyAlignment="1" applyProtection="1">
      <alignment horizontal="left" vertical="top"/>
    </xf>
    <xf numFmtId="0" fontId="20" fillId="22" borderId="1" xfId="0" applyFont="1" applyFill="1" applyBorder="1" applyAlignment="1">
      <alignment vertical="center"/>
    </xf>
    <xf numFmtId="0" fontId="1" fillId="0" borderId="0" xfId="0" applyFont="1" applyAlignment="1"/>
    <xf numFmtId="0" fontId="1" fillId="22" borderId="1" xfId="0" applyFont="1" applyFill="1" applyBorder="1" applyAlignment="1">
      <alignment vertical="center"/>
    </xf>
    <xf numFmtId="10" fontId="1" fillId="0" borderId="1" xfId="0" applyNumberFormat="1" applyFont="1" applyFill="1" applyBorder="1" applyAlignment="1"/>
    <xf numFmtId="8" fontId="1" fillId="0" borderId="1" xfId="0" applyNumberFormat="1" applyFont="1" applyFill="1" applyBorder="1" applyAlignment="1"/>
    <xf numFmtId="0" fontId="1" fillId="0" borderId="1" xfId="0" applyFont="1" applyFill="1" applyBorder="1" applyAlignment="1"/>
    <xf numFmtId="0" fontId="1" fillId="0" borderId="0" xfId="0" applyFont="1" applyFill="1" applyAlignment="1"/>
    <xf numFmtId="0" fontId="10" fillId="2" borderId="1" xfId="0" applyFont="1" applyFill="1" applyBorder="1" applyAlignment="1" applyProtection="1">
      <alignment horizontal="center" vertical="center"/>
    </xf>
    <xf numFmtId="0" fontId="4" fillId="2" borderId="1" xfId="0" applyNumberFormat="1" applyFont="1" applyFill="1" applyBorder="1" applyAlignment="1" applyProtection="1">
      <alignment horizontal="center" vertical="center"/>
    </xf>
    <xf numFmtId="10" fontId="4" fillId="2" borderId="1" xfId="0" applyNumberFormat="1" applyFont="1" applyFill="1" applyBorder="1" applyAlignment="1" applyProtection="1"/>
    <xf numFmtId="8" fontId="4" fillId="2" borderId="1" xfId="0" applyNumberFormat="1" applyFont="1" applyFill="1" applyBorder="1" applyAlignment="1" applyProtection="1">
      <alignment horizontal="right"/>
    </xf>
    <xf numFmtId="0" fontId="4" fillId="2" borderId="1" xfId="0" applyFont="1" applyFill="1" applyBorder="1" applyAlignment="1" applyProtection="1">
      <alignment horizontal="left"/>
    </xf>
    <xf numFmtId="0" fontId="20" fillId="11" borderId="1" xfId="0" applyFont="1" applyFill="1" applyBorder="1" applyAlignment="1"/>
    <xf numFmtId="0" fontId="9" fillId="2" borderId="1" xfId="0" applyFont="1" applyFill="1" applyBorder="1" applyAlignment="1" applyProtection="1">
      <alignment horizontal="center" vertical="center"/>
    </xf>
    <xf numFmtId="0" fontId="20" fillId="0" borderId="1" xfId="0" applyFont="1" applyFill="1" applyBorder="1" applyAlignment="1"/>
    <xf numFmtId="0" fontId="4" fillId="2" borderId="1" xfId="0" applyFont="1" applyFill="1" applyBorder="1" applyAlignment="1" applyProtection="1">
      <alignment horizontal="center" vertical="center"/>
    </xf>
    <xf numFmtId="2" fontId="22" fillId="13" borderId="1" xfId="0" applyNumberFormat="1" applyFont="1" applyFill="1" applyBorder="1" applyAlignment="1">
      <alignment horizontal="center" vertical="center"/>
    </xf>
    <xf numFmtId="167" fontId="22" fillId="13" borderId="3" xfId="0" applyNumberFormat="1" applyFont="1" applyFill="1" applyBorder="1" applyAlignment="1">
      <alignment horizontal="center" vertical="center"/>
    </xf>
    <xf numFmtId="0" fontId="22" fillId="13" borderId="1" xfId="0" applyFont="1" applyFill="1" applyBorder="1" applyAlignment="1">
      <alignment vertical="center"/>
    </xf>
    <xf numFmtId="2" fontId="22" fillId="23" borderId="1" xfId="0" applyNumberFormat="1" applyFont="1" applyFill="1" applyBorder="1" applyAlignment="1">
      <alignment horizontal="center" vertical="center"/>
    </xf>
    <xf numFmtId="0" fontId="22" fillId="13" borderId="11" xfId="0" applyNumberFormat="1" applyFont="1" applyFill="1" applyBorder="1" applyAlignment="1">
      <alignment horizontal="center" vertical="center"/>
    </xf>
    <xf numFmtId="2" fontId="22" fillId="13" borderId="6" xfId="0" applyNumberFormat="1" applyFont="1" applyFill="1" applyBorder="1" applyAlignment="1">
      <alignment horizontal="center" vertical="center"/>
    </xf>
    <xf numFmtId="0" fontId="22" fillId="13" borderId="6" xfId="0" applyFont="1" applyFill="1" applyBorder="1" applyAlignment="1">
      <alignment horizontal="center" vertical="center"/>
    </xf>
    <xf numFmtId="0" fontId="22" fillId="13" borderId="10" xfId="0" applyFont="1" applyFill="1" applyBorder="1" applyAlignment="1">
      <alignment horizontal="center" vertical="center"/>
    </xf>
    <xf numFmtId="0" fontId="0" fillId="0" borderId="0" xfId="0" applyAlignment="1"/>
    <xf numFmtId="2" fontId="2" fillId="0" borderId="0" xfId="0" applyNumberFormat="1" applyFont="1" applyAlignment="1"/>
    <xf numFmtId="0" fontId="19" fillId="0" borderId="0" xfId="0" applyFont="1" applyAlignment="1"/>
    <xf numFmtId="8" fontId="2" fillId="22" borderId="1" xfId="3" applyNumberFormat="1" applyFont="1" applyFill="1" applyBorder="1" applyAlignment="1" applyProtection="1">
      <alignment horizontal="left" vertical="top"/>
    </xf>
    <xf numFmtId="167" fontId="20" fillId="22" borderId="1" xfId="0" applyNumberFormat="1" applyFont="1" applyFill="1" applyBorder="1" applyAlignment="1"/>
    <xf numFmtId="0" fontId="1" fillId="11" borderId="0" xfId="0" applyFont="1" applyFill="1" applyAlignment="1"/>
    <xf numFmtId="0" fontId="26" fillId="0" borderId="0" xfId="0" applyFont="1" applyAlignment="1"/>
    <xf numFmtId="2" fontId="22" fillId="13" borderId="2" xfId="0" applyNumberFormat="1" applyFont="1" applyFill="1" applyBorder="1" applyAlignment="1">
      <alignment horizontal="center" vertical="center"/>
    </xf>
    <xf numFmtId="167" fontId="22" fillId="13" borderId="1" xfId="0" applyNumberFormat="1" applyFont="1" applyFill="1" applyBorder="1" applyAlignment="1">
      <alignment horizontal="right" vertical="center"/>
    </xf>
    <xf numFmtId="0" fontId="22" fillId="13" borderId="1" xfId="0" applyFont="1" applyFill="1" applyBorder="1" applyAlignment="1">
      <alignment horizontal="right" vertical="center"/>
    </xf>
    <xf numFmtId="8" fontId="1" fillId="0" borderId="0" xfId="3" applyNumberFormat="1" applyFont="1" applyFill="1" applyBorder="1" applyAlignment="1" applyProtection="1">
      <alignment horizontal="right"/>
    </xf>
    <xf numFmtId="0" fontId="1" fillId="0" borderId="0" xfId="0" applyFont="1" applyFill="1" applyBorder="1" applyAlignment="1"/>
    <xf numFmtId="2" fontId="2" fillId="22" borderId="1" xfId="0" applyNumberFormat="1" applyFont="1" applyFill="1" applyBorder="1" applyAlignment="1">
      <alignment horizontal="right" vertical="top"/>
    </xf>
    <xf numFmtId="167" fontId="2" fillId="22" borderId="1" xfId="0" applyNumberFormat="1" applyFont="1" applyFill="1" applyBorder="1" applyAlignment="1">
      <alignment horizontal="right"/>
    </xf>
    <xf numFmtId="0" fontId="2" fillId="22" borderId="1" xfId="0" applyFont="1" applyFill="1" applyBorder="1" applyAlignment="1">
      <alignment vertical="center"/>
    </xf>
    <xf numFmtId="167" fontId="1" fillId="22" borderId="1" xfId="0" applyNumberFormat="1" applyFont="1" applyFill="1" applyBorder="1" applyAlignment="1">
      <alignment horizontal="right"/>
    </xf>
    <xf numFmtId="8" fontId="2" fillId="22" borderId="1" xfId="0" applyNumberFormat="1" applyFont="1" applyFill="1" applyBorder="1" applyAlignment="1">
      <alignment horizontal="right" vertical="top"/>
    </xf>
    <xf numFmtId="10" fontId="20" fillId="11" borderId="1" xfId="0" applyNumberFormat="1" applyFont="1" applyFill="1" applyBorder="1" applyAlignment="1"/>
    <xf numFmtId="0" fontId="4" fillId="11" borderId="1" xfId="0" applyNumberFormat="1" applyFont="1" applyFill="1" applyBorder="1" applyAlignment="1" applyProtection="1">
      <alignment horizontal="right"/>
    </xf>
    <xf numFmtId="10" fontId="4" fillId="11" borderId="1" xfId="0" applyNumberFormat="1" applyFont="1" applyFill="1" applyBorder="1" applyAlignment="1" applyProtection="1">
      <alignment horizontal="right"/>
    </xf>
    <xf numFmtId="8" fontId="4" fillId="11" borderId="1" xfId="0" applyNumberFormat="1" applyFont="1" applyFill="1" applyBorder="1" applyAlignment="1" applyProtection="1">
      <alignment horizontal="right"/>
    </xf>
    <xf numFmtId="0" fontId="20" fillId="11" borderId="1" xfId="0" applyFont="1" applyFill="1" applyBorder="1" applyAlignment="1">
      <alignment horizontal="left" vertical="top"/>
    </xf>
    <xf numFmtId="0" fontId="4" fillId="11" borderId="1" xfId="0" applyNumberFormat="1" applyFont="1" applyFill="1" applyBorder="1" applyAlignment="1" applyProtection="1">
      <alignment horizontal="center" vertical="center"/>
    </xf>
    <xf numFmtId="0" fontId="11" fillId="11" borderId="1" xfId="0" applyNumberFormat="1" applyFont="1" applyFill="1" applyBorder="1" applyAlignment="1" applyProtection="1">
      <alignment horizontal="center" vertical="center"/>
    </xf>
    <xf numFmtId="0" fontId="4" fillId="11" borderId="1" xfId="0" applyFont="1" applyFill="1" applyBorder="1" applyAlignment="1" applyProtection="1">
      <alignment horizontal="left"/>
    </xf>
    <xf numFmtId="0" fontId="1" fillId="11" borderId="1" xfId="0" applyNumberFormat="1" applyFont="1" applyFill="1" applyBorder="1" applyAlignment="1" applyProtection="1">
      <alignment horizontal="right"/>
    </xf>
    <xf numFmtId="0" fontId="9" fillId="11" borderId="1" xfId="0" applyNumberFormat="1" applyFont="1" applyFill="1" applyBorder="1" applyAlignment="1" applyProtection="1">
      <alignment horizontal="center" vertical="center"/>
    </xf>
    <xf numFmtId="167" fontId="22" fillId="13" borderId="1" xfId="0" applyNumberFormat="1" applyFont="1" applyFill="1" applyBorder="1" applyAlignment="1">
      <alignment horizontal="center" vertical="center"/>
    </xf>
    <xf numFmtId="0" fontId="22" fillId="13" borderId="9" xfId="0" applyFont="1" applyFill="1" applyBorder="1" applyAlignment="1">
      <alignment horizontal="center" vertical="center"/>
    </xf>
    <xf numFmtId="6" fontId="2" fillId="22" borderId="1" xfId="0" applyNumberFormat="1" applyFont="1" applyFill="1" applyBorder="1" applyAlignment="1">
      <alignment horizontal="right"/>
    </xf>
    <xf numFmtId="8" fontId="2" fillId="22" borderId="1" xfId="3" applyNumberFormat="1" applyFont="1" applyFill="1" applyBorder="1" applyAlignment="1" applyProtection="1">
      <alignment horizontal="right" vertical="top"/>
    </xf>
    <xf numFmtId="0" fontId="1" fillId="21" borderId="1" xfId="0" applyFont="1" applyFill="1" applyBorder="1" applyAlignment="1">
      <alignment horizontal="left" vertical="center"/>
    </xf>
    <xf numFmtId="0" fontId="1" fillId="21" borderId="1" xfId="0" applyFont="1" applyFill="1" applyBorder="1" applyAlignment="1"/>
    <xf numFmtId="0" fontId="1" fillId="25" borderId="1" xfId="0" applyNumberFormat="1" applyFont="1" applyFill="1" applyBorder="1" applyAlignment="1">
      <alignment horizontal="right"/>
    </xf>
    <xf numFmtId="10" fontId="1" fillId="25" borderId="1" xfId="0" applyNumberFormat="1" applyFont="1" applyFill="1" applyBorder="1" applyAlignment="1">
      <alignment horizontal="center" vertical="center"/>
    </xf>
    <xf numFmtId="167" fontId="1" fillId="25" borderId="1" xfId="0" applyNumberFormat="1" applyFont="1" applyFill="1" applyBorder="1" applyAlignment="1">
      <alignment horizontal="right"/>
    </xf>
    <xf numFmtId="8" fontId="1" fillId="25" borderId="1" xfId="0" applyNumberFormat="1" applyFont="1" applyFill="1" applyBorder="1" applyAlignment="1">
      <alignment horizontal="right"/>
    </xf>
    <xf numFmtId="8" fontId="1" fillId="25" borderId="1" xfId="0" applyNumberFormat="1" applyFont="1" applyFill="1" applyBorder="1" applyAlignment="1"/>
    <xf numFmtId="0" fontId="1" fillId="25" borderId="1" xfId="0" applyFont="1" applyFill="1" applyBorder="1" applyAlignment="1">
      <alignment horizontal="left" vertical="center"/>
    </xf>
    <xf numFmtId="0" fontId="1" fillId="25" borderId="1" xfId="0" applyFont="1" applyFill="1" applyBorder="1" applyAlignment="1"/>
    <xf numFmtId="0" fontId="1" fillId="21" borderId="1" xfId="0" applyNumberFormat="1" applyFont="1" applyFill="1" applyBorder="1" applyAlignment="1">
      <alignment horizontal="right"/>
    </xf>
    <xf numFmtId="10" fontId="1" fillId="21" borderId="1" xfId="0" applyNumberFormat="1" applyFont="1" applyFill="1" applyBorder="1" applyAlignment="1">
      <alignment horizontal="center" vertical="center"/>
    </xf>
    <xf numFmtId="167" fontId="1" fillId="21" borderId="1" xfId="0" applyNumberFormat="1" applyFont="1" applyFill="1" applyBorder="1" applyAlignment="1">
      <alignment horizontal="right"/>
    </xf>
    <xf numFmtId="8" fontId="1" fillId="21" borderId="1" xfId="0" applyNumberFormat="1" applyFont="1" applyFill="1" applyBorder="1" applyAlignment="1">
      <alignment horizontal="right"/>
    </xf>
    <xf numFmtId="8" fontId="1" fillId="21" borderId="1" xfId="0" applyNumberFormat="1" applyFont="1" applyFill="1" applyBorder="1" applyAlignment="1"/>
    <xf numFmtId="0" fontId="1" fillId="25" borderId="1" xfId="3" applyNumberFormat="1" applyFont="1" applyFill="1" applyBorder="1" applyAlignment="1" applyProtection="1">
      <alignment horizontal="right"/>
    </xf>
    <xf numFmtId="8" fontId="1" fillId="25" borderId="1" xfId="3" applyNumberFormat="1" applyFont="1" applyFill="1" applyBorder="1" applyAlignment="1" applyProtection="1">
      <alignment horizontal="right"/>
    </xf>
    <xf numFmtId="8" fontId="1" fillId="25" borderId="1" xfId="0" applyNumberFormat="1" applyFont="1" applyFill="1" applyBorder="1" applyAlignment="1">
      <alignment horizontal="left"/>
    </xf>
    <xf numFmtId="0" fontId="1" fillId="25" borderId="1" xfId="0" applyFont="1" applyFill="1" applyBorder="1" applyAlignment="1">
      <alignment horizontal="left"/>
    </xf>
    <xf numFmtId="0" fontId="1" fillId="25" borderId="1" xfId="0" applyFont="1" applyFill="1" applyBorder="1" applyAlignment="1">
      <alignment horizontal="center"/>
    </xf>
    <xf numFmtId="0" fontId="1" fillId="21" borderId="1" xfId="3" applyNumberFormat="1" applyFont="1" applyFill="1" applyBorder="1" applyAlignment="1" applyProtection="1">
      <alignment horizontal="right"/>
    </xf>
    <xf numFmtId="8" fontId="1" fillId="21" borderId="1" xfId="3" applyNumberFormat="1" applyFont="1" applyFill="1" applyBorder="1" applyAlignment="1" applyProtection="1">
      <alignment horizontal="right"/>
    </xf>
    <xf numFmtId="8" fontId="1" fillId="21" borderId="1" xfId="0" applyNumberFormat="1" applyFont="1" applyFill="1" applyBorder="1" applyAlignment="1">
      <alignment horizontal="left"/>
    </xf>
    <xf numFmtId="0" fontId="1" fillId="21" borderId="1" xfId="0" applyFont="1" applyFill="1" applyBorder="1" applyAlignment="1">
      <alignment horizontal="left"/>
    </xf>
    <xf numFmtId="0" fontId="1" fillId="21" borderId="1" xfId="0" applyFont="1" applyFill="1" applyBorder="1" applyAlignment="1">
      <alignment horizontal="center"/>
    </xf>
    <xf numFmtId="3" fontId="1" fillId="25" borderId="1" xfId="3" applyNumberFormat="1" applyFont="1" applyFill="1" applyBorder="1" applyAlignment="1" applyProtection="1">
      <alignment horizontal="right"/>
    </xf>
    <xf numFmtId="3" fontId="1" fillId="21" borderId="1" xfId="3" applyNumberFormat="1" applyFont="1" applyFill="1" applyBorder="1" applyAlignment="1" applyProtection="1">
      <alignment horizontal="right"/>
    </xf>
    <xf numFmtId="0" fontId="2" fillId="0" borderId="0" xfId="0" applyFont="1" applyFill="1" applyBorder="1" applyAlignment="1">
      <alignment vertical="center"/>
    </xf>
    <xf numFmtId="10" fontId="1" fillId="11" borderId="1" xfId="0" applyNumberFormat="1" applyFont="1" applyFill="1" applyBorder="1" applyAlignment="1"/>
    <xf numFmtId="167" fontId="1" fillId="11" borderId="1" xfId="0" applyNumberFormat="1" applyFont="1" applyFill="1" applyBorder="1" applyAlignment="1" applyProtection="1">
      <alignment horizontal="right"/>
    </xf>
    <xf numFmtId="10" fontId="1" fillId="11" borderId="1" xfId="0" applyNumberFormat="1" applyFont="1" applyFill="1" applyBorder="1" applyAlignment="1">
      <alignment horizontal="right"/>
    </xf>
    <xf numFmtId="10" fontId="1" fillId="11" borderId="1" xfId="0" applyNumberFormat="1" applyFont="1" applyFill="1" applyBorder="1" applyAlignment="1" applyProtection="1"/>
    <xf numFmtId="0" fontId="1" fillId="11" borderId="1" xfId="0" applyFont="1" applyFill="1" applyBorder="1" applyAlignment="1">
      <alignment horizontal="left" vertical="top"/>
    </xf>
    <xf numFmtId="8" fontId="1" fillId="11" borderId="1" xfId="0" applyNumberFormat="1" applyFont="1" applyFill="1" applyBorder="1" applyAlignment="1">
      <alignment horizontal="left" vertical="top"/>
    </xf>
    <xf numFmtId="8" fontId="1" fillId="11" borderId="1" xfId="0" applyNumberFormat="1" applyFont="1" applyFill="1" applyBorder="1" applyAlignment="1" applyProtection="1">
      <alignment horizontal="left"/>
    </xf>
    <xf numFmtId="0" fontId="20" fillId="11" borderId="1" xfId="0" applyNumberFormat="1" applyFont="1" applyFill="1" applyBorder="1" applyAlignment="1"/>
    <xf numFmtId="0" fontId="1" fillId="11" borderId="1" xfId="0" applyNumberFormat="1" applyFont="1" applyFill="1" applyBorder="1" applyAlignment="1"/>
    <xf numFmtId="0" fontId="1" fillId="11" borderId="1" xfId="0" applyNumberFormat="1" applyFont="1" applyFill="1" applyBorder="1" applyAlignment="1">
      <alignment horizontal="right"/>
    </xf>
    <xf numFmtId="0" fontId="1" fillId="11" borderId="1" xfId="0" applyNumberFormat="1" applyFont="1" applyFill="1" applyBorder="1" applyAlignment="1" applyProtection="1"/>
    <xf numFmtId="0" fontId="1" fillId="11" borderId="1" xfId="0" applyNumberFormat="1" applyFont="1" applyFill="1" applyBorder="1" applyAlignment="1">
      <alignment horizontal="left" vertical="top"/>
    </xf>
    <xf numFmtId="2" fontId="22" fillId="13" borderId="4" xfId="0" applyNumberFormat="1" applyFont="1" applyFill="1" applyBorder="1" applyAlignment="1">
      <alignment horizontal="center" vertical="center"/>
    </xf>
    <xf numFmtId="0" fontId="22" fillId="13" borderId="3" xfId="0" applyFont="1" applyFill="1" applyBorder="1" applyAlignment="1">
      <alignment horizontal="center" vertical="top"/>
    </xf>
    <xf numFmtId="167" fontId="22" fillId="13" borderId="0" xfId="0" applyNumberFormat="1" applyFont="1" applyFill="1" applyBorder="1" applyAlignment="1">
      <alignment horizontal="center" vertical="center"/>
    </xf>
    <xf numFmtId="0" fontId="26" fillId="0" borderId="0" xfId="0" applyFont="1" applyFill="1" applyAlignment="1"/>
    <xf numFmtId="0" fontId="1" fillId="11" borderId="1" xfId="0" applyNumberFormat="1" applyFont="1" applyFill="1" applyBorder="1" applyAlignment="1">
      <alignment horizontal="center"/>
    </xf>
    <xf numFmtId="167" fontId="22" fillId="13" borderId="2" xfId="0" applyNumberFormat="1" applyFont="1" applyFill="1" applyBorder="1" applyAlignment="1">
      <alignment horizontal="center" vertical="center"/>
    </xf>
    <xf numFmtId="0" fontId="22" fillId="13" borderId="2" xfId="0" applyNumberFormat="1" applyFont="1" applyFill="1" applyBorder="1" applyAlignment="1">
      <alignment horizontal="center" vertical="center"/>
    </xf>
    <xf numFmtId="0" fontId="20" fillId="21" borderId="1" xfId="0" applyNumberFormat="1" applyFont="1" applyFill="1" applyBorder="1" applyAlignment="1">
      <alignment horizontal="center" vertical="center"/>
    </xf>
    <xf numFmtId="10" fontId="20" fillId="21" borderId="1" xfId="0" applyNumberFormat="1" applyFont="1" applyFill="1" applyBorder="1" applyAlignment="1"/>
    <xf numFmtId="167" fontId="20" fillId="21" borderId="1" xfId="0" applyNumberFormat="1" applyFont="1" applyFill="1" applyBorder="1" applyAlignment="1"/>
    <xf numFmtId="8" fontId="20" fillId="21" borderId="1" xfId="0" applyNumberFormat="1" applyFont="1" applyFill="1" applyBorder="1" applyAlignment="1"/>
    <xf numFmtId="0" fontId="20" fillId="21" borderId="1" xfId="0" applyFont="1" applyFill="1" applyBorder="1" applyAlignment="1">
      <alignment horizontal="left"/>
    </xf>
    <xf numFmtId="0" fontId="20" fillId="25" borderId="1" xfId="0" applyNumberFormat="1" applyFont="1" applyFill="1" applyBorder="1" applyAlignment="1">
      <alignment horizontal="center" vertical="center"/>
    </xf>
    <xf numFmtId="10" fontId="20" fillId="25" borderId="1" xfId="0" applyNumberFormat="1" applyFont="1" applyFill="1" applyBorder="1" applyAlignment="1"/>
    <xf numFmtId="167" fontId="20" fillId="25" borderId="1" xfId="0" applyNumberFormat="1" applyFont="1" applyFill="1" applyBorder="1" applyAlignment="1"/>
    <xf numFmtId="8" fontId="20" fillId="25" borderId="1" xfId="0" applyNumberFormat="1" applyFont="1" applyFill="1" applyBorder="1" applyAlignment="1"/>
    <xf numFmtId="0" fontId="20" fillId="25" borderId="1" xfId="0" applyFont="1" applyFill="1" applyBorder="1" applyAlignment="1">
      <alignment horizontal="left"/>
    </xf>
    <xf numFmtId="0" fontId="29" fillId="25" borderId="1" xfId="0" applyFont="1" applyFill="1" applyBorder="1" applyAlignment="1">
      <alignment horizontal="center"/>
    </xf>
    <xf numFmtId="0" fontId="1" fillId="25" borderId="1" xfId="3" applyNumberFormat="1" applyFont="1" applyFill="1" applyBorder="1" applyAlignment="1" applyProtection="1">
      <alignment horizontal="center" vertical="center"/>
    </xf>
    <xf numFmtId="10" fontId="1" fillId="25" borderId="1" xfId="3" applyNumberFormat="1" applyFont="1" applyFill="1" applyBorder="1" applyAlignment="1" applyProtection="1"/>
    <xf numFmtId="167" fontId="1" fillId="25" borderId="1" xfId="3" applyNumberFormat="1" applyFont="1" applyFill="1" applyBorder="1" applyAlignment="1" applyProtection="1"/>
    <xf numFmtId="0" fontId="26" fillId="21" borderId="1" xfId="0" applyFont="1" applyFill="1" applyBorder="1" applyAlignment="1">
      <alignment horizontal="center"/>
    </xf>
    <xf numFmtId="0" fontId="1" fillId="21" borderId="1" xfId="3" applyNumberFormat="1" applyFont="1" applyFill="1" applyBorder="1" applyAlignment="1" applyProtection="1">
      <alignment horizontal="center" vertical="center"/>
    </xf>
    <xf numFmtId="10" fontId="1" fillId="21" borderId="1" xfId="3" applyNumberFormat="1" applyFont="1" applyFill="1" applyBorder="1" applyAlignment="1" applyProtection="1"/>
    <xf numFmtId="167" fontId="1" fillId="21" borderId="1" xfId="3" applyNumberFormat="1" applyFont="1" applyFill="1" applyBorder="1" applyAlignment="1" applyProtection="1"/>
    <xf numFmtId="0" fontId="26" fillId="25" borderId="1" xfId="0" applyFont="1" applyFill="1" applyBorder="1" applyAlignment="1">
      <alignment horizontal="center"/>
    </xf>
    <xf numFmtId="0" fontId="29" fillId="21" borderId="1" xfId="0" applyFont="1" applyFill="1" applyBorder="1" applyAlignment="1">
      <alignment horizontal="center"/>
    </xf>
    <xf numFmtId="0" fontId="20" fillId="25" borderId="1" xfId="0" applyFont="1" applyFill="1" applyBorder="1" applyAlignment="1">
      <alignment horizontal="center"/>
    </xf>
    <xf numFmtId="0" fontId="22" fillId="13" borderId="3" xfId="0" applyFont="1" applyFill="1" applyBorder="1" applyAlignment="1">
      <alignment horizontal="center" vertical="center"/>
    </xf>
    <xf numFmtId="0" fontId="20" fillId="0" borderId="0" xfId="0" applyFont="1" applyBorder="1" applyAlignment="1"/>
    <xf numFmtId="0" fontId="2" fillId="11" borderId="0" xfId="0" applyFont="1" applyFill="1" applyAlignment="1"/>
    <xf numFmtId="0" fontId="2" fillId="11" borderId="0" xfId="0" applyFont="1" applyFill="1" applyBorder="1" applyAlignment="1"/>
    <xf numFmtId="0" fontId="2" fillId="11" borderId="0" xfId="0" applyFont="1" applyFill="1" applyBorder="1" applyAlignment="1" applyProtection="1"/>
    <xf numFmtId="0" fontId="29" fillId="22" borderId="1" xfId="0" applyFont="1" applyFill="1" applyBorder="1" applyAlignment="1">
      <alignment horizontal="center"/>
    </xf>
    <xf numFmtId="0" fontId="20" fillId="22" borderId="1" xfId="0" applyFont="1" applyFill="1" applyBorder="1" applyAlignment="1"/>
    <xf numFmtId="0" fontId="1" fillId="11" borderId="0" xfId="0" applyFont="1" applyFill="1" applyBorder="1" applyAlignment="1" applyProtection="1"/>
    <xf numFmtId="0" fontId="26" fillId="22" borderId="1" xfId="0" applyFont="1" applyFill="1" applyBorder="1" applyAlignment="1">
      <alignment horizontal="center"/>
    </xf>
    <xf numFmtId="0" fontId="20" fillId="22" borderId="1" xfId="0" applyFont="1" applyFill="1" applyBorder="1" applyAlignment="1">
      <alignment horizontal="center"/>
    </xf>
    <xf numFmtId="0" fontId="1" fillId="22" borderId="1" xfId="0" applyFont="1" applyFill="1" applyBorder="1" applyAlignment="1"/>
    <xf numFmtId="0" fontId="4" fillId="2" borderId="0" xfId="0" applyFont="1" applyFill="1" applyBorder="1" applyAlignment="1" applyProtection="1"/>
    <xf numFmtId="0" fontId="22" fillId="13" borderId="3" xfId="0" applyNumberFormat="1" applyFont="1" applyFill="1" applyBorder="1" applyAlignment="1">
      <alignment horizontal="center" vertical="center"/>
    </xf>
    <xf numFmtId="0" fontId="22" fillId="24" borderId="1" xfId="0" applyNumberFormat="1" applyFont="1" applyFill="1" applyBorder="1" applyAlignment="1">
      <alignment horizontal="center" vertical="center"/>
    </xf>
    <xf numFmtId="8" fontId="1" fillId="22" borderId="1" xfId="0" applyNumberFormat="1" applyFont="1" applyFill="1" applyBorder="1" applyAlignment="1"/>
    <xf numFmtId="3" fontId="1" fillId="22" borderId="1" xfId="0" applyNumberFormat="1" applyFont="1" applyFill="1" applyBorder="1" applyAlignment="1">
      <alignment horizontal="center"/>
    </xf>
    <xf numFmtId="10" fontId="0" fillId="0" borderId="0" xfId="0" applyNumberFormat="1"/>
    <xf numFmtId="3" fontId="0" fillId="12" borderId="1" xfId="0" applyNumberFormat="1" applyFill="1" applyBorder="1"/>
    <xf numFmtId="0" fontId="5" fillId="0" borderId="1" xfId="0" applyFont="1" applyBorder="1" applyAlignment="1">
      <alignment horizontal="left" vertical="top" wrapText="1"/>
    </xf>
    <xf numFmtId="0" fontId="2" fillId="10" borderId="1" xfId="0" applyFont="1" applyFill="1" applyBorder="1" applyAlignment="1">
      <alignment horizontal="center" vertical="center"/>
    </xf>
    <xf numFmtId="14" fontId="2" fillId="10" borderId="1" xfId="0" applyNumberFormat="1" applyFont="1" applyFill="1" applyBorder="1" applyAlignment="1">
      <alignment horizontal="center" vertical="center"/>
    </xf>
    <xf numFmtId="0" fontId="20" fillId="0" borderId="1" xfId="0" applyFont="1" applyFill="1" applyBorder="1" applyAlignment="1">
      <alignment horizontal="left" vertical="center"/>
    </xf>
    <xf numFmtId="0" fontId="4" fillId="0" borderId="1" xfId="5" applyFont="1" applyFill="1" applyBorder="1" applyAlignment="1">
      <alignment horizontal="left" vertical="center"/>
    </xf>
    <xf numFmtId="49" fontId="20" fillId="0" borderId="1" xfId="0" applyNumberFormat="1" applyFont="1" applyBorder="1" applyAlignment="1">
      <alignment horizontal="left" vertical="center"/>
    </xf>
    <xf numFmtId="0" fontId="2" fillId="0" borderId="1" xfId="0" applyFont="1" applyFill="1" applyBorder="1" applyAlignment="1">
      <alignment horizontal="left" vertical="center"/>
    </xf>
    <xf numFmtId="0" fontId="20" fillId="0" borderId="1" xfId="0" applyFont="1" applyBorder="1" applyAlignment="1">
      <alignment horizontal="left" vertical="center"/>
    </xf>
    <xf numFmtId="0" fontId="20" fillId="0" borderId="1" xfId="0" applyFont="1" applyBorder="1" applyAlignment="1">
      <alignment vertical="center"/>
    </xf>
    <xf numFmtId="0" fontId="20" fillId="0" borderId="1" xfId="0" applyFont="1" applyBorder="1" applyAlignment="1">
      <alignment horizontal="center" vertical="top"/>
    </xf>
    <xf numFmtId="49" fontId="20" fillId="0" borderId="1" xfId="0" applyNumberFormat="1" applyFont="1" applyBorder="1" applyAlignment="1"/>
    <xf numFmtId="0" fontId="15" fillId="0" borderId="0" xfId="3" applyAlignment="1" applyProtection="1">
      <alignment vertical="center" wrapText="1"/>
    </xf>
    <xf numFmtId="0" fontId="13" fillId="26" borderId="0" xfId="0" applyFont="1" applyFill="1" applyBorder="1" applyAlignment="1">
      <alignment horizontal="center"/>
    </xf>
    <xf numFmtId="0" fontId="13" fillId="26" borderId="1" xfId="0" applyFont="1" applyFill="1" applyBorder="1"/>
    <xf numFmtId="0" fontId="13" fillId="26" borderId="0" xfId="0" applyFont="1" applyFill="1" applyBorder="1"/>
    <xf numFmtId="0" fontId="13" fillId="26" borderId="2" xfId="0" applyFont="1" applyFill="1" applyBorder="1"/>
    <xf numFmtId="0" fontId="13" fillId="26" borderId="3" xfId="0" applyFont="1" applyFill="1" applyBorder="1"/>
    <xf numFmtId="0" fontId="0" fillId="27" borderId="1" xfId="0" applyFill="1" applyBorder="1"/>
    <xf numFmtId="8" fontId="0" fillId="27" borderId="1" xfId="0" applyNumberFormat="1" applyFill="1" applyBorder="1"/>
    <xf numFmtId="3" fontId="0" fillId="27" borderId="1" xfId="0" applyNumberFormat="1" applyFill="1" applyBorder="1"/>
    <xf numFmtId="0" fontId="13" fillId="28" borderId="0" xfId="0" applyFont="1" applyFill="1"/>
    <xf numFmtId="0" fontId="33" fillId="0" borderId="0" xfId="0" applyFont="1" applyAlignment="1">
      <alignment horizontal="center"/>
    </xf>
    <xf numFmtId="0" fontId="13" fillId="26" borderId="0" xfId="0" applyFont="1" applyFill="1"/>
    <xf numFmtId="8" fontId="0" fillId="0" borderId="0" xfId="0" applyNumberFormat="1"/>
    <xf numFmtId="0" fontId="34" fillId="27" borderId="1" xfId="0" applyFont="1" applyFill="1" applyBorder="1"/>
    <xf numFmtId="8" fontId="34" fillId="27" borderId="1" xfId="0" applyNumberFormat="1" applyFont="1" applyFill="1" applyBorder="1"/>
    <xf numFmtId="0" fontId="0" fillId="0" borderId="0" xfId="0" applyBorder="1"/>
    <xf numFmtId="8" fontId="0" fillId="0" borderId="0" xfId="0" applyNumberFormat="1" applyBorder="1"/>
    <xf numFmtId="10" fontId="34" fillId="27" borderId="1" xfId="0" applyNumberFormat="1" applyFont="1" applyFill="1" applyBorder="1"/>
    <xf numFmtId="3" fontId="34" fillId="27" borderId="1" xfId="0" applyNumberFormat="1" applyFont="1" applyFill="1" applyBorder="1"/>
    <xf numFmtId="0" fontId="1" fillId="11" borderId="0" xfId="0" applyFont="1" applyFill="1" applyBorder="1" applyAlignment="1">
      <alignment horizontal="center"/>
    </xf>
    <xf numFmtId="166" fontId="25" fillId="11" borderId="19" xfId="0" applyNumberFormat="1" applyFont="1" applyFill="1" applyBorder="1" applyAlignment="1">
      <alignment horizontal="left" vertical="center"/>
    </xf>
    <xf numFmtId="166" fontId="25" fillId="11" borderId="16" xfId="0" applyNumberFormat="1" applyFont="1" applyFill="1" applyBorder="1" applyAlignment="1">
      <alignment horizontal="left" vertical="center"/>
    </xf>
    <xf numFmtId="1" fontId="25" fillId="11" borderId="16" xfId="0" applyNumberFormat="1" applyFont="1" applyFill="1" applyBorder="1" applyAlignment="1">
      <alignment horizontal="left" vertical="center"/>
    </xf>
    <xf numFmtId="1" fontId="35" fillId="11" borderId="16" xfId="0" applyNumberFormat="1" applyFont="1" applyFill="1" applyBorder="1" applyAlignment="1">
      <alignment horizontal="left" vertical="center"/>
    </xf>
    <xf numFmtId="3" fontId="1" fillId="0" borderId="1" xfId="3" applyNumberFormat="1" applyFont="1" applyBorder="1" applyAlignment="1" applyProtection="1">
      <alignment horizontal="right"/>
    </xf>
    <xf numFmtId="8" fontId="1" fillId="0" borderId="1" xfId="3" applyNumberFormat="1" applyFont="1" applyBorder="1" applyAlignment="1" applyProtection="1">
      <alignment horizontal="right"/>
    </xf>
    <xf numFmtId="0" fontId="20" fillId="11" borderId="0" xfId="0" applyNumberFormat="1" applyFont="1" applyFill="1" applyBorder="1"/>
    <xf numFmtId="8" fontId="20" fillId="11" borderId="0" xfId="0" applyNumberFormat="1" applyFont="1" applyFill="1" applyBorder="1"/>
    <xf numFmtId="8" fontId="1" fillId="11" borderId="0" xfId="0" applyNumberFormat="1" applyFont="1" applyFill="1" applyBorder="1" applyAlignment="1">
      <alignment horizontal="right" wrapText="1"/>
    </xf>
    <xf numFmtId="0" fontId="15" fillId="0" borderId="0" xfId="3" applyAlignment="1" applyProtection="1">
      <alignment horizontal="left" vertical="center" wrapText="1"/>
    </xf>
    <xf numFmtId="0" fontId="15" fillId="0" borderId="1" xfId="3" applyBorder="1" applyAlignment="1" applyProtection="1">
      <alignment horizontal="left" vertical="center" wrapText="1"/>
    </xf>
    <xf numFmtId="0" fontId="15" fillId="0" borderId="1" xfId="3" applyBorder="1" applyAlignment="1" applyProtection="1">
      <alignment vertical="center" wrapText="1"/>
    </xf>
    <xf numFmtId="0" fontId="17" fillId="0" borderId="0" xfId="0" applyFont="1"/>
    <xf numFmtId="0" fontId="20" fillId="9" borderId="1" xfId="0" applyNumberFormat="1" applyFont="1" applyFill="1" applyBorder="1" applyAlignment="1">
      <alignment horizontal="center"/>
    </xf>
    <xf numFmtId="0" fontId="17" fillId="0" borderId="1" xfId="0" applyFont="1" applyBorder="1" applyAlignment="1"/>
    <xf numFmtId="0" fontId="1" fillId="9" borderId="1" xfId="0" applyNumberFormat="1" applyFont="1" applyFill="1" applyBorder="1" applyAlignment="1">
      <alignment wrapText="1"/>
    </xf>
    <xf numFmtId="0" fontId="1" fillId="9" borderId="1" xfId="0" applyNumberFormat="1" applyFont="1" applyFill="1" applyBorder="1" applyAlignment="1">
      <alignment horizontal="right" wrapText="1"/>
    </xf>
    <xf numFmtId="0" fontId="1" fillId="11" borderId="1" xfId="0" applyNumberFormat="1" applyFont="1" applyFill="1" applyBorder="1" applyAlignment="1">
      <alignment horizontal="right" wrapText="1"/>
    </xf>
    <xf numFmtId="8" fontId="1" fillId="11" borderId="1" xfId="0" applyNumberFormat="1" applyFont="1" applyFill="1" applyBorder="1" applyAlignment="1"/>
    <xf numFmtId="4" fontId="1" fillId="11" borderId="1" xfId="0" applyNumberFormat="1" applyFont="1" applyFill="1" applyBorder="1" applyAlignment="1"/>
    <xf numFmtId="3" fontId="1" fillId="11" borderId="1" xfId="0" applyNumberFormat="1" applyFont="1" applyFill="1" applyBorder="1" applyAlignment="1"/>
    <xf numFmtId="3" fontId="1" fillId="11" borderId="1" xfId="0" applyNumberFormat="1" applyFont="1" applyFill="1" applyBorder="1" applyAlignment="1">
      <alignment wrapText="1"/>
    </xf>
    <xf numFmtId="0" fontId="1" fillId="9" borderId="1" xfId="0" applyNumberFormat="1" applyFont="1" applyFill="1" applyBorder="1" applyAlignment="1"/>
    <xf numFmtId="2" fontId="1" fillId="11" borderId="1" xfId="0" applyNumberFormat="1" applyFont="1" applyFill="1" applyBorder="1" applyAlignment="1">
      <alignment horizontal="right" wrapText="1"/>
    </xf>
    <xf numFmtId="2" fontId="1" fillId="11" borderId="1" xfId="0" applyNumberFormat="1" applyFont="1" applyFill="1" applyBorder="1" applyAlignment="1">
      <alignment wrapText="1"/>
    </xf>
    <xf numFmtId="4" fontId="1" fillId="11" borderId="1" xfId="0" applyNumberFormat="1" applyFont="1" applyFill="1" applyBorder="1" applyAlignment="1">
      <alignment horizontal="right" wrapText="1"/>
    </xf>
    <xf numFmtId="10" fontId="17" fillId="0" borderId="1" xfId="0" applyNumberFormat="1" applyFont="1" applyBorder="1"/>
    <xf numFmtId="0" fontId="17" fillId="0" borderId="0" xfId="0" applyFont="1" applyBorder="1" applyAlignment="1"/>
    <xf numFmtId="10" fontId="17" fillId="0" borderId="0" xfId="0" applyNumberFormat="1" applyFont="1" applyBorder="1"/>
    <xf numFmtId="2" fontId="4" fillId="22" borderId="1" xfId="0" applyNumberFormat="1" applyFont="1" applyFill="1" applyBorder="1" applyAlignment="1" applyProtection="1"/>
    <xf numFmtId="2" fontId="4" fillId="22" borderId="1" xfId="0" applyNumberFormat="1" applyFont="1" applyFill="1" applyBorder="1" applyAlignment="1" applyProtection="1">
      <alignment horizontal="right"/>
    </xf>
    <xf numFmtId="8" fontId="1" fillId="9" borderId="1" xfId="0" applyNumberFormat="1" applyFont="1" applyFill="1" applyBorder="1" applyAlignment="1">
      <alignment horizontal="right" wrapText="1"/>
    </xf>
    <xf numFmtId="0" fontId="2" fillId="11" borderId="1" xfId="0" applyNumberFormat="1" applyFont="1" applyFill="1" applyBorder="1" applyAlignment="1"/>
    <xf numFmtId="9" fontId="1" fillId="11" borderId="1" xfId="0" applyNumberFormat="1" applyFont="1" applyFill="1" applyBorder="1" applyAlignment="1">
      <alignment horizontal="right" wrapText="1"/>
    </xf>
    <xf numFmtId="9" fontId="0" fillId="0" borderId="1" xfId="0" applyNumberFormat="1" applyBorder="1"/>
    <xf numFmtId="0" fontId="18" fillId="0" borderId="1" xfId="0" applyFont="1" applyBorder="1"/>
    <xf numFmtId="2" fontId="4" fillId="22" borderId="1" xfId="0" applyNumberFormat="1" applyFont="1" applyFill="1" applyBorder="1" applyAlignment="1" applyProtection="1">
      <alignment horizontal="left"/>
    </xf>
    <xf numFmtId="0" fontId="13" fillId="13" borderId="1" xfId="0" applyFont="1" applyFill="1" applyBorder="1"/>
    <xf numFmtId="8" fontId="1" fillId="9" borderId="1" xfId="0" applyNumberFormat="1" applyFont="1" applyFill="1" applyBorder="1" applyAlignment="1">
      <alignment horizontal="left" wrapText="1"/>
    </xf>
    <xf numFmtId="0" fontId="17" fillId="0" borderId="0" xfId="0" applyFont="1" applyBorder="1"/>
    <xf numFmtId="0" fontId="17" fillId="0" borderId="0" xfId="0" quotePrefix="1" applyFont="1" applyBorder="1"/>
    <xf numFmtId="3" fontId="0" fillId="0" borderId="0" xfId="0" applyNumberFormat="1" applyBorder="1"/>
    <xf numFmtId="0" fontId="36" fillId="0" borderId="0" xfId="0" applyFont="1" applyBorder="1"/>
    <xf numFmtId="0" fontId="1" fillId="11" borderId="0" xfId="0" applyNumberFormat="1" applyFont="1" applyFill="1" applyBorder="1" applyAlignment="1"/>
    <xf numFmtId="8" fontId="1" fillId="9" borderId="1" xfId="0" applyNumberFormat="1" applyFont="1" applyFill="1" applyBorder="1" applyAlignment="1">
      <alignment horizontal="left"/>
    </xf>
    <xf numFmtId="8" fontId="1" fillId="9" borderId="1" xfId="0" applyNumberFormat="1" applyFont="1" applyFill="1" applyBorder="1" applyAlignment="1">
      <alignment horizontal="right"/>
    </xf>
    <xf numFmtId="6" fontId="1" fillId="9" borderId="1" xfId="0" applyNumberFormat="1" applyFont="1" applyFill="1" applyBorder="1" applyAlignment="1">
      <alignment horizontal="right"/>
    </xf>
    <xf numFmtId="0" fontId="1" fillId="9" borderId="1" xfId="0" applyNumberFormat="1" applyFont="1" applyFill="1" applyBorder="1" applyAlignment="1">
      <alignment horizontal="right"/>
    </xf>
    <xf numFmtId="10" fontId="1" fillId="9" borderId="1" xfId="0" applyNumberFormat="1" applyFont="1" applyFill="1" applyBorder="1" applyAlignment="1">
      <alignment horizontal="right"/>
    </xf>
    <xf numFmtId="0" fontId="17" fillId="9" borderId="1" xfId="0" applyFont="1" applyFill="1" applyBorder="1" applyAlignment="1"/>
    <xf numFmtId="0" fontId="13" fillId="13" borderId="0" xfId="0" applyFont="1" applyFill="1"/>
    <xf numFmtId="0" fontId="13" fillId="11" borderId="0" xfId="0" applyFont="1" applyFill="1"/>
    <xf numFmtId="0" fontId="22" fillId="24" borderId="8" xfId="0" applyFont="1" applyFill="1" applyBorder="1" applyAlignment="1">
      <alignment vertical="center"/>
    </xf>
    <xf numFmtId="0" fontId="22" fillId="24" borderId="14" xfId="0" applyFont="1" applyFill="1" applyBorder="1" applyAlignment="1">
      <alignment vertical="center"/>
    </xf>
    <xf numFmtId="0" fontId="22" fillId="24" borderId="9" xfId="0" applyFont="1" applyFill="1" applyBorder="1" applyAlignment="1">
      <alignment vertical="center"/>
    </xf>
    <xf numFmtId="0" fontId="13" fillId="13" borderId="1" xfId="0" applyFont="1" applyFill="1" applyBorder="1" applyAlignment="1">
      <alignment horizontal="center" vertical="center"/>
    </xf>
    <xf numFmtId="0" fontId="4" fillId="0" borderId="1" xfId="5" applyFont="1" applyFill="1" applyBorder="1" applyAlignment="1">
      <alignment horizontal="center" vertical="center" wrapText="1"/>
    </xf>
    <xf numFmtId="0" fontId="5" fillId="0" borderId="1" xfId="0" applyFont="1" applyBorder="1" applyAlignment="1">
      <alignment horizontal="center" vertical="center" wrapText="1"/>
    </xf>
    <xf numFmtId="10" fontId="1" fillId="11" borderId="0" xfId="0" applyNumberFormat="1" applyFont="1" applyFill="1" applyBorder="1" applyAlignment="1">
      <alignment horizontal="right"/>
    </xf>
    <xf numFmtId="10" fontId="2" fillId="11" borderId="0" xfId="0" applyNumberFormat="1" applyFont="1" applyFill="1" applyBorder="1" applyAlignment="1">
      <alignment horizontal="right"/>
    </xf>
    <xf numFmtId="10" fontId="19" fillId="11" borderId="0" xfId="0" applyNumberFormat="1" applyFont="1" applyFill="1" applyBorder="1" applyAlignment="1"/>
    <xf numFmtId="0" fontId="19" fillId="11" borderId="0" xfId="0" applyFont="1" applyFill="1" applyBorder="1" applyAlignment="1"/>
    <xf numFmtId="8" fontId="20" fillId="9" borderId="1" xfId="0" applyNumberFormat="1" applyFont="1" applyFill="1" applyBorder="1"/>
    <xf numFmtId="6" fontId="20" fillId="9" borderId="1" xfId="0" applyNumberFormat="1" applyFont="1" applyFill="1" applyBorder="1"/>
    <xf numFmtId="10" fontId="20" fillId="9" borderId="1" xfId="0" applyNumberFormat="1" applyFont="1" applyFill="1" applyBorder="1"/>
    <xf numFmtId="8" fontId="20" fillId="9" borderId="1" xfId="0" applyNumberFormat="1" applyFont="1" applyFill="1" applyBorder="1" applyAlignment="1"/>
    <xf numFmtId="6" fontId="20" fillId="9" borderId="1" xfId="0" applyNumberFormat="1" applyFont="1" applyFill="1" applyBorder="1" applyAlignment="1"/>
    <xf numFmtId="10" fontId="20" fillId="9" borderId="1" xfId="0" applyNumberFormat="1" applyFont="1" applyFill="1" applyBorder="1" applyAlignment="1"/>
    <xf numFmtId="2" fontId="20" fillId="9" borderId="1" xfId="0" applyNumberFormat="1" applyFont="1" applyFill="1" applyBorder="1" applyAlignment="1"/>
    <xf numFmtId="3" fontId="1" fillId="11" borderId="1" xfId="0" applyNumberFormat="1" applyFont="1" applyFill="1" applyBorder="1" applyAlignment="1" applyProtection="1">
      <alignment horizontal="center" vertical="center"/>
    </xf>
    <xf numFmtId="3" fontId="1" fillId="11" borderId="1" xfId="0" applyNumberFormat="1" applyFont="1" applyFill="1" applyBorder="1" applyAlignment="1">
      <alignment horizontal="center" vertical="center"/>
    </xf>
    <xf numFmtId="3" fontId="4" fillId="11" borderId="1" xfId="0" applyNumberFormat="1" applyFont="1" applyFill="1" applyBorder="1" applyAlignment="1" applyProtection="1">
      <alignment horizontal="right"/>
    </xf>
    <xf numFmtId="10" fontId="17" fillId="0" borderId="0" xfId="0" applyNumberFormat="1" applyFont="1"/>
    <xf numFmtId="0" fontId="17" fillId="0" borderId="1" xfId="0" applyFont="1" applyBorder="1"/>
    <xf numFmtId="10" fontId="17" fillId="0" borderId="1" xfId="0" applyNumberFormat="1" applyFont="1" applyBorder="1" applyAlignment="1"/>
    <xf numFmtId="0" fontId="20" fillId="21" borderId="0" xfId="0" applyFont="1" applyFill="1" applyBorder="1" applyAlignment="1">
      <alignment horizontal="left"/>
    </xf>
    <xf numFmtId="8" fontId="20" fillId="21" borderId="0" xfId="0" applyNumberFormat="1" applyFont="1" applyFill="1" applyBorder="1" applyAlignment="1"/>
    <xf numFmtId="167" fontId="1" fillId="21" borderId="0" xfId="3" applyNumberFormat="1" applyFont="1" applyFill="1" applyBorder="1" applyAlignment="1" applyProtection="1"/>
    <xf numFmtId="10" fontId="1" fillId="21" borderId="0" xfId="3" applyNumberFormat="1" applyFont="1" applyFill="1" applyBorder="1" applyAlignment="1" applyProtection="1"/>
    <xf numFmtId="0" fontId="1" fillId="21" borderId="0" xfId="3" applyNumberFormat="1" applyFont="1" applyFill="1" applyBorder="1" applyAlignment="1" applyProtection="1">
      <alignment horizontal="center" vertical="center"/>
    </xf>
    <xf numFmtId="0" fontId="20" fillId="11" borderId="0" xfId="0" applyFont="1" applyFill="1" applyBorder="1"/>
    <xf numFmtId="167" fontId="1" fillId="11" borderId="0" xfId="0" applyNumberFormat="1" applyFont="1" applyFill="1" applyBorder="1"/>
    <xf numFmtId="8" fontId="1" fillId="11" borderId="0" xfId="3" applyNumberFormat="1" applyFont="1" applyFill="1" applyBorder="1" applyAlignment="1" applyProtection="1">
      <alignment horizontal="right" wrapText="1"/>
    </xf>
    <xf numFmtId="0" fontId="1" fillId="11" borderId="0" xfId="0" applyNumberFormat="1" applyFont="1" applyFill="1" applyBorder="1" applyAlignment="1">
      <alignment horizontal="center" vertical="center" wrapText="1"/>
    </xf>
    <xf numFmtId="0" fontId="22" fillId="13" borderId="1" xfId="0" applyFont="1" applyFill="1" applyBorder="1" applyAlignment="1">
      <alignment horizontal="center" vertical="center" wrapText="1"/>
    </xf>
    <xf numFmtId="3" fontId="0" fillId="0" borderId="0" xfId="0" applyNumberFormat="1"/>
    <xf numFmtId="0" fontId="0" fillId="0" borderId="0" xfId="0" applyAlignment="1">
      <alignment wrapText="1"/>
    </xf>
    <xf numFmtId="0" fontId="0" fillId="0" borderId="0" xfId="0" applyAlignment="1">
      <alignment horizontal="right" wrapText="1"/>
    </xf>
    <xf numFmtId="3" fontId="0" fillId="0" borderId="0" xfId="0" applyNumberFormat="1" applyAlignment="1">
      <alignment horizontal="right" wrapText="1"/>
    </xf>
    <xf numFmtId="0" fontId="15" fillId="0" borderId="0" xfId="3" applyAlignment="1" applyProtection="1">
      <alignment horizontal="right" wrapText="1"/>
    </xf>
    <xf numFmtId="3" fontId="15" fillId="0" borderId="0" xfId="3" applyNumberFormat="1" applyAlignment="1" applyProtection="1">
      <alignment horizontal="right" wrapText="1"/>
    </xf>
    <xf numFmtId="10" fontId="0" fillId="0" borderId="0" xfId="0" applyNumberFormat="1" applyAlignment="1">
      <alignment horizontal="right" wrapText="1"/>
    </xf>
    <xf numFmtId="0" fontId="18" fillId="0" borderId="0" xfId="0" applyFont="1"/>
    <xf numFmtId="0" fontId="22" fillId="13" borderId="1" xfId="0" applyFont="1" applyFill="1" applyBorder="1" applyAlignment="1">
      <alignment horizontal="center" vertical="center" wrapText="1"/>
    </xf>
    <xf numFmtId="0" fontId="22" fillId="13" borderId="0" xfId="0" applyFont="1" applyFill="1" applyBorder="1" applyAlignment="1">
      <alignment horizontal="center"/>
    </xf>
    <xf numFmtId="0" fontId="22" fillId="13" borderId="7" xfId="0" applyFont="1" applyFill="1" applyBorder="1" applyAlignment="1">
      <alignment horizontal="center"/>
    </xf>
    <xf numFmtId="0" fontId="19" fillId="0" borderId="0" xfId="0" applyFont="1" applyBorder="1" applyAlignment="1">
      <alignment horizontal="center"/>
    </xf>
    <xf numFmtId="0" fontId="19" fillId="0" borderId="13" xfId="0" applyFont="1" applyBorder="1" applyAlignment="1">
      <alignment horizontal="center"/>
    </xf>
    <xf numFmtId="0" fontId="22" fillId="13" borderId="4" xfId="0" applyFont="1" applyFill="1" applyBorder="1" applyAlignment="1">
      <alignment horizontal="center" vertical="center"/>
    </xf>
    <xf numFmtId="0" fontId="22" fillId="13" borderId="1" xfId="0" applyFont="1" applyFill="1" applyBorder="1" applyAlignment="1">
      <alignment horizontal="center" vertical="center" wrapText="1"/>
    </xf>
    <xf numFmtId="3" fontId="0" fillId="22" borderId="1" xfId="0" applyNumberFormat="1" applyFill="1" applyBorder="1"/>
    <xf numFmtId="0" fontId="20" fillId="22" borderId="1" xfId="0" applyNumberFormat="1" applyFont="1" applyFill="1" applyBorder="1" applyAlignment="1">
      <alignment horizontal="left"/>
    </xf>
    <xf numFmtId="6" fontId="20" fillId="0" borderId="0" xfId="0" applyNumberFormat="1" applyFont="1"/>
    <xf numFmtId="3" fontId="20" fillId="0" borderId="0" xfId="0" applyNumberFormat="1" applyFont="1"/>
    <xf numFmtId="10" fontId="20" fillId="0" borderId="0" xfId="0" applyNumberFormat="1" applyFont="1"/>
    <xf numFmtId="6" fontId="20" fillId="0" borderId="0" xfId="0" applyNumberFormat="1" applyFont="1" applyAlignment="1">
      <alignment horizontal="right"/>
    </xf>
    <xf numFmtId="6" fontId="20" fillId="0" borderId="0" xfId="0" applyNumberFormat="1" applyFont="1" applyFill="1"/>
    <xf numFmtId="0" fontId="1" fillId="11" borderId="1" xfId="0" applyFont="1" applyFill="1" applyBorder="1" applyAlignment="1">
      <alignment horizontal="center" vertical="center" wrapText="1"/>
    </xf>
    <xf numFmtId="0" fontId="15" fillId="0" borderId="0" xfId="3" applyAlignment="1" applyProtection="1">
      <alignment horizontal="center" vertical="center"/>
    </xf>
    <xf numFmtId="8" fontId="22" fillId="13" borderId="13" xfId="0" applyNumberFormat="1" applyFont="1" applyFill="1" applyBorder="1" applyAlignment="1">
      <alignment horizontal="center"/>
    </xf>
    <xf numFmtId="0" fontId="22" fillId="24" borderId="8" xfId="0" applyFont="1" applyFill="1" applyBorder="1" applyAlignment="1">
      <alignment horizontal="center" vertical="center" wrapText="1"/>
    </xf>
    <xf numFmtId="0" fontId="22" fillId="24" borderId="9" xfId="0" applyFont="1" applyFill="1" applyBorder="1" applyAlignment="1">
      <alignment horizontal="center" vertical="center" wrapText="1"/>
    </xf>
    <xf numFmtId="49" fontId="2" fillId="10" borderId="2" xfId="0" applyNumberFormat="1" applyFont="1" applyFill="1" applyBorder="1" applyAlignment="1">
      <alignment horizontal="center" vertical="center" wrapText="1"/>
    </xf>
    <xf numFmtId="49" fontId="2" fillId="10" borderId="4" xfId="0" applyNumberFormat="1"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0" fillId="0" borderId="1" xfId="0" applyFont="1" applyBorder="1" applyAlignment="1">
      <alignment horizontal="center" vertical="center" wrapText="1"/>
    </xf>
    <xf numFmtId="0" fontId="5" fillId="0" borderId="1" xfId="0" applyFont="1" applyBorder="1" applyAlignment="1">
      <alignment horizontal="left" vertical="top" wrapText="1"/>
    </xf>
    <xf numFmtId="0" fontId="15" fillId="0" borderId="1" xfId="3" applyBorder="1" applyAlignment="1" applyProtection="1">
      <alignment vertical="center"/>
    </xf>
    <xf numFmtId="0" fontId="15" fillId="0" borderId="1" xfId="3" quotePrefix="1" applyBorder="1" applyAlignment="1" applyProtection="1">
      <alignmen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9" fillId="29" borderId="7" xfId="0" applyFont="1" applyFill="1" applyBorder="1" applyAlignment="1">
      <alignment horizontal="center" vertical="center" wrapText="1"/>
    </xf>
    <xf numFmtId="0" fontId="22" fillId="24" borderId="1" xfId="0" applyNumberFormat="1" applyFont="1" applyFill="1" applyBorder="1" applyAlignment="1">
      <alignment horizontal="center" vertical="center" wrapText="1"/>
    </xf>
    <xf numFmtId="0" fontId="22" fillId="24" borderId="5" xfId="0" applyNumberFormat="1" applyFont="1" applyFill="1" applyBorder="1" applyAlignment="1">
      <alignment horizontal="center" vertical="center" wrapText="1"/>
    </xf>
    <xf numFmtId="0" fontId="22" fillId="24" borderId="13" xfId="0" applyNumberFormat="1" applyFont="1" applyFill="1" applyBorder="1" applyAlignment="1">
      <alignment horizontal="center" vertical="center" wrapText="1"/>
    </xf>
    <xf numFmtId="0" fontId="22" fillId="24" borderId="8" xfId="0" applyNumberFormat="1" applyFont="1" applyFill="1" applyBorder="1" applyAlignment="1">
      <alignment horizontal="center"/>
    </xf>
    <xf numFmtId="0" fontId="22" fillId="24" borderId="14" xfId="0" applyNumberFormat="1" applyFont="1" applyFill="1" applyBorder="1" applyAlignment="1">
      <alignment horizontal="center"/>
    </xf>
    <xf numFmtId="0" fontId="22" fillId="24" borderId="9" xfId="0" applyNumberFormat="1" applyFont="1" applyFill="1" applyBorder="1" applyAlignment="1">
      <alignment horizontal="center"/>
    </xf>
    <xf numFmtId="0" fontId="19" fillId="20" borderId="1" xfId="0" applyNumberFormat="1" applyFont="1" applyFill="1" applyBorder="1" applyAlignment="1">
      <alignment horizontal="center"/>
    </xf>
    <xf numFmtId="0" fontId="22" fillId="24" borderId="1" xfId="0" applyNumberFormat="1" applyFont="1" applyFill="1" applyBorder="1" applyAlignment="1">
      <alignment horizontal="center"/>
    </xf>
    <xf numFmtId="49" fontId="2" fillId="10" borderId="2" xfId="0" applyNumberFormat="1" applyFont="1" applyFill="1" applyBorder="1" applyAlignment="1">
      <alignment horizontal="center" vertical="center"/>
    </xf>
    <xf numFmtId="0" fontId="0" fillId="0" borderId="4" xfId="0" applyBorder="1" applyAlignment="1"/>
    <xf numFmtId="0" fontId="2" fillId="10" borderId="2" xfId="0" applyFont="1" applyFill="1" applyBorder="1" applyAlignment="1">
      <alignment horizontal="center" vertical="center"/>
    </xf>
    <xf numFmtId="0" fontId="20" fillId="0" borderId="2" xfId="0" applyFont="1" applyBorder="1" applyAlignment="1">
      <alignment horizontal="center" vertical="center"/>
    </xf>
    <xf numFmtId="0" fontId="0" fillId="0" borderId="3" xfId="0" applyBorder="1" applyAlignment="1"/>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15" fillId="0" borderId="2" xfId="3" applyBorder="1" applyAlignment="1" applyProtection="1">
      <alignment horizontal="center" vertical="center"/>
    </xf>
    <xf numFmtId="0" fontId="15" fillId="0" borderId="3" xfId="3" applyBorder="1" applyAlignment="1" applyProtection="1"/>
    <xf numFmtId="0" fontId="15" fillId="0" borderId="4" xfId="3" applyBorder="1" applyAlignment="1" applyProtection="1"/>
    <xf numFmtId="0" fontId="5" fillId="0" borderId="2" xfId="0" applyFont="1" applyBorder="1" applyAlignment="1">
      <alignment horizontal="left" vertical="top" wrapText="1"/>
    </xf>
    <xf numFmtId="0" fontId="0" fillId="0" borderId="3" xfId="0" applyBorder="1" applyAlignment="1">
      <alignment horizontal="left" wrapText="1"/>
    </xf>
    <xf numFmtId="0" fontId="0" fillId="0" borderId="4" xfId="0" applyBorder="1" applyAlignment="1">
      <alignment horizontal="left" wrapText="1"/>
    </xf>
    <xf numFmtId="0" fontId="19" fillId="29" borderId="7" xfId="0" applyFont="1" applyFill="1" applyBorder="1" applyAlignment="1">
      <alignment horizontal="center" vertical="center"/>
    </xf>
    <xf numFmtId="0" fontId="0" fillId="0" borderId="15" xfId="0" applyBorder="1" applyAlignment="1"/>
    <xf numFmtId="0" fontId="19" fillId="29" borderId="15"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15" xfId="0" applyFont="1" applyFill="1" applyBorder="1" applyAlignment="1">
      <alignment horizontal="center" vertical="center" wrapText="1"/>
    </xf>
    <xf numFmtId="0" fontId="20" fillId="0" borderId="1" xfId="0" applyFont="1" applyBorder="1" applyAlignment="1">
      <alignment horizontal="left" vertical="center"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vertical="top"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5" fillId="0" borderId="1" xfId="3" quotePrefix="1" applyBorder="1" applyAlignment="1" applyProtection="1">
      <alignment horizontal="center" vertical="center"/>
    </xf>
    <xf numFmtId="0" fontId="15" fillId="0" borderId="1" xfId="3" applyBorder="1" applyAlignment="1" applyProtection="1">
      <alignment horizontal="center" vertical="center"/>
    </xf>
    <xf numFmtId="3" fontId="22" fillId="13" borderId="0" xfId="0" applyNumberFormat="1" applyFont="1" applyFill="1" applyBorder="1" applyAlignment="1">
      <alignment horizontal="center"/>
    </xf>
    <xf numFmtId="0" fontId="22" fillId="24" borderId="1" xfId="0" applyNumberFormat="1" applyFont="1" applyFill="1" applyBorder="1" applyAlignment="1">
      <alignment horizontal="center" vertical="center"/>
    </xf>
    <xf numFmtId="0" fontId="22" fillId="13" borderId="0" xfId="0" applyFont="1" applyFill="1" applyBorder="1" applyAlignment="1">
      <alignment horizontal="center" vertical="center"/>
    </xf>
    <xf numFmtId="0" fontId="22" fillId="13" borderId="12" xfId="0" applyFont="1" applyFill="1" applyBorder="1" applyAlignment="1">
      <alignment horizontal="center" vertical="center"/>
    </xf>
    <xf numFmtId="0" fontId="22" fillId="24" borderId="1" xfId="0" applyFont="1" applyFill="1" applyBorder="1" applyAlignment="1">
      <alignment horizontal="center" vertical="center"/>
    </xf>
    <xf numFmtId="0" fontId="2" fillId="0" borderId="0" xfId="0" applyFont="1" applyFill="1" applyBorder="1" applyAlignment="1">
      <alignment horizontal="center" vertical="center" wrapText="1"/>
    </xf>
    <xf numFmtId="0" fontId="19" fillId="0" borderId="0" xfId="0" applyFont="1" applyBorder="1" applyAlignment="1">
      <alignment horizontal="center"/>
    </xf>
    <xf numFmtId="0" fontId="22" fillId="24" borderId="6" xfId="0" applyFont="1" applyFill="1" applyBorder="1" applyAlignment="1">
      <alignment horizontal="center" vertical="center"/>
    </xf>
    <xf numFmtId="0" fontId="22" fillId="24" borderId="0" xfId="0" applyFont="1" applyFill="1" applyBorder="1" applyAlignment="1">
      <alignment horizontal="center" vertical="center"/>
    </xf>
    <xf numFmtId="0" fontId="22" fillId="13" borderId="0" xfId="0" applyFont="1" applyFill="1" applyBorder="1" applyAlignment="1">
      <alignment horizontal="center"/>
    </xf>
    <xf numFmtId="0" fontId="22" fillId="13" borderId="7" xfId="0" applyFont="1" applyFill="1" applyBorder="1" applyAlignment="1">
      <alignment horizontal="center"/>
    </xf>
    <xf numFmtId="0" fontId="22" fillId="13" borderId="8" xfId="0" applyFont="1" applyFill="1" applyBorder="1" applyAlignment="1">
      <alignment horizontal="center"/>
    </xf>
    <xf numFmtId="0" fontId="22" fillId="13" borderId="14" xfId="0" applyFont="1" applyFill="1" applyBorder="1" applyAlignment="1">
      <alignment horizontal="center"/>
    </xf>
    <xf numFmtId="0" fontId="22" fillId="13" borderId="9" xfId="0" applyFont="1" applyFill="1" applyBorder="1" applyAlignment="1">
      <alignment horizontal="center"/>
    </xf>
    <xf numFmtId="0" fontId="22" fillId="13" borderId="2" xfId="0" applyFont="1" applyFill="1" applyBorder="1" applyAlignment="1">
      <alignment horizontal="center" vertical="center"/>
    </xf>
    <xf numFmtId="0" fontId="22" fillId="13" borderId="4" xfId="0" applyFont="1" applyFill="1" applyBorder="1" applyAlignment="1">
      <alignment horizontal="center" vertical="center"/>
    </xf>
    <xf numFmtId="0" fontId="20" fillId="0" borderId="4" xfId="0" applyFont="1" applyBorder="1" applyAlignment="1">
      <alignment horizontal="center"/>
    </xf>
    <xf numFmtId="0" fontId="20" fillId="0" borderId="11" xfId="0" applyFont="1" applyBorder="1" applyAlignment="1">
      <alignment horizontal="center"/>
    </xf>
    <xf numFmtId="0" fontId="20" fillId="0" borderId="5" xfId="0" applyFont="1" applyBorder="1" applyAlignment="1">
      <alignment horizontal="center"/>
    </xf>
    <xf numFmtId="0" fontId="20" fillId="0" borderId="15" xfId="0" applyFont="1" applyBorder="1" applyAlignment="1">
      <alignment horizont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15" xfId="0" applyFont="1" applyBorder="1" applyAlignment="1">
      <alignment horizontal="center" vertical="center" wrapText="1"/>
    </xf>
    <xf numFmtId="0" fontId="15" fillId="0" borderId="2" xfId="3" applyBorder="1" applyAlignment="1" applyProtection="1">
      <alignment horizontal="center" vertical="center" wrapText="1"/>
    </xf>
    <xf numFmtId="0" fontId="15" fillId="0" borderId="3" xfId="3" applyBorder="1" applyAlignment="1" applyProtection="1">
      <alignment horizontal="center" vertical="center" wrapText="1"/>
    </xf>
    <xf numFmtId="0" fontId="15" fillId="0" borderId="4" xfId="3" applyBorder="1" applyAlignment="1" applyProtection="1">
      <alignment horizontal="center" vertical="center" wrapText="1"/>
    </xf>
    <xf numFmtId="0" fontId="2" fillId="0" borderId="0" xfId="0" applyFont="1" applyFill="1" applyBorder="1" applyAlignment="1">
      <alignment horizontal="center" vertical="center"/>
    </xf>
    <xf numFmtId="0" fontId="22" fillId="24" borderId="10" xfId="0" applyFont="1" applyFill="1" applyBorder="1" applyAlignment="1">
      <alignment horizontal="center" vertical="center"/>
    </xf>
    <xf numFmtId="0" fontId="5" fillId="0" borderId="6" xfId="0" applyFont="1" applyBorder="1" applyAlignment="1">
      <alignment horizontal="left" vertical="top" wrapText="1"/>
    </xf>
    <xf numFmtId="0" fontId="5" fillId="0" borderId="0" xfId="0" applyFont="1" applyBorder="1" applyAlignment="1">
      <alignment horizontal="left" vertical="top" wrapText="1"/>
    </xf>
    <xf numFmtId="0" fontId="5" fillId="0" borderId="13" xfId="0" applyFont="1" applyBorder="1" applyAlignment="1">
      <alignment horizontal="left" vertical="top" wrapText="1"/>
    </xf>
    <xf numFmtId="0" fontId="20" fillId="0" borderId="6"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13" xfId="0" applyFont="1" applyBorder="1" applyAlignment="1">
      <alignment horizontal="center" vertical="center" wrapText="1"/>
    </xf>
    <xf numFmtId="0" fontId="15" fillId="0" borderId="11" xfId="3" applyBorder="1" applyAlignment="1" applyProtection="1">
      <alignment horizontal="center" vertical="center"/>
    </xf>
    <xf numFmtId="0" fontId="15" fillId="0" borderId="7" xfId="3" applyBorder="1" applyAlignment="1" applyProtection="1">
      <alignment horizontal="center" vertical="center"/>
    </xf>
    <xf numFmtId="0" fontId="15" fillId="0" borderId="15" xfId="3" applyBorder="1" applyAlignment="1" applyProtection="1">
      <alignment horizontal="center" vertical="center"/>
    </xf>
    <xf numFmtId="0" fontId="22" fillId="13" borderId="1" xfId="0" applyFont="1" applyFill="1" applyBorder="1" applyAlignment="1">
      <alignment horizontal="center" vertical="center" wrapText="1"/>
    </xf>
    <xf numFmtId="0" fontId="22" fillId="13" borderId="13" xfId="0" applyFont="1" applyFill="1" applyBorder="1" applyAlignment="1">
      <alignment horizontal="center" vertical="top"/>
    </xf>
    <xf numFmtId="0" fontId="22" fillId="14" borderId="2" xfId="0" applyFont="1" applyFill="1" applyBorder="1" applyAlignment="1">
      <alignment horizontal="center" vertical="center" wrapText="1"/>
    </xf>
    <xf numFmtId="0" fontId="22" fillId="14" borderId="4"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19" fillId="0" borderId="12" xfId="0" applyFont="1" applyBorder="1" applyAlignment="1">
      <alignment horizontal="center"/>
    </xf>
    <xf numFmtId="0" fontId="31" fillId="21" borderId="0" xfId="0" applyFont="1" applyFill="1" applyBorder="1" applyAlignment="1">
      <alignment horizontal="center" wrapText="1"/>
    </xf>
    <xf numFmtId="0" fontId="2" fillId="0" borderId="5" xfId="0" applyFont="1" applyFill="1" applyBorder="1" applyAlignment="1">
      <alignment horizontal="center" vertical="top" wrapText="1"/>
    </xf>
    <xf numFmtId="0" fontId="2" fillId="0" borderId="13" xfId="0" applyFont="1" applyFill="1" applyBorder="1" applyAlignment="1">
      <alignment horizontal="center" vertical="top" wrapText="1"/>
    </xf>
    <xf numFmtId="0" fontId="19" fillId="0" borderId="5" xfId="0" applyFont="1" applyBorder="1" applyAlignment="1">
      <alignment horizontal="center" vertical="top"/>
    </xf>
    <xf numFmtId="0" fontId="19" fillId="0" borderId="13" xfId="0" applyFont="1" applyBorder="1" applyAlignment="1">
      <alignment horizontal="center" vertical="top"/>
    </xf>
    <xf numFmtId="0" fontId="2" fillId="10" borderId="3" xfId="0" applyFont="1" applyFill="1" applyBorder="1" applyAlignment="1">
      <alignment horizontal="center" vertical="center" wrapText="1"/>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24" fillId="0" borderId="2" xfId="3" applyFont="1" applyBorder="1" applyAlignment="1" applyProtection="1">
      <alignment horizontal="center" vertical="center"/>
    </xf>
    <xf numFmtId="0" fontId="24" fillId="0" borderId="3" xfId="3" applyFont="1" applyBorder="1" applyAlignment="1" applyProtection="1">
      <alignment horizontal="center" vertical="center"/>
    </xf>
    <xf numFmtId="0" fontId="24" fillId="0" borderId="4" xfId="3" applyFont="1" applyBorder="1" applyAlignment="1" applyProtection="1">
      <alignment horizontal="center" vertical="center"/>
    </xf>
    <xf numFmtId="0" fontId="2" fillId="0" borderId="12" xfId="0" applyFont="1" applyFill="1" applyBorder="1" applyAlignment="1">
      <alignment horizontal="center" vertical="center" wrapText="1"/>
    </xf>
    <xf numFmtId="0" fontId="22" fillId="14" borderId="2" xfId="0" applyFont="1" applyFill="1" applyBorder="1" applyAlignment="1">
      <alignment horizontal="center" vertical="top" wrapText="1"/>
    </xf>
    <xf numFmtId="0" fontId="22" fillId="14" borderId="4" xfId="0" applyFont="1" applyFill="1" applyBorder="1" applyAlignment="1">
      <alignment horizontal="center" vertical="top" wrapText="1"/>
    </xf>
    <xf numFmtId="0" fontId="19" fillId="0" borderId="12" xfId="0" applyFont="1" applyBorder="1" applyAlignment="1">
      <alignment horizontal="center" vertical="top"/>
    </xf>
    <xf numFmtId="0" fontId="19" fillId="0" borderId="0" xfId="0" applyFont="1" applyBorder="1" applyAlignment="1">
      <alignment horizontal="center" vertical="top"/>
    </xf>
    <xf numFmtId="0" fontId="2" fillId="0" borderId="12" xfId="0" applyFont="1" applyFill="1" applyBorder="1" applyAlignment="1">
      <alignment horizontal="center" vertical="top" wrapText="1"/>
    </xf>
    <xf numFmtId="0" fontId="2" fillId="0" borderId="0" xfId="0" applyFont="1" applyFill="1" applyBorder="1" applyAlignment="1">
      <alignment horizontal="center" vertical="top" wrapText="1"/>
    </xf>
    <xf numFmtId="0" fontId="22" fillId="13" borderId="0" xfId="0" applyFont="1" applyFill="1" applyBorder="1" applyAlignment="1">
      <alignment horizontal="center" vertical="top" wrapText="1"/>
    </xf>
    <xf numFmtId="0" fontId="22" fillId="13" borderId="0" xfId="0" applyFont="1" applyFill="1" applyAlignment="1">
      <alignment horizontal="center" vertical="center"/>
    </xf>
    <xf numFmtId="0" fontId="22" fillId="13" borderId="13" xfId="0" applyFont="1" applyFill="1" applyBorder="1" applyAlignment="1">
      <alignment horizontal="center" vertical="center"/>
    </xf>
    <xf numFmtId="0" fontId="13" fillId="26" borderId="8" xfId="0" applyFont="1" applyFill="1" applyBorder="1" applyAlignment="1">
      <alignment horizontal="center"/>
    </xf>
    <xf numFmtId="0" fontId="13" fillId="26" borderId="14" xfId="0" applyFont="1" applyFill="1" applyBorder="1" applyAlignment="1">
      <alignment horizontal="center"/>
    </xf>
    <xf numFmtId="0" fontId="13" fillId="26" borderId="9" xfId="0" applyFont="1" applyFill="1" applyBorder="1" applyAlignment="1">
      <alignment horizontal="center"/>
    </xf>
    <xf numFmtId="0" fontId="13" fillId="26" borderId="0" xfId="0" applyFont="1" applyFill="1" applyBorder="1" applyAlignment="1">
      <alignment horizontal="center"/>
    </xf>
    <xf numFmtId="0" fontId="13" fillId="26" borderId="12" xfId="0" applyFont="1" applyFill="1" applyBorder="1" applyAlignment="1">
      <alignment horizontal="center"/>
    </xf>
    <xf numFmtId="0" fontId="22" fillId="24" borderId="0" xfId="0" applyFont="1" applyFill="1" applyBorder="1" applyAlignment="1">
      <alignment horizontal="center"/>
    </xf>
    <xf numFmtId="0" fontId="22" fillId="28" borderId="0" xfId="0" applyFont="1" applyFill="1" applyAlignment="1">
      <alignment horizontal="center"/>
    </xf>
    <xf numFmtId="0" fontId="13" fillId="28" borderId="8" xfId="0" applyFont="1" applyFill="1" applyBorder="1" applyAlignment="1">
      <alignment horizontal="center"/>
    </xf>
    <xf numFmtId="0" fontId="13" fillId="28" borderId="14" xfId="0" applyFont="1" applyFill="1" applyBorder="1" applyAlignment="1">
      <alignment horizontal="center"/>
    </xf>
    <xf numFmtId="0" fontId="13" fillId="28" borderId="9" xfId="0" applyFont="1" applyFill="1" applyBorder="1" applyAlignment="1">
      <alignment horizontal="center"/>
    </xf>
    <xf numFmtId="0" fontId="22" fillId="28" borderId="6" xfId="0" applyFont="1" applyFill="1" applyBorder="1" applyAlignment="1">
      <alignment horizontal="center"/>
    </xf>
    <xf numFmtId="0" fontId="22" fillId="26" borderId="8" xfId="0" applyFont="1" applyFill="1" applyBorder="1" applyAlignment="1">
      <alignment horizontal="center"/>
    </xf>
    <xf numFmtId="0" fontId="22" fillId="26" borderId="14" xfId="0" applyFont="1" applyFill="1" applyBorder="1" applyAlignment="1">
      <alignment horizontal="center"/>
    </xf>
    <xf numFmtId="0" fontId="22" fillId="26" borderId="9" xfId="0" applyFont="1" applyFill="1" applyBorder="1" applyAlignment="1">
      <alignment horizontal="center"/>
    </xf>
    <xf numFmtId="0" fontId="22" fillId="26" borderId="0" xfId="0" applyFont="1" applyFill="1" applyAlignment="1">
      <alignment horizontal="center"/>
    </xf>
    <xf numFmtId="0" fontId="22" fillId="24" borderId="1" xfId="0" applyFont="1" applyFill="1" applyBorder="1" applyAlignment="1">
      <alignment horizontal="center"/>
    </xf>
  </cellXfs>
  <cellStyles count="11">
    <cellStyle name="Currency" xfId="1" builtinId="4"/>
    <cellStyle name="Excel Built-in Normal" xfId="2"/>
    <cellStyle name="Hyperlink" xfId="3" builtinId="8"/>
    <cellStyle name="Hyperlink 2" xfId="4"/>
    <cellStyle name="Normal" xfId="0" builtinId="0"/>
    <cellStyle name="Normal 2" xfId="5"/>
    <cellStyle name="Normal 2 2" xfId="6"/>
    <cellStyle name="Normal 2 3" xfId="7"/>
    <cellStyle name="Normal 2 4" xfId="8"/>
    <cellStyle name="Normal 3" xfId="9"/>
    <cellStyle name="Normal 4" xfId="10"/>
  </cellStyles>
  <dxfs count="576">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247650</xdr:colOff>
      <xdr:row>1</xdr:row>
      <xdr:rowOff>66675</xdr:rowOff>
    </xdr:from>
    <xdr:to>
      <xdr:col>5</xdr:col>
      <xdr:colOff>952500</xdr:colOff>
      <xdr:row>5</xdr:row>
      <xdr:rowOff>66675</xdr:rowOff>
    </xdr:to>
    <xdr:pic>
      <xdr:nvPicPr>
        <xdr:cNvPr id="1038" name="Picture 1"/>
        <xdr:cNvPicPr>
          <a:picLocks noChangeAspect="1" noChangeArrowheads="1"/>
        </xdr:cNvPicPr>
      </xdr:nvPicPr>
      <xdr:blipFill>
        <a:blip xmlns:r="http://schemas.openxmlformats.org/officeDocument/2006/relationships" r:embed="rId1"/>
        <a:srcRect/>
        <a:stretch>
          <a:fillRect/>
        </a:stretch>
      </xdr:blipFill>
      <xdr:spPr bwMode="auto">
        <a:xfrm>
          <a:off x="9820275" y="228600"/>
          <a:ext cx="2276475" cy="6477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4_11_04_PA_3.4.0_Data_QC_CareAnalytics_Test_Results_FF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Summary_Page"/>
      <sheetName val="SP_Data"/>
      <sheetName val="Group Summary"/>
      <sheetName val="Group Summary Data"/>
      <sheetName val="HealthCareTrend"/>
      <sheetName val="Periodic Analysis"/>
      <sheetName val="Monthly Analysis"/>
      <sheetName val="Claim_LAG"/>
      <sheetName val="Quality Metrics"/>
      <sheetName val="Benefit_Categories"/>
      <sheetName val="Top_20_Reports"/>
      <sheetName val="Utilization Metrics"/>
      <sheetName val="Top 20 Data"/>
      <sheetName val="Top 20 Trending"/>
      <sheetName val="Uitilization_Metrics"/>
      <sheetName val="Expense_Distribution"/>
      <sheetName val="High Cost Members"/>
      <sheetName val="HCM_Data"/>
      <sheetName val="Membership_Distribution"/>
      <sheetName val="MD_Data"/>
      <sheetName val="Coverage By Relationship"/>
      <sheetName val="CBR_Tab"/>
      <sheetName val="HSQ Data"/>
      <sheetName val="UM Data"/>
      <sheetName val="Chronic Conditions"/>
      <sheetName val="Duplicate Claims"/>
      <sheetName val="DC Data"/>
      <sheetName val="CC Tab"/>
      <sheetName val="Chronic_Conditions"/>
      <sheetName val="Custom Report"/>
      <sheetName val="Selected_Procedure"/>
      <sheetName val="Info"/>
    </sheetNames>
    <sheetDataSet>
      <sheetData sheetId="0" refreshError="1"/>
      <sheetData sheetId="1" refreshError="1"/>
      <sheetData sheetId="2">
        <row r="21">
          <cell r="L21">
            <v>39103556.899999999</v>
          </cell>
          <cell r="M21">
            <v>37986382.340000004</v>
          </cell>
        </row>
        <row r="22">
          <cell r="L22">
            <v>16553395.75</v>
          </cell>
          <cell r="M22">
            <v>14479347</v>
          </cell>
        </row>
        <row r="31">
          <cell r="G31">
            <v>245.13</v>
          </cell>
          <cell r="H31">
            <v>232.45</v>
          </cell>
        </row>
        <row r="32">
          <cell r="G32">
            <v>103.77</v>
          </cell>
          <cell r="H32">
            <v>88.6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deerwalk.com/repos/dwproject/makalu/docs/quality_control/test_cases/data_qc/Testing_Script/UtilizationMetrics.sq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deerwalk.com/repos/dwproject/makalu/docs/quality_control/test_cases/data_qc/1MASTER/Automated_Scripts/Care_Analytics/All_IN_ONE_INCURRED_1_8_0.sql"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deerwalk.com/repos/dwproject/makalu/docs/quality_control/test_cases/data_qc/Testing_Script/DuplicateClaims.sql"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3"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ammoGrams&amp;recordType=Utilization&amp;description=Mammograms&amp;isReport=comparison&amp;basis=ServiceDate" TargetMode="External"/><Relationship Id="rId18"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SectionDelivery&amp;recordType=Utilization&amp;description=C-Section+Deliveries&amp;isReport=comparison&amp;basis=ServiceDate" TargetMode="External"/><Relationship Id="rId26"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ICUAdmissions&amp;recordType=Utilization&amp;description=NICU+Admissions&amp;isReport=comparison&amp;basis=ServiceDate" TargetMode="External"/><Relationship Id="rId39"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TScan&amp;recordType=Utilization&amp;description=CT+Scan&amp;isReport=reporting&amp;basis=ServiceDate" TargetMode="External"/><Relationship Id="rId21"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totalAdmissions&amp;recordType=Utilization&amp;description=Total+Admissions&amp;isReport=comparison&amp;basis=ServiceDate" TargetMode="External"/><Relationship Id="rId34"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ntalHealthOfficeVisits&amp;recordType=Utilization&amp;description=Mental+Health+Office+Visits&amp;isReport=reporting&amp;basis=ServiceDate" TargetMode="External"/><Relationship Id="rId42"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dialysisServices&amp;recordType=Utilization&amp;description=Dialysis+Services&amp;isReport=reporting&amp;basis=ServiceDate" TargetMode="External"/><Relationship Id="rId47"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ICUDays&amp;recordType=Utilization&amp;description=NICU+Days&amp;isReport=reporting&amp;basis=ServiceDate" TargetMode="External"/><Relationship Id="rId50"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dicalAdmissions&amp;recordType=Utilization&amp;description=Medical+Admissions&amp;isReport=reporting&amp;basis=ServiceDate" TargetMode="External"/><Relationship Id="rId55"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erVisitForUmWithTotalAdmissions&amp;recordType=Utilization&amp;description=Admissions+from+ER&amp;isReport=reporting&amp;basis=ServiceDate" TargetMode="External"/><Relationship Id="rId7"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otherOfficeVisits&amp;recordType=Utilization&amp;description=Other&amp;isReport=comparison&amp;basis=ServiceDate" TargetMode="External"/><Relationship Id="rId12"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ETScans&amp;recordType=Utilization&amp;description=PET&amp;isReport=comparison&amp;basis=ServiceDate" TargetMode="External"/><Relationship Id="rId17"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vaginalDelivery&amp;recordType=Utilization&amp;description=Vaginal+Deliveries&amp;isReport=comparison&amp;basis=ServiceDate" TargetMode="External"/><Relationship Id="rId25"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ntalHealthOrSubstanceAbuseAdmissions&amp;recordType=Utilization&amp;description=Mental+Health+or+Substance+Abuse+Admissions&amp;isReport=comparison&amp;basis=ServiceDate" TargetMode="External"/><Relationship Id="rId33"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reventiveOfficeVisits&amp;recordType=Utilization&amp;description=Preventive+Office+Visits&amp;isReport=reporting&amp;basis=ServiceDate" TargetMode="External"/><Relationship Id="rId38"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RIScan&amp;recordType=Utilization&amp;description=MRI+Scan&amp;isReport=reporting&amp;basis=ServiceDate" TargetMode="External"/><Relationship Id="rId46"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SectionDelivery&amp;recordType=Utilization&amp;description=C-Section+Deliveries&amp;isReport=reporting&amp;basis=ServiceDate" TargetMode="External"/><Relationship Id="rId59"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urgentCareVisits&amp;recordType=Utilization&amp;description=Urgent+Care+Visits&amp;isReport=reporting&amp;basis=ServiceDate" TargetMode="External"/><Relationship Id="rId2"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urgentCareVisits&amp;recordType=Utilization&amp;description=Urgent+Care+Visits&amp;isReport=comparison&amp;basis=ServiceDate" TargetMode="External"/><Relationship Id="rId16"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ewbornDeliveries&amp;recordType=Utilization&amp;description=Newborn+Deliveries&amp;isReport=comparison&amp;basis=ServiceDate" TargetMode="External"/><Relationship Id="rId20"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inpatientDays&amp;recordType=Utilization&amp;description=Inpatient+Days&amp;isReport=comparison&amp;basis=ServiceDate" TargetMode="External"/><Relationship Id="rId29" Type="http://schemas.openxmlformats.org/officeDocument/2006/relationships/hyperlink" Target="https://ffi.makalu.deerwalk.com/370/dataSearch/searchResult?comp.paidDate=Between&amp;paidDate=02-01-2013&amp;paidDate-to=01-31-2014&amp;comp.participationStartDate=Smaller+than+equals&amp;comp.participationEndDate=Greater+than+equals&amp;comp.serviceDate=Between&amp;serviceDate=02-01-2013&amp;serviceDate-to=01-31-2014&amp;mailOrderFlag=M&amp;recordType=Pharmacy&amp;description=Pharmacy+Scripts+Mail+Order&amp;isReport=comparison&amp;basis=ServiceDate" TargetMode="External"/><Relationship Id="rId41"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ammoGrams&amp;recordType=Utilization&amp;description=Mammograms&amp;isReport=reporting&amp;basis=ServiceDate" TargetMode="External"/><Relationship Id="rId54"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ICUAdmissions&amp;recordType=Utilization&amp;description=NICU+Admissions&amp;isReport=reporting&amp;basis=ServiceDate" TargetMode="External"/><Relationship Id="rId1"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erVisit&amp;recordType=Utilization&amp;description=ER+Visits&amp;isReport=comparison&amp;basis=ServiceDate" TargetMode="External"/><Relationship Id="rId6"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ntalHealthOfficeVisits&amp;recordType=Utilization&amp;description=Mental+Health+Office+Visits&amp;isReport=comparison&amp;basis=ServiceDate" TargetMode="External"/><Relationship Id="rId11"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TScan&amp;recordType=Utilization&amp;description=CT+Scan&amp;isReport=comparison&amp;basis=ServiceDate" TargetMode="External"/><Relationship Id="rId24"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aternityAdmissions&amp;recordType=Utilization&amp;description=Maternity+Admissions&amp;isReport=comparison&amp;basis=ServiceDate" TargetMode="External"/><Relationship Id="rId32"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routineOfficeVisits&amp;recordType=Utilization&amp;description=Routine+Office+Visits&amp;isReport=reporting&amp;basis=ServiceDate" TargetMode="External"/><Relationship Id="rId37"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hysicalTherapy&amp;recordType=Utilization&amp;description=Physical+Therapy&amp;isReport=reporting&amp;basis=ServiceDate" TargetMode="External"/><Relationship Id="rId40"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ETScans&amp;recordType=Utilization&amp;description=PET&amp;isReport=reporting&amp;basis=ServiceDate" TargetMode="External"/><Relationship Id="rId45"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vaginalDelivery&amp;recordType=Utilization&amp;description=Vaginal+Deliveries&amp;isReport=reporting&amp;basis=ServiceDate" TargetMode="External"/><Relationship Id="rId53"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ntalHealthOrSubstanceAbuseAdmissions&amp;recordType=Utilization&amp;description=Mental+Health+or+Substance+Abuse+Admissions&amp;isReport=reporting&amp;basis=ServiceDate" TargetMode="External"/><Relationship Id="rId58" Type="http://schemas.openxmlformats.org/officeDocument/2006/relationships/hyperlink" Target="https://ffi.makalu.deerwalk.com/370/dataSearch/searchResult?comp.paidDate=Between&amp;paidDate=08-01-2014&amp;paidDate-to=01-31-2015&amp;comp.participationStartDate=Smaller+than+equals&amp;comp.participationEndDate=Greater+than+equals&amp;comp.serviceDate=Between&amp;serviceDate=08-01-2014&amp;serviceDate-to=01-31-2015&amp;genericFlag=Y&amp;recordType=Pharmacy&amp;description=Pharmacy+Scripts+Generic+Drugs&amp;isReport=reporting&amp;basis=ServiceDate" TargetMode="External"/><Relationship Id="rId5"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reventiveOfficeVisits&amp;recordType=Utilization&amp;description=Preventive+Office+Visits&amp;isReport=comparison&amp;basis=ServiceDate" TargetMode="External"/><Relationship Id="rId15"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outPatientAmbulatorySurgeries&amp;recordType=Utilization&amp;description=Outpatient+%2F+Ambulatory+Surgeries&amp;isReport=comparison&amp;basis=ServiceDate" TargetMode="External"/><Relationship Id="rId23"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surgicalAdmissions&amp;recordType=Utilization&amp;description=Surgical+Admissions&amp;isReport=comparison&amp;basis=ServiceDate" TargetMode="External"/><Relationship Id="rId28" Type="http://schemas.openxmlformats.org/officeDocument/2006/relationships/hyperlink" Target="https://ffi.makalu.deerwalk.com/370/dataSearch/searchResult?comp.paidDate=Between&amp;paidDate=02-01-2013&amp;paidDate-to=01-31-2014&amp;comp.participationStartDate=Smaller+than+equals&amp;comp.participationEndDate=Greater+than+equals&amp;comp.serviceDate=Between&amp;serviceDate=02-01-2013&amp;serviceDate-to=01-31-2014&amp;utilization=pharmacyScripts&amp;recordType=Pharmacy&amp;description=Pharmacy+Scripts&amp;isReport=comparison&amp;basis=ServiceDate" TargetMode="External"/><Relationship Id="rId36"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hiropracticVisits&amp;recordType=Utilization&amp;description=Chiropractic+Visits&amp;isReport=reporting&amp;basis=ServiceDate" TargetMode="External"/><Relationship Id="rId49"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totalAdmissions&amp;recordType=Utilization&amp;description=Total+Admissions&amp;isReport=reporting&amp;basis=ServiceDate" TargetMode="External"/><Relationship Id="rId57" Type="http://schemas.openxmlformats.org/officeDocument/2006/relationships/hyperlink" Target="https://ffi.makalu.deerwalk.com/370/dataSearch/searchResult?comp.paidDate=Between&amp;paidDate=08-01-2014&amp;paidDate-to=01-31-2015&amp;comp.participationStartDate=Smaller+than+equals&amp;comp.participationEndDate=Greater+than+equals&amp;comp.serviceDate=Between&amp;serviceDate=08-01-2014&amp;serviceDate-to=01-31-2015&amp;mailOrderFlag=M&amp;recordType=Pharmacy&amp;description=Pharmacy+Scripts+Mail+Order&amp;isReport=reporting&amp;basis=ServiceDate" TargetMode="External"/><Relationship Id="rId10"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RIScan&amp;recordType=Utilization&amp;description=MRI+Scan&amp;isReport=comparison&amp;basis=ServiceDate" TargetMode="External"/><Relationship Id="rId19"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ICUDays&amp;recordType=Utilization&amp;description=NICU+Days&amp;isReport=comparison&amp;basis=ServiceDate" TargetMode="External"/><Relationship Id="rId31"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totalOfficeVisits&amp;recordType=Utilization&amp;description=Total+Office+Visits&amp;isReport=reporting&amp;basis=ServiceDate" TargetMode="External"/><Relationship Id="rId44"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ewbornDeliveries&amp;recordType=Utilization&amp;description=Newborn+Deliveries&amp;isReport=reporting&amp;basis=ServiceDate" TargetMode="External"/><Relationship Id="rId52"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aternityAdmissions&amp;recordType=Utilization&amp;description=Maternity+Admissions&amp;isReport=reporting&amp;basis=ServiceDate" TargetMode="External"/><Relationship Id="rId60"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erVisit&amp;recordType=Utilization&amp;description=ER+Visits&amp;isReport=reporting&amp;basis=ServiceDate" TargetMode="External"/><Relationship Id="rId4"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routineOfficeVisits&amp;recordType=Utilization&amp;description=Routine+Office+Visits&amp;isReport=comparison&amp;basis=ServiceDate" TargetMode="External"/><Relationship Id="rId9"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hysicalTherapy&amp;recordType=Utilization&amp;description=Physical+Therapy&amp;isReport=comparison&amp;basis=ServiceDate" TargetMode="External"/><Relationship Id="rId14"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dialysisServices&amp;recordType=Utilization&amp;description=Dialysis+Services&amp;isReport=comparison&amp;basis=ServiceDate" TargetMode="External"/><Relationship Id="rId22"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dicalAdmissions&amp;recordType=Utilization&amp;description=Medical+Admissions&amp;isReport=comparison&amp;basis=ServiceDate" TargetMode="External"/><Relationship Id="rId27"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erVisitForUmWithTotalAdmissions&amp;recordType=Utilization&amp;description=Admissions+from+ER&amp;isReport=comparison&amp;basis=ServiceDate" TargetMode="External"/><Relationship Id="rId30" Type="http://schemas.openxmlformats.org/officeDocument/2006/relationships/hyperlink" Target="https://ffi.makalu.deerwalk.com/370/dataSearch/searchResult?comp.paidDate=Between&amp;paidDate=02-01-2013&amp;paidDate-to=01-31-2014&amp;comp.participationStartDate=Smaller+than+equals&amp;comp.participationEndDate=Greater+than+equals&amp;comp.serviceDate=Between&amp;serviceDate=02-01-2013&amp;serviceDate-to=01-31-2014&amp;genericFlag=Y&amp;recordType=Pharmacy&amp;description=Pharmacy+Scripts+Generic+Drugs&amp;isReport=comparison&amp;basis=ServiceDate" TargetMode="External"/><Relationship Id="rId35"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otherOfficeVisits&amp;recordType=Utilization&amp;description=Other&amp;isReport=reporting&amp;basis=ServiceDate" TargetMode="External"/><Relationship Id="rId43"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outPatientAmbulatorySurgeries&amp;recordType=Utilization&amp;description=Outpatient+%2F+Ambulatory+Surgeries&amp;isReport=reporting&amp;basis=ServiceDate" TargetMode="External"/><Relationship Id="rId48"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inpatientDays&amp;recordType=Utilization&amp;description=Inpatient+Days&amp;isReport=reporting&amp;basis=ServiceDate" TargetMode="External"/><Relationship Id="rId56" Type="http://schemas.openxmlformats.org/officeDocument/2006/relationships/hyperlink" Target="https://ffi.makalu.deerwalk.com/370/dataSearch/searchResult?comp.paidDate=Between&amp;paidDate=08-01-2014&amp;paidDate-to=01-31-2015&amp;comp.participationStartDate=Smaller+than+equals&amp;comp.participationEndDate=Greater+than+equals&amp;comp.serviceDate=Between&amp;serviceDate=08-01-2014&amp;serviceDate-to=01-31-2015&amp;utilization=pharmacyScripts&amp;recordType=Pharmacy&amp;description=Pharmacy+Scripts&amp;isReport=reporting&amp;basis=ServiceDate" TargetMode="External"/><Relationship Id="rId8"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hiropracticVisits&amp;recordType=Utilization&amp;description=Chiropractic+Visits&amp;isReport=comparison&amp;basis=ServiceDate" TargetMode="External"/><Relationship Id="rId51" Type="http://schemas.openxmlformats.org/officeDocument/2006/relationships/hyperlink" Target="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surgicalAdmissions&amp;recordType=Utilization&amp;description=Surgical+Admissions&amp;isReport=reporting&amp;basis=ServiceDate" TargetMode="External"/><Relationship Id="rId3" Type="http://schemas.openxmlformats.org/officeDocument/2006/relationships/hyperlink" Target="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totalOfficeVisits&amp;recordType=Utilization&amp;description=Total+Office+Visits&amp;isReport=comparison&amp;basis=ServiceDate" TargetMode="External"/></Relationships>
</file>

<file path=xl/worksheets/sheet1.xml><?xml version="1.0" encoding="utf-8"?>
<worksheet xmlns="http://schemas.openxmlformats.org/spreadsheetml/2006/main" xmlns:r="http://schemas.openxmlformats.org/officeDocument/2006/relationships">
  <dimension ref="A1:F18"/>
  <sheetViews>
    <sheetView tabSelected="1" zoomScale="85" zoomScaleNormal="85" workbookViewId="0">
      <selection sqref="A1:B1"/>
    </sheetView>
  </sheetViews>
  <sheetFormatPr defaultRowHeight="12.75"/>
  <cols>
    <col min="1" max="1" width="30.28515625" style="108" bestFit="1" customWidth="1"/>
    <col min="2" max="2" width="45.85546875" style="108" customWidth="1"/>
    <col min="3" max="3" width="46.140625" style="108" customWidth="1"/>
    <col min="4" max="4" width="26.5703125" style="108" customWidth="1"/>
    <col min="5" max="5" width="23.5703125" style="108" customWidth="1"/>
    <col min="6" max="6" width="22.7109375" style="108" customWidth="1"/>
    <col min="7" max="16384" width="9.140625" style="108"/>
  </cols>
  <sheetData>
    <row r="1" spans="1:6">
      <c r="A1" s="707" t="s">
        <v>769</v>
      </c>
      <c r="B1" s="708"/>
    </row>
    <row r="2" spans="1:6">
      <c r="A2" s="406" t="s">
        <v>181</v>
      </c>
      <c r="B2" s="597" t="s">
        <v>774</v>
      </c>
      <c r="C2" s="107"/>
    </row>
    <row r="3" spans="1:6">
      <c r="A3" s="106" t="s">
        <v>182</v>
      </c>
      <c r="B3" s="598" t="s">
        <v>728</v>
      </c>
      <c r="C3" s="107"/>
    </row>
    <row r="4" spans="1:6">
      <c r="A4" s="106" t="s">
        <v>183</v>
      </c>
      <c r="B4" s="599" t="s">
        <v>784</v>
      </c>
      <c r="C4" s="107"/>
    </row>
    <row r="5" spans="1:6">
      <c r="A5" s="106" t="s">
        <v>393</v>
      </c>
      <c r="B5" s="600" t="s">
        <v>786</v>
      </c>
      <c r="C5" s="107"/>
    </row>
    <row r="6" spans="1:6">
      <c r="A6" s="106" t="s">
        <v>0</v>
      </c>
      <c r="B6" s="598" t="s">
        <v>785</v>
      </c>
      <c r="C6" s="107"/>
    </row>
    <row r="7" spans="1:6">
      <c r="A7" s="109"/>
      <c r="B7" s="109"/>
    </row>
    <row r="8" spans="1:6" s="110" customFormat="1">
      <c r="A8" s="396" t="s">
        <v>184</v>
      </c>
    </row>
    <row r="9" spans="1:6" s="110" customFormat="1"/>
    <row r="10" spans="1:6" s="110" customFormat="1">
      <c r="A10" s="260" t="s">
        <v>185</v>
      </c>
      <c r="B10" s="404" t="s">
        <v>186</v>
      </c>
      <c r="C10" s="260" t="s">
        <v>187</v>
      </c>
      <c r="D10" s="260" t="s">
        <v>188</v>
      </c>
      <c r="E10" s="260" t="s">
        <v>189</v>
      </c>
      <c r="F10" s="260" t="s">
        <v>0</v>
      </c>
    </row>
    <row r="11" spans="1:6" s="110" customFormat="1">
      <c r="A11" s="405">
        <v>41290</v>
      </c>
      <c r="B11" s="112" t="s">
        <v>398</v>
      </c>
      <c r="C11" s="113"/>
      <c r="D11" s="113" t="s">
        <v>425</v>
      </c>
      <c r="E11" s="113"/>
      <c r="F11" s="113"/>
    </row>
    <row r="12" spans="1:6" s="110" customFormat="1">
      <c r="A12" s="111"/>
      <c r="B12" s="112"/>
      <c r="C12" s="113"/>
      <c r="D12" s="113"/>
      <c r="E12" s="113"/>
      <c r="F12" s="113"/>
    </row>
    <row r="14" spans="1:6" s="110" customFormat="1">
      <c r="A14" s="396" t="s">
        <v>190</v>
      </c>
    </row>
    <row r="15" spans="1:6" s="110" customFormat="1"/>
    <row r="16" spans="1:6" s="110" customFormat="1">
      <c r="A16" s="260" t="s">
        <v>191</v>
      </c>
      <c r="B16" s="260" t="s">
        <v>192</v>
      </c>
      <c r="C16" s="260" t="s">
        <v>193</v>
      </c>
      <c r="D16" s="260" t="s">
        <v>194</v>
      </c>
      <c r="E16" s="260" t="s">
        <v>195</v>
      </c>
      <c r="F16" s="260" t="s">
        <v>0</v>
      </c>
    </row>
    <row r="17" spans="1:6" s="110" customFormat="1" ht="38.25">
      <c r="A17" s="405">
        <v>42766</v>
      </c>
      <c r="B17" s="405">
        <v>42766</v>
      </c>
      <c r="C17" s="705" t="s">
        <v>787</v>
      </c>
      <c r="D17" s="114" t="s">
        <v>783</v>
      </c>
      <c r="E17" s="11" t="s">
        <v>1</v>
      </c>
      <c r="F17" s="115" t="s">
        <v>771</v>
      </c>
    </row>
    <row r="18" spans="1:6" s="110" customFormat="1">
      <c r="A18" s="116"/>
      <c r="B18" s="116"/>
      <c r="C18" s="704" t="s">
        <v>788</v>
      </c>
      <c r="D18" s="114"/>
      <c r="E18" s="117"/>
      <c r="F18" s="115"/>
    </row>
  </sheetData>
  <mergeCells count="1">
    <mergeCell ref="A1:B1"/>
  </mergeCells>
  <conditionalFormatting sqref="E20:E22 E17:E18">
    <cfRule type="cellIs" dxfId="575" priority="36" operator="equal">
      <formula>"Not Tested"</formula>
    </cfRule>
    <cfRule type="cellIs" dxfId="574" priority="37" operator="equal">
      <formula>"Pending"</formula>
    </cfRule>
    <cfRule type="cellIs" dxfId="573" priority="38" operator="equal">
      <formula>"Ongoing"</formula>
    </cfRule>
    <cfRule type="cellIs" dxfId="572" priority="39" operator="equal">
      <formula>"Blocked"</formula>
    </cfRule>
    <cfRule type="cellIs" dxfId="571" priority="40" operator="equal">
      <formula>"Fail"</formula>
    </cfRule>
    <cfRule type="cellIs" dxfId="570" priority="41" operator="equal">
      <formula>"Partially Pass"</formula>
    </cfRule>
    <cfRule type="cellIs" dxfId="569" priority="42" operator="equal">
      <formula>"Pass"</formula>
    </cfRule>
  </conditionalFormatting>
  <conditionalFormatting sqref="E17">
    <cfRule type="cellIs" dxfId="568" priority="22" operator="equal">
      <formula>"Not Tested"</formula>
    </cfRule>
    <cfRule type="cellIs" dxfId="567" priority="23" operator="equal">
      <formula>"Pending"</formula>
    </cfRule>
    <cfRule type="cellIs" dxfId="566" priority="24" operator="equal">
      <formula>"Ongoing"</formula>
    </cfRule>
    <cfRule type="cellIs" dxfId="565" priority="25" operator="equal">
      <formula>"Blocked"</formula>
    </cfRule>
    <cfRule type="cellIs" dxfId="564" priority="26" operator="equal">
      <formula>"Fail"</formula>
    </cfRule>
    <cfRule type="cellIs" dxfId="563" priority="27" operator="equal">
      <formula>"Partially Fail"</formula>
    </cfRule>
    <cfRule type="cellIs" dxfId="562" priority="28" operator="equal">
      <formula>"Pass"</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[1]Info!#REF!</xm:f>
          </x14:formula1>
          <xm:sqref>E18</xm:sqref>
        </x14:dataValidation>
        <x14:dataValidation type="list" allowBlank="1" showInputMessage="1" showErrorMessage="1">
          <x14:formula1>
            <xm:f>Info!A3:A9</xm:f>
          </x14:formula1>
          <xm:sqref>E17</xm:sqref>
        </x14:dataValidation>
      </x14:dataValidations>
    </ext>
  </extLst>
</worksheet>
</file>

<file path=xl/worksheets/sheet2.xml><?xml version="1.0" encoding="utf-8"?>
<worksheet xmlns="http://schemas.openxmlformats.org/spreadsheetml/2006/main" xmlns:r="http://schemas.openxmlformats.org/officeDocument/2006/relationships">
  <dimension ref="A1:O16"/>
  <sheetViews>
    <sheetView showGridLines="0" zoomScale="90" zoomScaleNormal="90" workbookViewId="0">
      <selection sqref="A1:A2"/>
    </sheetView>
  </sheetViews>
  <sheetFormatPr defaultRowHeight="12.75"/>
  <cols>
    <col min="1" max="1" width="19.85546875" style="181" bestFit="1" customWidth="1"/>
    <col min="2" max="2" width="16.7109375" style="181" bestFit="1" customWidth="1"/>
    <col min="3" max="3" width="20.7109375" style="181" bestFit="1" customWidth="1"/>
    <col min="4" max="4" width="24.28515625" style="181" customWidth="1"/>
    <col min="5" max="6" width="25.7109375" style="181" customWidth="1"/>
    <col min="7" max="7" width="10.5703125" style="181" bestFit="1" customWidth="1"/>
    <col min="8" max="8" width="12.42578125" style="181" bestFit="1" customWidth="1"/>
    <col min="9" max="9" width="15.7109375" style="183" customWidth="1"/>
    <col min="10" max="10" width="15.7109375" style="181" customWidth="1"/>
    <col min="11" max="16384" width="9.140625" style="181"/>
  </cols>
  <sheetData>
    <row r="1" spans="1:15" ht="12.75" customHeight="1">
      <c r="A1" s="720" t="s">
        <v>30</v>
      </c>
      <c r="B1" s="711" t="s">
        <v>20</v>
      </c>
      <c r="C1" s="711" t="s">
        <v>26</v>
      </c>
      <c r="D1" s="711" t="s">
        <v>16</v>
      </c>
      <c r="E1" s="711" t="s">
        <v>24</v>
      </c>
      <c r="F1" s="711" t="s">
        <v>25</v>
      </c>
      <c r="G1" s="711" t="s">
        <v>17</v>
      </c>
      <c r="H1" s="14" t="s">
        <v>18</v>
      </c>
      <c r="I1" s="709" t="s">
        <v>19</v>
      </c>
      <c r="J1" s="711" t="s">
        <v>0</v>
      </c>
    </row>
    <row r="2" spans="1:15">
      <c r="A2" s="720"/>
      <c r="B2" s="712"/>
      <c r="C2" s="712"/>
      <c r="D2" s="712"/>
      <c r="E2" s="712"/>
      <c r="F2" s="712"/>
      <c r="G2" s="712"/>
      <c r="H2" s="13" t="s">
        <v>394</v>
      </c>
      <c r="I2" s="710"/>
      <c r="J2" s="712"/>
      <c r="K2" s="182"/>
      <c r="L2" s="182"/>
      <c r="O2" s="182"/>
    </row>
    <row r="3" spans="1:15" ht="32.25" customHeight="1">
      <c r="A3" s="713" t="s">
        <v>31</v>
      </c>
      <c r="B3" s="713" t="s">
        <v>270</v>
      </c>
      <c r="C3" s="15" t="s">
        <v>271</v>
      </c>
      <c r="D3" s="15" t="s">
        <v>272</v>
      </c>
      <c r="E3" s="714" t="s">
        <v>273</v>
      </c>
      <c r="F3" s="15" t="s">
        <v>274</v>
      </c>
      <c r="G3" s="715" t="s">
        <v>392</v>
      </c>
      <c r="H3" s="11" t="s">
        <v>1</v>
      </c>
      <c r="I3" s="159"/>
      <c r="J3" s="12"/>
      <c r="K3" s="182"/>
      <c r="N3" s="182"/>
      <c r="O3" s="182"/>
    </row>
    <row r="4" spans="1:15" ht="76.5" customHeight="1">
      <c r="A4" s="713"/>
      <c r="B4" s="713"/>
      <c r="C4" s="15" t="s">
        <v>275</v>
      </c>
      <c r="D4" s="15" t="s">
        <v>276</v>
      </c>
      <c r="E4" s="714"/>
      <c r="F4" s="577" t="s">
        <v>470</v>
      </c>
      <c r="G4" s="716"/>
      <c r="H4" s="11" t="s">
        <v>1</v>
      </c>
      <c r="I4" s="159"/>
      <c r="J4" s="12"/>
    </row>
    <row r="5" spans="1:15" ht="25.5" customHeight="1">
      <c r="A5" s="713"/>
      <c r="B5" s="713"/>
      <c r="C5" s="344" t="s">
        <v>277</v>
      </c>
      <c r="D5" s="19" t="s">
        <v>278</v>
      </c>
      <c r="E5" s="714"/>
      <c r="F5" s="717" t="s">
        <v>279</v>
      </c>
      <c r="G5" s="716"/>
      <c r="H5" s="11" t="s">
        <v>1</v>
      </c>
      <c r="I5" s="159"/>
      <c r="J5" s="12"/>
    </row>
    <row r="6" spans="1:15" ht="25.5" customHeight="1">
      <c r="A6" s="713"/>
      <c r="B6" s="713"/>
      <c r="C6" s="20" t="s">
        <v>280</v>
      </c>
      <c r="D6" s="20" t="s">
        <v>281</v>
      </c>
      <c r="E6" s="714"/>
      <c r="F6" s="718"/>
      <c r="G6" s="716"/>
      <c r="H6" s="11" t="s">
        <v>1</v>
      </c>
      <c r="I6" s="159"/>
      <c r="J6" s="12"/>
    </row>
    <row r="7" spans="1:15" ht="25.5" customHeight="1">
      <c r="A7" s="713"/>
      <c r="B7" s="713"/>
      <c r="C7" s="344" t="s">
        <v>282</v>
      </c>
      <c r="D7" s="344" t="s">
        <v>283</v>
      </c>
      <c r="E7" s="714"/>
      <c r="F7" s="718"/>
      <c r="G7" s="716"/>
      <c r="H7" s="11" t="s">
        <v>1</v>
      </c>
      <c r="I7" s="159"/>
      <c r="J7" s="12"/>
    </row>
    <row r="8" spans="1:15" ht="25.5" customHeight="1">
      <c r="A8" s="713"/>
      <c r="B8" s="713"/>
      <c r="C8" s="344" t="s">
        <v>284</v>
      </c>
      <c r="D8" s="344" t="s">
        <v>285</v>
      </c>
      <c r="E8" s="714"/>
      <c r="F8" s="718"/>
      <c r="G8" s="716"/>
      <c r="H8" s="11" t="s">
        <v>1</v>
      </c>
      <c r="I8" s="159"/>
      <c r="J8" s="12"/>
    </row>
    <row r="9" spans="1:15" ht="25.5" customHeight="1">
      <c r="A9" s="713"/>
      <c r="B9" s="713"/>
      <c r="C9" s="344" t="s">
        <v>286</v>
      </c>
      <c r="D9" s="344" t="s">
        <v>287</v>
      </c>
      <c r="E9" s="714"/>
      <c r="F9" s="718"/>
      <c r="G9" s="716"/>
      <c r="H9" s="11" t="s">
        <v>1</v>
      </c>
      <c r="I9" s="159"/>
      <c r="J9" s="12"/>
    </row>
    <row r="10" spans="1:15" ht="25.5" customHeight="1">
      <c r="A10" s="713"/>
      <c r="B10" s="713"/>
      <c r="C10" s="344" t="s">
        <v>288</v>
      </c>
      <c r="D10" s="344" t="s">
        <v>289</v>
      </c>
      <c r="E10" s="714"/>
      <c r="F10" s="718"/>
      <c r="G10" s="716"/>
      <c r="H10" s="11" t="s">
        <v>1</v>
      </c>
      <c r="I10" s="159"/>
      <c r="J10" s="12"/>
    </row>
    <row r="11" spans="1:15" ht="25.5" customHeight="1">
      <c r="A11" s="713"/>
      <c r="B11" s="713"/>
      <c r="C11" s="344" t="s">
        <v>290</v>
      </c>
      <c r="D11" s="344" t="s">
        <v>291</v>
      </c>
      <c r="E11" s="714"/>
      <c r="F11" s="718"/>
      <c r="G11" s="716"/>
      <c r="H11" s="11" t="s">
        <v>1</v>
      </c>
      <c r="I11" s="159"/>
      <c r="J11" s="12"/>
    </row>
    <row r="12" spans="1:15" ht="25.5" customHeight="1">
      <c r="A12" s="713"/>
      <c r="B12" s="713"/>
      <c r="C12" s="344" t="s">
        <v>292</v>
      </c>
      <c r="D12" s="344" t="s">
        <v>293</v>
      </c>
      <c r="E12" s="714"/>
      <c r="F12" s="718"/>
      <c r="G12" s="716"/>
      <c r="H12" s="11" t="s">
        <v>1</v>
      </c>
      <c r="I12" s="159"/>
      <c r="J12" s="12"/>
    </row>
    <row r="13" spans="1:15" ht="25.5" customHeight="1">
      <c r="A13" s="713"/>
      <c r="B13" s="713"/>
      <c r="C13" s="344" t="s">
        <v>294</v>
      </c>
      <c r="D13" s="344" t="s">
        <v>295</v>
      </c>
      <c r="E13" s="714"/>
      <c r="F13" s="718"/>
      <c r="G13" s="716"/>
      <c r="H13" s="11" t="s">
        <v>1</v>
      </c>
      <c r="I13" s="159"/>
      <c r="J13" s="12"/>
    </row>
    <row r="14" spans="1:15" ht="25.5" customHeight="1">
      <c r="A14" s="713"/>
      <c r="B14" s="713"/>
      <c r="C14" s="344" t="s">
        <v>296</v>
      </c>
      <c r="D14" s="344" t="s">
        <v>297</v>
      </c>
      <c r="E14" s="714"/>
      <c r="F14" s="718"/>
      <c r="G14" s="716"/>
      <c r="H14" s="11" t="s">
        <v>1</v>
      </c>
      <c r="I14" s="159"/>
      <c r="J14" s="12"/>
    </row>
    <row r="15" spans="1:15" ht="25.5" customHeight="1">
      <c r="A15" s="713"/>
      <c r="B15" s="713"/>
      <c r="C15" s="344" t="s">
        <v>298</v>
      </c>
      <c r="D15" s="344" t="s">
        <v>299</v>
      </c>
      <c r="E15" s="714"/>
      <c r="F15" s="718"/>
      <c r="G15" s="716"/>
      <c r="H15" s="11" t="s">
        <v>1</v>
      </c>
      <c r="I15" s="159"/>
      <c r="J15" s="12"/>
    </row>
    <row r="16" spans="1:15" ht="25.5" customHeight="1">
      <c r="A16" s="713"/>
      <c r="B16" s="713"/>
      <c r="C16" s="344" t="s">
        <v>300</v>
      </c>
      <c r="D16" s="344" t="s">
        <v>301</v>
      </c>
      <c r="E16" s="714"/>
      <c r="F16" s="719"/>
      <c r="G16" s="716"/>
      <c r="H16" s="11" t="s">
        <v>1</v>
      </c>
      <c r="I16" s="159"/>
      <c r="J16" s="12"/>
    </row>
  </sheetData>
  <mergeCells count="14">
    <mergeCell ref="I1:I2"/>
    <mergeCell ref="J1:J2"/>
    <mergeCell ref="A3:A16"/>
    <mergeCell ref="B3:B16"/>
    <mergeCell ref="E3:E16"/>
    <mergeCell ref="G3:G16"/>
    <mergeCell ref="F5:F16"/>
    <mergeCell ref="A1:A2"/>
    <mergeCell ref="B1:B2"/>
    <mergeCell ref="C1:C2"/>
    <mergeCell ref="D1:D2"/>
    <mergeCell ref="E1:E2"/>
    <mergeCell ref="F1:F2"/>
    <mergeCell ref="G1:G2"/>
  </mergeCells>
  <conditionalFormatting sqref="H3:H16">
    <cfRule type="cellIs" dxfId="561" priority="22" operator="equal">
      <formula>"Not Tested"</formula>
    </cfRule>
    <cfRule type="cellIs" dxfId="560" priority="23" operator="equal">
      <formula>"Pending"</formula>
    </cfRule>
    <cfRule type="cellIs" dxfId="559" priority="24" operator="equal">
      <formula>"Ongoing"</formula>
    </cfRule>
    <cfRule type="cellIs" dxfId="558" priority="25" operator="equal">
      <formula>"Blocked"</formula>
    </cfRule>
    <cfRule type="cellIs" dxfId="557" priority="26" operator="equal">
      <formula>"Fail"</formula>
    </cfRule>
    <cfRule type="cellIs" dxfId="556" priority="27" operator="equal">
      <formula>"Partially Fail"</formula>
    </cfRule>
    <cfRule type="cellIs" dxfId="555" priority="28" operator="equal">
      <formula>"Pass"</formula>
    </cfRule>
  </conditionalFormatting>
  <conditionalFormatting sqref="H3:H16">
    <cfRule type="cellIs" dxfId="554" priority="15" operator="equal">
      <formula>"Not Tested"</formula>
    </cfRule>
    <cfRule type="cellIs" dxfId="553" priority="16" operator="equal">
      <formula>"Pending"</formula>
    </cfRule>
    <cfRule type="cellIs" dxfId="552" priority="17" operator="equal">
      <formula>"Ongoing"</formula>
    </cfRule>
    <cfRule type="cellIs" dxfId="551" priority="18" operator="equal">
      <formula>"Blocked"</formula>
    </cfRule>
    <cfRule type="cellIs" dxfId="550" priority="19" operator="equal">
      <formula>"Fail"</formula>
    </cfRule>
    <cfRule type="cellIs" dxfId="549" priority="20" operator="equal">
      <formula>"Partially Pass"</formula>
    </cfRule>
    <cfRule type="cellIs" dxfId="548" priority="21" operator="equal">
      <formula>"Pass"</formula>
    </cfRule>
  </conditionalFormatting>
  <conditionalFormatting sqref="H3:H16">
    <cfRule type="cellIs" dxfId="547" priority="8" operator="equal">
      <formula>"Not Tested"</formula>
    </cfRule>
    <cfRule type="cellIs" dxfId="546" priority="9" operator="equal">
      <formula>"Pending"</formula>
    </cfRule>
    <cfRule type="cellIs" dxfId="545" priority="10" operator="equal">
      <formula>"Ongoing"</formula>
    </cfRule>
    <cfRule type="cellIs" dxfId="544" priority="11" operator="equal">
      <formula>"Blocked"</formula>
    </cfRule>
    <cfRule type="cellIs" dxfId="543" priority="12" operator="equal">
      <formula>"Fail"</formula>
    </cfRule>
    <cfRule type="cellIs" dxfId="542" priority="13" operator="equal">
      <formula>"Partially Pass"</formula>
    </cfRule>
    <cfRule type="cellIs" dxfId="541" priority="14" operator="equal">
      <formula>"Pass"</formula>
    </cfRule>
  </conditionalFormatting>
  <conditionalFormatting sqref="H3:H16">
    <cfRule type="cellIs" dxfId="540" priority="1" operator="equal">
      <formula>"Not Tested"</formula>
    </cfRule>
    <cfRule type="cellIs" dxfId="539" priority="2" operator="equal">
      <formula>"Pending"</formula>
    </cfRule>
    <cfRule type="cellIs" dxfId="538" priority="3" operator="equal">
      <formula>"Ongoing"</formula>
    </cfRule>
    <cfRule type="cellIs" dxfId="537" priority="4" operator="equal">
      <formula>"Blocked"</formula>
    </cfRule>
    <cfRule type="cellIs" dxfId="536" priority="5" operator="equal">
      <formula>"Fail"</formula>
    </cfRule>
    <cfRule type="cellIs" dxfId="535" priority="6" operator="equal">
      <formula>"Partially Fail"</formula>
    </cfRule>
    <cfRule type="cellIs" dxfId="534" priority="7" operator="equal">
      <formula>"Pass"</formula>
    </cfRule>
  </conditionalFormatting>
  <hyperlinks>
    <hyperlink ref="G3:G16" location="SP_Data!A1" display="SP_Data!A1"/>
    <hyperlink ref="F4" r:id="rI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H3:H16</xm:sqref>
        </x14:dataValidation>
      </x14:dataValidations>
    </ext>
  </extLst>
</worksheet>
</file>

<file path=xl/worksheets/sheet3.xml><?xml version="1.0" encoding="utf-8"?>
<worksheet xmlns="http://schemas.openxmlformats.org/spreadsheetml/2006/main" xmlns:r="http://schemas.openxmlformats.org/officeDocument/2006/relationships">
  <dimension ref="A1:R71"/>
  <sheetViews>
    <sheetView showGridLines="0" topLeftCell="C1" zoomScale="85" zoomScaleNormal="85" workbookViewId="0">
      <selection sqref="A1:D1"/>
    </sheetView>
  </sheetViews>
  <sheetFormatPr defaultRowHeight="12.75"/>
  <cols>
    <col min="1" max="1" width="27.5703125" style="204" bestFit="1" customWidth="1"/>
    <col min="2" max="2" width="14.42578125" style="316" bestFit="1" customWidth="1"/>
    <col min="3" max="3" width="12.85546875" style="204" bestFit="1" customWidth="1"/>
    <col min="4" max="4" width="10.28515625" style="204" bestFit="1" customWidth="1"/>
    <col min="5" max="5" width="5" style="204" customWidth="1"/>
    <col min="6" max="6" width="27.5703125" style="204" bestFit="1" customWidth="1"/>
    <col min="7" max="7" width="14.42578125" style="316" bestFit="1" customWidth="1"/>
    <col min="8" max="8" width="12.85546875" style="204" bestFit="1" customWidth="1"/>
    <col min="9" max="9" width="10.28515625" style="204" bestFit="1" customWidth="1"/>
    <col min="10" max="10" width="4.85546875" style="335" customWidth="1"/>
    <col min="11" max="11" width="27.5703125" style="204" bestFit="1" customWidth="1"/>
    <col min="12" max="12" width="15.140625" style="204" bestFit="1" customWidth="1"/>
    <col min="13" max="13" width="14.28515625" style="204" bestFit="1" customWidth="1"/>
    <col min="14" max="14" width="14" style="204" bestFit="1" customWidth="1"/>
    <col min="15" max="15" width="13.85546875" style="204" customWidth="1"/>
    <col min="16" max="16" width="14.7109375" style="204" bestFit="1" customWidth="1"/>
    <col min="17" max="17" width="7" style="204" bestFit="1" customWidth="1"/>
    <col min="18" max="18" width="13.28515625" style="204" bestFit="1" customWidth="1"/>
    <col min="19" max="16384" width="9.140625" style="204"/>
  </cols>
  <sheetData>
    <row r="1" spans="1:18">
      <c r="A1" s="721" t="s">
        <v>384</v>
      </c>
      <c r="B1" s="721"/>
      <c r="C1" s="721"/>
      <c r="D1" s="721"/>
    </row>
    <row r="2" spans="1:18">
      <c r="A2" s="728" t="s">
        <v>362</v>
      </c>
      <c r="B2" s="728"/>
      <c r="C2" s="728"/>
      <c r="D2" s="728"/>
      <c r="F2" s="728" t="s">
        <v>366</v>
      </c>
      <c r="G2" s="728"/>
      <c r="H2" s="728"/>
      <c r="I2" s="728"/>
      <c r="J2" s="327"/>
      <c r="K2" s="728" t="s">
        <v>28</v>
      </c>
      <c r="L2" s="728"/>
      <c r="M2" s="728"/>
      <c r="N2" s="728"/>
      <c r="O2" s="328"/>
    </row>
    <row r="3" spans="1:18" ht="25.5">
      <c r="A3" s="219" t="s">
        <v>302</v>
      </c>
      <c r="B3" s="219" t="s">
        <v>23</v>
      </c>
      <c r="C3" s="219" t="s">
        <v>22</v>
      </c>
      <c r="D3" s="219" t="s">
        <v>21</v>
      </c>
      <c r="F3" s="219" t="s">
        <v>302</v>
      </c>
      <c r="G3" s="219" t="s">
        <v>23</v>
      </c>
      <c r="H3" s="219" t="s">
        <v>22</v>
      </c>
      <c r="I3" s="219" t="s">
        <v>21</v>
      </c>
      <c r="J3" s="328"/>
      <c r="K3" s="329" t="s">
        <v>302</v>
      </c>
      <c r="L3" s="330" t="s">
        <v>23</v>
      </c>
      <c r="M3" s="330" t="s">
        <v>22</v>
      </c>
      <c r="N3" s="331" t="s">
        <v>21</v>
      </c>
      <c r="O3" s="332" t="s">
        <v>332</v>
      </c>
      <c r="P3" s="332" t="s">
        <v>333</v>
      </c>
      <c r="Q3" s="332" t="s">
        <v>29</v>
      </c>
    </row>
    <row r="4" spans="1:18">
      <c r="A4" s="325" t="s">
        <v>271</v>
      </c>
      <c r="B4" s="201">
        <v>61573744</v>
      </c>
      <c r="C4" s="196">
        <v>45259306</v>
      </c>
      <c r="D4" s="194">
        <v>0.36049999999999999</v>
      </c>
      <c r="F4" s="325" t="s">
        <v>271</v>
      </c>
      <c r="G4" s="201">
        <v>62592749</v>
      </c>
      <c r="H4" s="196">
        <v>56142858</v>
      </c>
      <c r="I4" s="194">
        <v>0.1149</v>
      </c>
      <c r="J4" s="333"/>
      <c r="K4" s="325" t="s">
        <v>271</v>
      </c>
      <c r="L4" s="201">
        <v>62592748.869999997</v>
      </c>
      <c r="M4" s="196">
        <v>56142857.539999999</v>
      </c>
      <c r="N4" s="194">
        <v>11.49</v>
      </c>
      <c r="O4" s="385">
        <f t="shared" ref="O4:P16" si="0">L4-G4</f>
        <v>-0.13000000268220901</v>
      </c>
      <c r="P4" s="385">
        <f t="shared" si="0"/>
        <v>-0.46000000089406967</v>
      </c>
      <c r="Q4" s="345" t="str">
        <f>IF(AND(ROUNDDOWN(O4,0)=0,ROUNDDOWN(P4,0)=0),"PASS","FAIL")</f>
        <v>PASS</v>
      </c>
      <c r="R4" s="204" t="s">
        <v>770</v>
      </c>
    </row>
    <row r="5" spans="1:18">
      <c r="A5" s="334" t="s">
        <v>275</v>
      </c>
      <c r="B5" s="201">
        <v>14810810</v>
      </c>
      <c r="C5" s="196">
        <v>14446001</v>
      </c>
      <c r="D5" s="194">
        <v>2.53E-2</v>
      </c>
      <c r="F5" s="334" t="s">
        <v>275</v>
      </c>
      <c r="G5" s="201">
        <v>14880889</v>
      </c>
      <c r="H5" s="196">
        <v>14581890</v>
      </c>
      <c r="I5" s="194">
        <v>2.0500000000000001E-2</v>
      </c>
      <c r="J5" s="333"/>
      <c r="K5" s="334" t="s">
        <v>275</v>
      </c>
      <c r="L5" s="201">
        <v>14880889.01</v>
      </c>
      <c r="M5" s="196">
        <v>14581889.539999999</v>
      </c>
      <c r="N5" s="194">
        <v>2.0499999999999998</v>
      </c>
      <c r="O5" s="385">
        <f t="shared" si="0"/>
        <v>9.9999997764825821E-3</v>
      </c>
      <c r="P5" s="385">
        <f t="shared" si="0"/>
        <v>-0.46000000089406967</v>
      </c>
      <c r="Q5" s="345" t="str">
        <f t="shared" ref="Q5:Q16" si="1">IF(AND(ROUNDDOWN(O5,0)=0,ROUNDDOWN(P5,0)=0),"PASS","FAIL")</f>
        <v>PASS</v>
      </c>
      <c r="R5" s="204" t="s">
        <v>770</v>
      </c>
    </row>
    <row r="6" spans="1:18">
      <c r="A6" s="325" t="s">
        <v>732</v>
      </c>
      <c r="B6" s="196">
        <v>76384554</v>
      </c>
      <c r="C6" s="196">
        <v>59705307</v>
      </c>
      <c r="D6" s="194">
        <v>0.27939999999999998</v>
      </c>
      <c r="F6" s="325" t="s">
        <v>732</v>
      </c>
      <c r="G6" s="196">
        <v>77473638</v>
      </c>
      <c r="H6" s="196">
        <v>70724747</v>
      </c>
      <c r="I6" s="194">
        <v>9.5399999999999999E-2</v>
      </c>
      <c r="J6" s="333"/>
      <c r="K6" s="325" t="s">
        <v>277</v>
      </c>
      <c r="L6" s="196">
        <v>77473637.879999995</v>
      </c>
      <c r="M6" s="196">
        <v>70724747.079999998</v>
      </c>
      <c r="N6" s="194">
        <v>9.5399999999999991</v>
      </c>
      <c r="O6" s="385">
        <f t="shared" si="0"/>
        <v>-0.12000000476837158</v>
      </c>
      <c r="P6" s="385">
        <f t="shared" si="0"/>
        <v>7.9999998211860657E-2</v>
      </c>
      <c r="Q6" s="345" t="str">
        <f t="shared" si="1"/>
        <v>PASS</v>
      </c>
      <c r="R6" s="204" t="s">
        <v>770</v>
      </c>
    </row>
    <row r="7" spans="1:18">
      <c r="A7" s="325" t="s">
        <v>280</v>
      </c>
      <c r="B7" s="382">
        <v>8400</v>
      </c>
      <c r="C7" s="382">
        <v>8303</v>
      </c>
      <c r="D7" s="194">
        <v>1.17E-2</v>
      </c>
      <c r="F7" s="325" t="s">
        <v>280</v>
      </c>
      <c r="G7" s="382">
        <v>8483</v>
      </c>
      <c r="H7" s="382">
        <v>8298</v>
      </c>
      <c r="I7" s="194">
        <v>2.23E-2</v>
      </c>
      <c r="J7" s="333"/>
      <c r="K7" s="325" t="s">
        <v>280</v>
      </c>
      <c r="L7" s="382">
        <v>8483</v>
      </c>
      <c r="M7" s="382">
        <v>8298</v>
      </c>
      <c r="N7" s="194">
        <v>2.23</v>
      </c>
      <c r="O7" s="385">
        <f t="shared" si="0"/>
        <v>0</v>
      </c>
      <c r="P7" s="385">
        <f t="shared" si="0"/>
        <v>0</v>
      </c>
      <c r="Q7" s="345" t="str">
        <f t="shared" si="1"/>
        <v>PASS</v>
      </c>
      <c r="R7" s="204" t="s">
        <v>770</v>
      </c>
    </row>
    <row r="8" spans="1:18">
      <c r="A8" s="325" t="s">
        <v>282</v>
      </c>
      <c r="B8" s="383">
        <v>17524</v>
      </c>
      <c r="C8" s="382">
        <v>17494</v>
      </c>
      <c r="D8" s="194">
        <v>1.6999999999999999E-3</v>
      </c>
      <c r="F8" s="325" t="s">
        <v>282</v>
      </c>
      <c r="G8" s="383">
        <v>17705</v>
      </c>
      <c r="H8" s="382">
        <v>17492</v>
      </c>
      <c r="I8" s="194">
        <v>1.2200000000000001E-2</v>
      </c>
      <c r="J8" s="333"/>
      <c r="K8" s="325" t="s">
        <v>282</v>
      </c>
      <c r="L8" s="383">
        <v>17705</v>
      </c>
      <c r="M8" s="382">
        <v>17492</v>
      </c>
      <c r="N8" s="194">
        <v>0</v>
      </c>
      <c r="O8" s="385">
        <f t="shared" si="0"/>
        <v>0</v>
      </c>
      <c r="P8" s="385">
        <f t="shared" si="0"/>
        <v>0</v>
      </c>
      <c r="Q8" s="345" t="str">
        <f t="shared" si="1"/>
        <v>PASS</v>
      </c>
      <c r="R8" s="204" t="s">
        <v>770</v>
      </c>
    </row>
    <row r="9" spans="1:18" ht="12" customHeight="1">
      <c r="A9" s="325" t="s">
        <v>284</v>
      </c>
      <c r="B9" s="383">
        <v>212440</v>
      </c>
      <c r="C9" s="383">
        <v>177746</v>
      </c>
      <c r="D9" s="384">
        <v>0.19520000000000001</v>
      </c>
      <c r="F9" s="325" t="s">
        <v>284</v>
      </c>
      <c r="G9" s="383">
        <v>213333</v>
      </c>
      <c r="H9" s="383">
        <v>212713</v>
      </c>
      <c r="I9" s="384">
        <v>2.8999999999999998E-3</v>
      </c>
      <c r="J9" s="333"/>
      <c r="K9" s="325" t="s">
        <v>284</v>
      </c>
      <c r="L9" s="383">
        <v>226040</v>
      </c>
      <c r="M9" s="383">
        <v>212713</v>
      </c>
      <c r="N9" s="384">
        <v>6.27</v>
      </c>
      <c r="O9" s="385">
        <f t="shared" si="0"/>
        <v>12707</v>
      </c>
      <c r="P9" s="385">
        <f t="shared" si="0"/>
        <v>0</v>
      </c>
      <c r="Q9" s="345" t="str">
        <f t="shared" si="1"/>
        <v>FAIL</v>
      </c>
    </row>
    <row r="10" spans="1:18">
      <c r="A10" s="325" t="s">
        <v>361</v>
      </c>
      <c r="B10" s="382">
        <v>2.09</v>
      </c>
      <c r="C10" s="382">
        <v>2.11</v>
      </c>
      <c r="D10" s="194">
        <v>-9.7999999999999997E-3</v>
      </c>
      <c r="F10" s="325" t="s">
        <v>361</v>
      </c>
      <c r="G10" s="382">
        <v>2.09</v>
      </c>
      <c r="H10" s="382">
        <v>2.11</v>
      </c>
      <c r="I10" s="194">
        <v>-9.9000000000000008E-3</v>
      </c>
      <c r="J10" s="333"/>
      <c r="K10" s="325" t="s">
        <v>286</v>
      </c>
      <c r="L10" s="382">
        <v>2.81</v>
      </c>
      <c r="M10" s="382">
        <v>0</v>
      </c>
      <c r="N10" s="194">
        <v>0</v>
      </c>
      <c r="O10" s="385">
        <f t="shared" si="0"/>
        <v>0.7200000000000002</v>
      </c>
      <c r="P10" s="385">
        <f t="shared" si="0"/>
        <v>-2.11</v>
      </c>
      <c r="Q10" s="345" t="str">
        <f t="shared" si="1"/>
        <v>FAIL</v>
      </c>
    </row>
    <row r="11" spans="1:18">
      <c r="A11" s="325" t="s">
        <v>358</v>
      </c>
      <c r="B11" s="201">
        <v>120.45</v>
      </c>
      <c r="C11" s="201">
        <v>111.33</v>
      </c>
      <c r="D11" s="194">
        <v>8.1900000000000001E-2</v>
      </c>
      <c r="F11" s="325" t="s">
        <v>358</v>
      </c>
      <c r="G11" s="201">
        <v>116.61</v>
      </c>
      <c r="H11" s="201">
        <v>114.28</v>
      </c>
      <c r="I11" s="194">
        <v>2.0299999999999999E-2</v>
      </c>
      <c r="J11" s="333"/>
      <c r="K11" s="325" t="s">
        <v>358</v>
      </c>
      <c r="L11" s="201">
        <v>110.05</v>
      </c>
      <c r="M11" s="201">
        <v>114.28</v>
      </c>
      <c r="N11" s="194">
        <v>-3.7</v>
      </c>
      <c r="O11" s="385">
        <f t="shared" si="0"/>
        <v>-6.5600000000000023</v>
      </c>
      <c r="P11" s="385">
        <f t="shared" si="0"/>
        <v>0</v>
      </c>
      <c r="Q11" s="345" t="str">
        <f t="shared" si="1"/>
        <v>FAIL</v>
      </c>
    </row>
    <row r="12" spans="1:18">
      <c r="A12" s="325" t="s">
        <v>359</v>
      </c>
      <c r="B12" s="201">
        <v>126.02</v>
      </c>
      <c r="C12" s="201">
        <v>104.35</v>
      </c>
      <c r="D12" s="194">
        <v>0.20760000000000001</v>
      </c>
      <c r="F12" s="325" t="s">
        <v>359</v>
      </c>
      <c r="G12" s="201">
        <v>132.91</v>
      </c>
      <c r="H12" s="201">
        <v>108.1</v>
      </c>
      <c r="I12" s="194">
        <v>0.22950000000000001</v>
      </c>
      <c r="J12" s="333"/>
      <c r="K12" s="325" t="s">
        <v>359</v>
      </c>
      <c r="L12" s="201">
        <v>125.43</v>
      </c>
      <c r="M12" s="201">
        <v>108.09</v>
      </c>
      <c r="N12" s="194">
        <v>16.04</v>
      </c>
      <c r="O12" s="385">
        <f t="shared" si="0"/>
        <v>-7.4799999999999898</v>
      </c>
      <c r="P12" s="385">
        <f t="shared" si="0"/>
        <v>-9.9999999999909051E-3</v>
      </c>
      <c r="Q12" s="345" t="str">
        <f t="shared" si="1"/>
        <v>FAIL</v>
      </c>
    </row>
    <row r="13" spans="1:18">
      <c r="A13" s="325" t="s">
        <v>575</v>
      </c>
      <c r="B13" s="201">
        <v>43.37</v>
      </c>
      <c r="C13" s="201">
        <v>38.950000000000003</v>
      </c>
      <c r="D13" s="194">
        <v>0.11360000000000001</v>
      </c>
      <c r="F13" s="325" t="s">
        <v>575</v>
      </c>
      <c r="G13" s="201">
        <v>43.89</v>
      </c>
      <c r="H13" s="201">
        <v>41.56</v>
      </c>
      <c r="I13" s="194">
        <v>5.6099999999999997E-2</v>
      </c>
      <c r="J13" s="333"/>
      <c r="K13" s="325" t="s">
        <v>789</v>
      </c>
      <c r="L13" s="201">
        <v>41.42</v>
      </c>
      <c r="M13" s="201">
        <v>41.55</v>
      </c>
      <c r="N13" s="194">
        <v>-0.31</v>
      </c>
      <c r="O13" s="385">
        <f t="shared" si="0"/>
        <v>-2.4699999999999989</v>
      </c>
      <c r="P13" s="385">
        <f t="shared" si="0"/>
        <v>-1.0000000000005116E-2</v>
      </c>
      <c r="Q13" s="345" t="str">
        <f t="shared" si="1"/>
        <v>FAIL</v>
      </c>
    </row>
    <row r="14" spans="1:18" ht="12.75" customHeight="1">
      <c r="A14" s="325" t="s">
        <v>294</v>
      </c>
      <c r="B14" s="201">
        <v>289.83999999999997</v>
      </c>
      <c r="C14" s="201">
        <v>254.63</v>
      </c>
      <c r="D14" s="194">
        <v>0.13830000000000001</v>
      </c>
      <c r="F14" s="325" t="s">
        <v>294</v>
      </c>
      <c r="G14" s="201">
        <v>293.39999999999998</v>
      </c>
      <c r="H14" s="201">
        <v>263.94</v>
      </c>
      <c r="I14" s="194">
        <v>0.1116</v>
      </c>
      <c r="J14" s="333"/>
      <c r="K14" s="325" t="s">
        <v>790</v>
      </c>
      <c r="L14" s="201">
        <v>276.91000000000003</v>
      </c>
      <c r="M14" s="201">
        <v>263.93</v>
      </c>
      <c r="N14" s="194">
        <v>4.92</v>
      </c>
      <c r="O14" s="385">
        <f t="shared" si="0"/>
        <v>-16.489999999999952</v>
      </c>
      <c r="P14" s="385">
        <f t="shared" si="0"/>
        <v>-9.9999999999909051E-3</v>
      </c>
      <c r="Q14" s="345" t="str">
        <f t="shared" si="1"/>
        <v>FAIL</v>
      </c>
    </row>
    <row r="15" spans="1:18">
      <c r="A15" s="325" t="s">
        <v>296</v>
      </c>
      <c r="B15" s="201">
        <v>69.72</v>
      </c>
      <c r="C15" s="201">
        <v>81.27</v>
      </c>
      <c r="D15" s="194">
        <v>-0.14219999999999999</v>
      </c>
      <c r="F15" s="325" t="s">
        <v>296</v>
      </c>
      <c r="G15" s="201">
        <v>69.75</v>
      </c>
      <c r="H15" s="201">
        <v>68.55</v>
      </c>
      <c r="I15" s="194">
        <v>1.7500000000000002E-2</v>
      </c>
      <c r="J15" s="333"/>
      <c r="K15" s="325" t="s">
        <v>296</v>
      </c>
      <c r="L15" s="201">
        <v>65.83</v>
      </c>
      <c r="M15" s="201">
        <v>68.55</v>
      </c>
      <c r="N15" s="194">
        <v>-3.97</v>
      </c>
      <c r="O15" s="385">
        <f t="shared" si="0"/>
        <v>-3.9200000000000017</v>
      </c>
      <c r="P15" s="385">
        <f t="shared" si="0"/>
        <v>0</v>
      </c>
      <c r="Q15" s="345" t="str">
        <f t="shared" si="1"/>
        <v>FAIL</v>
      </c>
    </row>
    <row r="16" spans="1:18" ht="25.5">
      <c r="A16" s="325" t="s">
        <v>773</v>
      </c>
      <c r="B16" s="201">
        <v>359.56</v>
      </c>
      <c r="C16" s="201">
        <v>335.9</v>
      </c>
      <c r="D16" s="194">
        <v>7.0400000000000004E-2</v>
      </c>
      <c r="F16" s="325" t="s">
        <v>773</v>
      </c>
      <c r="G16" s="201">
        <v>363.16</v>
      </c>
      <c r="H16" s="201">
        <v>332.49</v>
      </c>
      <c r="I16" s="194">
        <v>9.2200000000000004E-2</v>
      </c>
      <c r="J16" s="333"/>
      <c r="K16" s="325" t="s">
        <v>791</v>
      </c>
      <c r="L16" s="201">
        <v>342.74</v>
      </c>
      <c r="M16" s="201">
        <v>332.48</v>
      </c>
      <c r="N16" s="194">
        <v>3.09</v>
      </c>
      <c r="O16" s="385">
        <f t="shared" si="0"/>
        <v>-20.420000000000016</v>
      </c>
      <c r="P16" s="385">
        <f t="shared" si="0"/>
        <v>-9.9999999999909051E-3</v>
      </c>
      <c r="Q16" s="345" t="str">
        <f t="shared" si="1"/>
        <v>FAIL</v>
      </c>
    </row>
    <row r="18" spans="1:18">
      <c r="A18" s="722" t="s">
        <v>385</v>
      </c>
      <c r="B18" s="723"/>
      <c r="C18" s="723"/>
      <c r="D18" s="723"/>
    </row>
    <row r="19" spans="1:18">
      <c r="A19" s="728" t="s">
        <v>362</v>
      </c>
      <c r="B19" s="728"/>
      <c r="C19" s="728"/>
      <c r="D19" s="728"/>
      <c r="F19" s="728" t="s">
        <v>366</v>
      </c>
      <c r="G19" s="728"/>
      <c r="H19" s="728"/>
      <c r="I19" s="728"/>
      <c r="J19" s="327"/>
      <c r="K19" s="724" t="s">
        <v>28</v>
      </c>
      <c r="L19" s="725"/>
      <c r="M19" s="725"/>
      <c r="N19" s="726"/>
      <c r="Q19" s="328"/>
    </row>
    <row r="20" spans="1:18" ht="25.5">
      <c r="A20" s="219" t="s">
        <v>302</v>
      </c>
      <c r="B20" s="219" t="s">
        <v>23</v>
      </c>
      <c r="C20" s="219" t="s">
        <v>22</v>
      </c>
      <c r="D20" s="219" t="s">
        <v>21</v>
      </c>
      <c r="F20" s="219" t="s">
        <v>302</v>
      </c>
      <c r="G20" s="219" t="s">
        <v>23</v>
      </c>
      <c r="H20" s="219" t="s">
        <v>22</v>
      </c>
      <c r="I20" s="219" t="s">
        <v>21</v>
      </c>
      <c r="J20" s="328"/>
      <c r="K20" s="219" t="s">
        <v>302</v>
      </c>
      <c r="L20" s="219" t="s">
        <v>23</v>
      </c>
      <c r="M20" s="219" t="s">
        <v>22</v>
      </c>
      <c r="N20" s="219" t="s">
        <v>21</v>
      </c>
      <c r="O20" s="332" t="s">
        <v>303</v>
      </c>
      <c r="P20" s="332" t="s">
        <v>304</v>
      </c>
      <c r="Q20" s="332" t="s">
        <v>29</v>
      </c>
    </row>
    <row r="21" spans="1:18">
      <c r="A21" s="325" t="s">
        <v>271</v>
      </c>
      <c r="B21" s="201">
        <v>51953972</v>
      </c>
      <c r="C21" s="196">
        <v>43948438</v>
      </c>
      <c r="D21" s="194">
        <v>0.1822</v>
      </c>
      <c r="F21" s="325" t="s">
        <v>271</v>
      </c>
      <c r="G21" s="201">
        <v>53225145</v>
      </c>
      <c r="H21" s="196">
        <v>48776404</v>
      </c>
      <c r="I21" s="194">
        <v>9.1200000000000003E-2</v>
      </c>
      <c r="J21" s="336"/>
      <c r="K21" s="325" t="s">
        <v>271</v>
      </c>
      <c r="L21" s="201">
        <v>53225145.100000001</v>
      </c>
      <c r="M21" s="196">
        <v>48776403.920000002</v>
      </c>
      <c r="N21" s="194">
        <v>9.1199999999999992</v>
      </c>
      <c r="O21" s="385">
        <f>G21-L21</f>
        <v>-0.10000000149011612</v>
      </c>
      <c r="P21" s="385">
        <f>H21-M21</f>
        <v>7.9999998211860657E-2</v>
      </c>
      <c r="Q21" s="345" t="str">
        <f>IF(AND(ROUNDDOWN(O21,0)=0,ROUNDDOWN(P21,0)=0),"PASS","FAIL")</f>
        <v>PASS</v>
      </c>
      <c r="R21" s="204" t="s">
        <v>770</v>
      </c>
    </row>
    <row r="22" spans="1:18">
      <c r="A22" s="334" t="s">
        <v>275</v>
      </c>
      <c r="B22" s="201">
        <v>14297442</v>
      </c>
      <c r="C22" s="196">
        <v>14221984</v>
      </c>
      <c r="D22" s="194">
        <v>5.3E-3</v>
      </c>
      <c r="F22" s="334" t="s">
        <v>275</v>
      </c>
      <c r="G22" s="201">
        <v>14494637</v>
      </c>
      <c r="H22" s="196">
        <v>14273024</v>
      </c>
      <c r="I22" s="194">
        <v>1.55E-2</v>
      </c>
      <c r="J22" s="336"/>
      <c r="K22" s="334" t="s">
        <v>275</v>
      </c>
      <c r="L22" s="201">
        <v>14494636.689999999</v>
      </c>
      <c r="M22" s="196">
        <v>14273024.300000001</v>
      </c>
      <c r="N22" s="194">
        <v>1.55</v>
      </c>
      <c r="O22" s="385">
        <f t="shared" ref="O22:O33" si="2">G22-L22</f>
        <v>0.31000000052154064</v>
      </c>
      <c r="P22" s="385">
        <f t="shared" ref="P22:P33" si="3">H22-M22</f>
        <v>-0.30000000074505806</v>
      </c>
      <c r="Q22" s="345" t="str">
        <f t="shared" ref="Q22:Q33" si="4">IF(AND(ROUNDDOWN(O22,0)=0,ROUNDDOWN(P22,0)=0),"PASS","FAIL")</f>
        <v>PASS</v>
      </c>
      <c r="R22" s="204" t="s">
        <v>770</v>
      </c>
    </row>
    <row r="23" spans="1:18">
      <c r="A23" s="325" t="s">
        <v>732</v>
      </c>
      <c r="B23" s="196">
        <v>66251413</v>
      </c>
      <c r="C23" s="196">
        <v>58170422</v>
      </c>
      <c r="D23" s="194">
        <v>0.1389</v>
      </c>
      <c r="F23" s="325" t="s">
        <v>732</v>
      </c>
      <c r="G23" s="196">
        <v>67719782</v>
      </c>
      <c r="H23" s="196">
        <v>63049428</v>
      </c>
      <c r="I23" s="194">
        <v>7.4099999999999999E-2</v>
      </c>
      <c r="J23" s="336"/>
      <c r="K23" s="325" t="s">
        <v>277</v>
      </c>
      <c r="L23" s="196">
        <v>67719781.790000007</v>
      </c>
      <c r="M23" s="196">
        <v>63049428.219999999</v>
      </c>
      <c r="N23" s="194">
        <v>7.41</v>
      </c>
      <c r="O23" s="385">
        <f t="shared" si="2"/>
        <v>0.20999999344348907</v>
      </c>
      <c r="P23" s="385">
        <f t="shared" si="3"/>
        <v>-0.2199999988079071</v>
      </c>
      <c r="Q23" s="345" t="str">
        <f t="shared" si="4"/>
        <v>PASS</v>
      </c>
      <c r="R23" s="204" t="s">
        <v>770</v>
      </c>
    </row>
    <row r="24" spans="1:18">
      <c r="A24" s="325" t="s">
        <v>280</v>
      </c>
      <c r="B24" s="382">
        <v>8400</v>
      </c>
      <c r="C24" s="382">
        <v>8303</v>
      </c>
      <c r="D24" s="194">
        <v>1.17E-2</v>
      </c>
      <c r="F24" s="325" t="s">
        <v>280</v>
      </c>
      <c r="G24" s="382">
        <v>8483</v>
      </c>
      <c r="H24" s="382">
        <v>8298</v>
      </c>
      <c r="I24" s="194">
        <v>2.23E-2</v>
      </c>
      <c r="J24" s="336"/>
      <c r="K24" s="325" t="s">
        <v>280</v>
      </c>
      <c r="L24" s="382">
        <v>8483</v>
      </c>
      <c r="M24" s="382">
        <v>8298</v>
      </c>
      <c r="N24" s="194">
        <v>2.23</v>
      </c>
      <c r="O24" s="385">
        <f t="shared" si="2"/>
        <v>0</v>
      </c>
      <c r="P24" s="385">
        <f t="shared" si="3"/>
        <v>0</v>
      </c>
      <c r="Q24" s="345" t="str">
        <f t="shared" si="4"/>
        <v>PASS</v>
      </c>
      <c r="R24" s="204" t="s">
        <v>770</v>
      </c>
    </row>
    <row r="25" spans="1:18">
      <c r="A25" s="325" t="s">
        <v>282</v>
      </c>
      <c r="B25" s="383">
        <v>17524</v>
      </c>
      <c r="C25" s="382">
        <v>17494</v>
      </c>
      <c r="D25" s="194">
        <v>1.6999999999999999E-3</v>
      </c>
      <c r="F25" s="325" t="s">
        <v>282</v>
      </c>
      <c r="G25" s="383">
        <v>17705</v>
      </c>
      <c r="H25" s="382">
        <v>17492</v>
      </c>
      <c r="I25" s="194">
        <v>1.2200000000000001E-2</v>
      </c>
      <c r="J25" s="336"/>
      <c r="K25" s="325" t="s">
        <v>282</v>
      </c>
      <c r="L25" s="383">
        <v>17705</v>
      </c>
      <c r="M25" s="382">
        <v>17492</v>
      </c>
      <c r="N25" s="194">
        <v>1.2200000000000001E-2</v>
      </c>
      <c r="O25" s="385">
        <f t="shared" si="2"/>
        <v>0</v>
      </c>
      <c r="P25" s="385">
        <f t="shared" si="3"/>
        <v>0</v>
      </c>
      <c r="Q25" s="345" t="str">
        <f t="shared" si="4"/>
        <v>PASS</v>
      </c>
      <c r="R25" s="204" t="s">
        <v>770</v>
      </c>
    </row>
    <row r="26" spans="1:18">
      <c r="A26" s="325" t="s">
        <v>284</v>
      </c>
      <c r="B26" s="383">
        <v>212440</v>
      </c>
      <c r="C26" s="383">
        <v>177746</v>
      </c>
      <c r="D26" s="384">
        <v>0.19520000000000001</v>
      </c>
      <c r="F26" s="325" t="s">
        <v>284</v>
      </c>
      <c r="G26" s="383">
        <v>213333</v>
      </c>
      <c r="H26" s="383">
        <v>212713</v>
      </c>
      <c r="I26" s="384">
        <v>2.8999999999999998E-3</v>
      </c>
      <c r="J26" s="336"/>
      <c r="K26" s="325" t="s">
        <v>284</v>
      </c>
      <c r="L26" s="383">
        <v>226040</v>
      </c>
      <c r="M26" s="383">
        <v>212713</v>
      </c>
      <c r="N26" s="384">
        <v>6.27</v>
      </c>
      <c r="O26" s="385">
        <f t="shared" si="2"/>
        <v>-12707</v>
      </c>
      <c r="P26" s="385">
        <f t="shared" si="3"/>
        <v>0</v>
      </c>
      <c r="Q26" s="345" t="str">
        <f t="shared" si="4"/>
        <v>FAIL</v>
      </c>
    </row>
    <row r="27" spans="1:18">
      <c r="A27" s="325" t="s">
        <v>361</v>
      </c>
      <c r="B27" s="382">
        <v>2.09</v>
      </c>
      <c r="C27" s="382">
        <v>2.11</v>
      </c>
      <c r="D27" s="194">
        <v>-9.7999999999999997E-3</v>
      </c>
      <c r="F27" s="325" t="s">
        <v>361</v>
      </c>
      <c r="G27" s="382">
        <v>2.09</v>
      </c>
      <c r="H27" s="382">
        <v>2.11</v>
      </c>
      <c r="I27" s="194">
        <v>-9.9000000000000008E-3</v>
      </c>
      <c r="J27" s="336"/>
      <c r="K27" s="325" t="s">
        <v>286</v>
      </c>
      <c r="L27" s="382">
        <v>2.81</v>
      </c>
      <c r="M27" s="382">
        <v>0</v>
      </c>
      <c r="N27" s="194">
        <v>0</v>
      </c>
      <c r="O27" s="385">
        <f t="shared" si="2"/>
        <v>-0.7200000000000002</v>
      </c>
      <c r="P27" s="385">
        <f t="shared" si="3"/>
        <v>2.11</v>
      </c>
      <c r="Q27" s="345" t="str">
        <f t="shared" si="4"/>
        <v>FAIL</v>
      </c>
    </row>
    <row r="28" spans="1:18">
      <c r="A28" s="325" t="s">
        <v>358</v>
      </c>
      <c r="B28" s="201">
        <v>92.12</v>
      </c>
      <c r="C28" s="201">
        <v>107.98</v>
      </c>
      <c r="D28" s="194">
        <v>-0.1469</v>
      </c>
      <c r="F28" s="325" t="s">
        <v>358</v>
      </c>
      <c r="G28" s="201">
        <v>94</v>
      </c>
      <c r="H28" s="201">
        <v>95.92</v>
      </c>
      <c r="I28" s="194">
        <v>-2.01E-2</v>
      </c>
      <c r="J28" s="336"/>
      <c r="K28" s="325" t="s">
        <v>358</v>
      </c>
      <c r="L28" s="201">
        <v>88.71</v>
      </c>
      <c r="M28" s="201">
        <v>95.91</v>
      </c>
      <c r="N28" s="194">
        <v>-7.51</v>
      </c>
      <c r="O28" s="385">
        <f t="shared" si="2"/>
        <v>5.2900000000000063</v>
      </c>
      <c r="P28" s="385">
        <f t="shared" si="3"/>
        <v>1.0000000000005116E-2</v>
      </c>
      <c r="Q28" s="345" t="str">
        <f t="shared" si="4"/>
        <v>FAIL</v>
      </c>
    </row>
    <row r="29" spans="1:18">
      <c r="A29" s="325" t="s">
        <v>359</v>
      </c>
      <c r="B29" s="201">
        <v>113.07</v>
      </c>
      <c r="C29" s="201">
        <v>101.3</v>
      </c>
      <c r="D29" s="194">
        <v>0.1162</v>
      </c>
      <c r="F29" s="325" t="s">
        <v>359</v>
      </c>
      <c r="G29" s="201">
        <v>116.13</v>
      </c>
      <c r="H29" s="201">
        <v>96.33</v>
      </c>
      <c r="I29" s="194">
        <v>0.20549999999999999</v>
      </c>
      <c r="J29" s="336"/>
      <c r="K29" s="325" t="s">
        <v>359</v>
      </c>
      <c r="L29" s="201">
        <v>109.6</v>
      </c>
      <c r="M29" s="201">
        <v>96.33</v>
      </c>
      <c r="N29" s="194">
        <v>13.78</v>
      </c>
      <c r="O29" s="385">
        <f t="shared" si="2"/>
        <v>6.5300000000000011</v>
      </c>
      <c r="P29" s="385">
        <f t="shared" si="3"/>
        <v>0</v>
      </c>
      <c r="Q29" s="345" t="str">
        <f t="shared" si="4"/>
        <v>FAIL</v>
      </c>
    </row>
    <row r="30" spans="1:18">
      <c r="A30" s="325" t="s">
        <v>575</v>
      </c>
      <c r="B30" s="201">
        <v>39.369999999999997</v>
      </c>
      <c r="C30" s="201">
        <v>37.97</v>
      </c>
      <c r="D30" s="194">
        <v>3.6900000000000002E-2</v>
      </c>
      <c r="F30" s="325" t="s">
        <v>575</v>
      </c>
      <c r="G30" s="201">
        <v>39.369999999999997</v>
      </c>
      <c r="H30" s="201">
        <v>37.06</v>
      </c>
      <c r="I30" s="194">
        <v>6.2399999999999997E-2</v>
      </c>
      <c r="J30" s="336"/>
      <c r="K30" s="325" t="s">
        <v>789</v>
      </c>
      <c r="L30" s="201">
        <v>37.15</v>
      </c>
      <c r="M30" s="201">
        <v>37.049999999999997</v>
      </c>
      <c r="N30" s="194">
        <v>0.27</v>
      </c>
      <c r="O30" s="385">
        <f t="shared" si="2"/>
        <v>2.2199999999999989</v>
      </c>
      <c r="P30" s="385">
        <f t="shared" si="3"/>
        <v>1.0000000000005116E-2</v>
      </c>
      <c r="Q30" s="345" t="str">
        <f t="shared" si="4"/>
        <v>FAIL</v>
      </c>
    </row>
    <row r="31" spans="1:18">
      <c r="A31" s="325" t="s">
        <v>294</v>
      </c>
      <c r="B31" s="201">
        <v>244.56</v>
      </c>
      <c r="C31" s="201">
        <v>247.25</v>
      </c>
      <c r="D31" s="194">
        <v>-1.09E-2</v>
      </c>
      <c r="F31" s="325" t="s">
        <v>294</v>
      </c>
      <c r="G31" s="201">
        <v>249.49</v>
      </c>
      <c r="H31" s="201">
        <v>229.31</v>
      </c>
      <c r="I31" s="194">
        <v>8.7999999999999995E-2</v>
      </c>
      <c r="J31" s="336"/>
      <c r="K31" s="325" t="s">
        <v>790</v>
      </c>
      <c r="L31" s="201">
        <v>235.46</v>
      </c>
      <c r="M31" s="201">
        <v>229.3</v>
      </c>
      <c r="N31" s="194">
        <v>2.69</v>
      </c>
      <c r="O31" s="385">
        <f t="shared" si="2"/>
        <v>14.030000000000001</v>
      </c>
      <c r="P31" s="385">
        <f t="shared" si="3"/>
        <v>9.9999999999909051E-3</v>
      </c>
      <c r="Q31" s="345" t="str">
        <f t="shared" si="4"/>
        <v>FAIL</v>
      </c>
    </row>
    <row r="32" spans="1:18">
      <c r="A32" s="325" t="s">
        <v>296</v>
      </c>
      <c r="B32" s="201">
        <v>67.3</v>
      </c>
      <c r="C32" s="201">
        <v>80.010000000000005</v>
      </c>
      <c r="D32" s="194">
        <v>-0.15890000000000001</v>
      </c>
      <c r="F32" s="325" t="s">
        <v>296</v>
      </c>
      <c r="G32" s="201">
        <v>67.94</v>
      </c>
      <c r="H32" s="201">
        <v>67.099999999999994</v>
      </c>
      <c r="I32" s="194">
        <v>1.26E-2</v>
      </c>
      <c r="J32" s="336"/>
      <c r="K32" s="325" t="s">
        <v>296</v>
      </c>
      <c r="L32" s="201">
        <v>64.12</v>
      </c>
      <c r="M32" s="201">
        <v>67.09</v>
      </c>
      <c r="N32" s="194">
        <v>-4.43</v>
      </c>
      <c r="O32" s="385">
        <f t="shared" si="2"/>
        <v>3.8199999999999932</v>
      </c>
      <c r="P32" s="385">
        <f t="shared" si="3"/>
        <v>9.9999999999909051E-3</v>
      </c>
      <c r="Q32" s="345" t="str">
        <f t="shared" si="4"/>
        <v>FAIL</v>
      </c>
    </row>
    <row r="33" spans="1:17" ht="25.5">
      <c r="A33" s="325" t="s">
        <v>773</v>
      </c>
      <c r="B33" s="201">
        <v>311.86</v>
      </c>
      <c r="C33" s="201">
        <v>327.27</v>
      </c>
      <c r="D33" s="194">
        <v>-4.7100000000000003E-2</v>
      </c>
      <c r="F33" s="325" t="s">
        <v>773</v>
      </c>
      <c r="G33" s="201">
        <v>317.44</v>
      </c>
      <c r="H33" s="201">
        <v>296.41000000000003</v>
      </c>
      <c r="I33" s="194">
        <v>7.0999999999999994E-2</v>
      </c>
      <c r="J33" s="336"/>
      <c r="K33" s="325" t="s">
        <v>791</v>
      </c>
      <c r="L33" s="201">
        <v>299.58999999999997</v>
      </c>
      <c r="M33" s="201">
        <v>296.39999999999998</v>
      </c>
      <c r="N33" s="194">
        <v>1.08</v>
      </c>
      <c r="O33" s="385">
        <f t="shared" si="2"/>
        <v>17.850000000000023</v>
      </c>
      <c r="P33" s="385">
        <f t="shared" si="3"/>
        <v>1.0000000000047748E-2</v>
      </c>
      <c r="Q33" s="345" t="str">
        <f t="shared" si="4"/>
        <v>FAIL</v>
      </c>
    </row>
    <row r="34" spans="1:17">
      <c r="A34" s="603"/>
      <c r="B34" s="604"/>
      <c r="C34" s="605"/>
      <c r="D34" s="321"/>
    </row>
    <row r="35" spans="1:17">
      <c r="A35" s="346" t="s">
        <v>364</v>
      </c>
      <c r="B35" s="204"/>
      <c r="F35" s="346" t="s">
        <v>365</v>
      </c>
      <c r="G35" s="204"/>
    </row>
    <row r="36" spans="1:17">
      <c r="A36" s="727" t="s">
        <v>363</v>
      </c>
      <c r="B36" s="727"/>
      <c r="C36" s="727"/>
      <c r="D36" s="727"/>
      <c r="F36" s="727" t="s">
        <v>363</v>
      </c>
      <c r="G36" s="727"/>
      <c r="H36" s="727"/>
      <c r="I36" s="727"/>
    </row>
    <row r="37" spans="1:17" ht="25.5">
      <c r="A37" s="219" t="s">
        <v>302</v>
      </c>
      <c r="B37" s="219" t="s">
        <v>23</v>
      </c>
      <c r="C37" s="219" t="s">
        <v>22</v>
      </c>
      <c r="D37" s="219" t="s">
        <v>29</v>
      </c>
      <c r="F37" s="219" t="s">
        <v>302</v>
      </c>
      <c r="G37" s="219" t="s">
        <v>23</v>
      </c>
      <c r="H37" s="219" t="s">
        <v>22</v>
      </c>
      <c r="I37" s="219" t="s">
        <v>29</v>
      </c>
      <c r="K37" s="401"/>
      <c r="L37" s="402" t="s">
        <v>396</v>
      </c>
      <c r="M37" s="402" t="s">
        <v>397</v>
      </c>
      <c r="N37" s="403" t="s">
        <v>29</v>
      </c>
    </row>
    <row r="38" spans="1:17">
      <c r="A38" s="325" t="s">
        <v>271</v>
      </c>
      <c r="B38" s="194">
        <f>IF(G4=0, 0%,(G4-B4)/G4)</f>
        <v>1.6279920857925571E-2</v>
      </c>
      <c r="C38" s="194">
        <f>IF(H4=0, 0%,(H4-C4)/H4)</f>
        <v>0.19385461281646901</v>
      </c>
      <c r="D38" s="207" t="str">
        <f>IF(AND(B38&lt;=10%,C38&lt;=10%,B38&gt;=-10%,C38&gt;=-10%),"PASS","FAIL")</f>
        <v>FAIL</v>
      </c>
      <c r="F38" s="325" t="s">
        <v>271</v>
      </c>
      <c r="G38" s="194">
        <f>IF(G21=0, 0%,(G21-B21)/G21)</f>
        <v>2.3882941042246104E-2</v>
      </c>
      <c r="H38" s="194">
        <f>IF(H21=0, 0%,(H21-C21)/H21)</f>
        <v>9.8981589540713164E-2</v>
      </c>
      <c r="I38" s="207" t="str">
        <f>IF(AND(G38&lt;=10%,H38&lt;=10%,G38&gt;=-10%,H38&gt;=-10%),"PASS","FAIL")</f>
        <v>PASS</v>
      </c>
      <c r="K38" s="398" t="s">
        <v>579</v>
      </c>
      <c r="L38" s="399">
        <v>984425</v>
      </c>
      <c r="M38" s="399">
        <v>984425</v>
      </c>
      <c r="N38" s="345" t="str">
        <f>IF(EXACT(L38,M38),"PASS","FAIL")</f>
        <v>PASS</v>
      </c>
    </row>
    <row r="39" spans="1:17">
      <c r="A39" s="334" t="s">
        <v>275</v>
      </c>
      <c r="B39" s="194">
        <f t="shared" ref="B39:C39" si="5">IF(G5=0, 0%,(G5-B5)/G5)</f>
        <v>4.7093288579734723E-3</v>
      </c>
      <c r="C39" s="194">
        <f t="shared" si="5"/>
        <v>9.319025174377259E-3</v>
      </c>
      <c r="D39" s="207" t="str">
        <f t="shared" ref="D39:D50" si="6">IF(AND(B39&lt;=10%,C39&lt;=10%,B39&gt;=-10%,C39&gt;=-10%),"PASS","FAIL")</f>
        <v>PASS</v>
      </c>
      <c r="F39" s="334" t="s">
        <v>275</v>
      </c>
      <c r="G39" s="194">
        <f t="shared" ref="G39:H39" si="7">IF(G22=0, 0%,(G22-B22)/G22)</f>
        <v>1.3604687030106376E-2</v>
      </c>
      <c r="H39" s="194">
        <f t="shared" si="7"/>
        <v>3.5759766115435665E-3</v>
      </c>
      <c r="I39" s="207" t="str">
        <f t="shared" ref="I39:I50" si="8">IF(AND(G39&lt;=10%,H39&lt;=10%,G39&gt;=-10%,H39&gt;=-10%),"PASS","FAIL")</f>
        <v>PASS</v>
      </c>
      <c r="K39" s="398" t="s">
        <v>375</v>
      </c>
      <c r="L39" s="399">
        <v>288378</v>
      </c>
      <c r="M39" s="399">
        <v>288378</v>
      </c>
      <c r="N39" s="345" t="str">
        <f t="shared" ref="N39:N41" si="9">IF(EXACT(L39,M39),"PASS","FAIL")</f>
        <v>PASS</v>
      </c>
    </row>
    <row r="40" spans="1:17">
      <c r="A40" s="325" t="s">
        <v>277</v>
      </c>
      <c r="B40" s="194">
        <f t="shared" ref="B40:C40" si="10">IF(G6=0, 0%,(G6-B6)/G6)</f>
        <v>1.4057478493523177E-2</v>
      </c>
      <c r="C40" s="194">
        <f t="shared" si="10"/>
        <v>0.15580741490669453</v>
      </c>
      <c r="D40" s="207" t="str">
        <f t="shared" si="6"/>
        <v>FAIL</v>
      </c>
      <c r="F40" s="325" t="s">
        <v>277</v>
      </c>
      <c r="G40" s="194">
        <f t="shared" ref="G40:H40" si="11">IF(G23=0, 0%,(G23-B23)/G23)</f>
        <v>2.16830142778664E-2</v>
      </c>
      <c r="H40" s="194">
        <f t="shared" si="11"/>
        <v>7.7383826543200362E-2</v>
      </c>
      <c r="I40" s="207" t="str">
        <f t="shared" si="8"/>
        <v>PASS</v>
      </c>
      <c r="K40" s="400" t="s">
        <v>580</v>
      </c>
      <c r="L40" s="399">
        <v>164648</v>
      </c>
      <c r="M40" s="399">
        <v>164648</v>
      </c>
      <c r="N40" s="345" t="str">
        <f t="shared" si="9"/>
        <v>PASS</v>
      </c>
    </row>
    <row r="41" spans="1:17">
      <c r="A41" s="325" t="s">
        <v>280</v>
      </c>
      <c r="B41" s="194">
        <f t="shared" ref="B41:C41" si="12">IF(G7=0, 0%,(G7-B7)/G7)</f>
        <v>9.7842744312153715E-3</v>
      </c>
      <c r="C41" s="194">
        <f t="shared" si="12"/>
        <v>-6.0255483248975654E-4</v>
      </c>
      <c r="D41" s="207" t="str">
        <f t="shared" si="6"/>
        <v>PASS</v>
      </c>
      <c r="F41" s="325" t="s">
        <v>280</v>
      </c>
      <c r="G41" s="194">
        <f t="shared" ref="G41:H41" si="13">IF(G24=0, 0%,(G24-B24)/G24)</f>
        <v>9.7842744312153715E-3</v>
      </c>
      <c r="H41" s="194">
        <f t="shared" si="13"/>
        <v>-6.0255483248975654E-4</v>
      </c>
      <c r="I41" s="207" t="str">
        <f t="shared" si="8"/>
        <v>PASS</v>
      </c>
      <c r="K41" s="400" t="s">
        <v>577</v>
      </c>
      <c r="L41" s="383">
        <v>17705</v>
      </c>
      <c r="M41" s="383">
        <v>17705</v>
      </c>
      <c r="N41" s="345" t="str">
        <f t="shared" si="9"/>
        <v>PASS</v>
      </c>
    </row>
    <row r="42" spans="1:17">
      <c r="A42" s="325" t="s">
        <v>282</v>
      </c>
      <c r="B42" s="194">
        <f t="shared" ref="B42:C42" si="14">IF(G8=0, 0%,(G8-B8)/G8)</f>
        <v>1.022310081897769E-2</v>
      </c>
      <c r="C42" s="194">
        <f t="shared" si="14"/>
        <v>-1.1433798307797851E-4</v>
      </c>
      <c r="D42" s="207" t="str">
        <f t="shared" si="6"/>
        <v>PASS</v>
      </c>
      <c r="F42" s="325" t="s">
        <v>282</v>
      </c>
      <c r="G42" s="194">
        <f t="shared" ref="G42:H42" si="15">IF(G25=0, 0%,(G25-B25)/G25)</f>
        <v>1.022310081897769E-2</v>
      </c>
      <c r="H42" s="194">
        <f t="shared" si="15"/>
        <v>-1.1433798307797851E-4</v>
      </c>
      <c r="I42" s="207" t="str">
        <f t="shared" si="8"/>
        <v>PASS</v>
      </c>
    </row>
    <row r="43" spans="1:17">
      <c r="A43" s="325" t="s">
        <v>284</v>
      </c>
      <c r="B43" s="194">
        <f t="shared" ref="B43:C43" si="16">IF(G9=0, 0%,(G9-B9)/G9)</f>
        <v>4.1859440405375634E-3</v>
      </c>
      <c r="C43" s="194">
        <f t="shared" si="16"/>
        <v>0.16438581562951018</v>
      </c>
      <c r="D43" s="207" t="str">
        <f t="shared" si="6"/>
        <v>FAIL</v>
      </c>
      <c r="F43" s="325" t="s">
        <v>284</v>
      </c>
      <c r="G43" s="194">
        <f t="shared" ref="G43:H43" si="17">IF(G26=0, 0%,(G26-B26)/G26)</f>
        <v>4.1859440405375634E-3</v>
      </c>
      <c r="H43" s="194">
        <f t="shared" si="17"/>
        <v>0.16438581562951018</v>
      </c>
      <c r="I43" s="207" t="str">
        <f t="shared" si="8"/>
        <v>FAIL</v>
      </c>
    </row>
    <row r="44" spans="1:17">
      <c r="A44" s="325" t="s">
        <v>361</v>
      </c>
      <c r="B44" s="194">
        <f t="shared" ref="B44:C44" si="18">IF(G10=0, 0%,(G10-B10)/G10)</f>
        <v>0</v>
      </c>
      <c r="C44" s="194">
        <f t="shared" si="18"/>
        <v>0</v>
      </c>
      <c r="D44" s="207" t="str">
        <f t="shared" si="6"/>
        <v>PASS</v>
      </c>
      <c r="F44" s="325" t="s">
        <v>361</v>
      </c>
      <c r="G44" s="194">
        <f t="shared" ref="G44:H44" si="19">IF(G27=0, 0%,(G27-B27)/G27)</f>
        <v>0</v>
      </c>
      <c r="H44" s="194">
        <f t="shared" si="19"/>
        <v>0</v>
      </c>
      <c r="I44" s="207" t="str">
        <f t="shared" si="8"/>
        <v>PASS</v>
      </c>
    </row>
    <row r="45" spans="1:17" ht="15" customHeight="1">
      <c r="A45" s="325" t="s">
        <v>358</v>
      </c>
      <c r="B45" s="194">
        <f t="shared" ref="B45:C45" si="20">IF(G11=0, 0%,(G11-B11)/G11)</f>
        <v>-3.2930280421919249E-2</v>
      </c>
      <c r="C45" s="194">
        <f t="shared" si="20"/>
        <v>2.5813790689534502E-2</v>
      </c>
      <c r="D45" s="207" t="str">
        <f t="shared" si="6"/>
        <v>PASS</v>
      </c>
      <c r="F45" s="325" t="s">
        <v>358</v>
      </c>
      <c r="G45" s="194">
        <f t="shared" ref="G45:H45" si="21">IF(G28=0, 0%,(G28-B28)/G28)</f>
        <v>1.9999999999999952E-2</v>
      </c>
      <c r="H45" s="194">
        <f t="shared" si="21"/>
        <v>-0.12572977481234365</v>
      </c>
      <c r="I45" s="207" t="str">
        <f t="shared" si="8"/>
        <v>FAIL</v>
      </c>
      <c r="K45" s="706" t="s">
        <v>761</v>
      </c>
      <c r="L45" s="706"/>
      <c r="M45" s="706"/>
      <c r="N45" s="706"/>
      <c r="O45" s="706"/>
    </row>
    <row r="46" spans="1:17">
      <c r="A46" s="325" t="s">
        <v>359</v>
      </c>
      <c r="B46" s="194">
        <f t="shared" ref="B46:C46" si="22">IF(G12=0, 0%,(G12-B12)/G12)</f>
        <v>5.183959070047401E-2</v>
      </c>
      <c r="C46" s="194">
        <f t="shared" si="22"/>
        <v>3.4690101757631826E-2</v>
      </c>
      <c r="D46" s="207" t="str">
        <f t="shared" si="6"/>
        <v>PASS</v>
      </c>
      <c r="F46" s="325" t="s">
        <v>359</v>
      </c>
      <c r="G46" s="194">
        <f t="shared" ref="G46:H46" si="23">IF(G29=0, 0%,(G29-B29)/G29)</f>
        <v>2.6349780418496532E-2</v>
      </c>
      <c r="H46" s="194">
        <f t="shared" si="23"/>
        <v>-5.1593480743278304E-2</v>
      </c>
      <c r="I46" s="207" t="str">
        <f t="shared" si="8"/>
        <v>PASS</v>
      </c>
      <c r="K46" s="403" t="s">
        <v>762</v>
      </c>
      <c r="L46" s="403" t="s">
        <v>763</v>
      </c>
      <c r="M46" s="403" t="s">
        <v>764</v>
      </c>
      <c r="N46" s="403" t="s">
        <v>765</v>
      </c>
      <c r="O46" s="403" t="s">
        <v>29</v>
      </c>
    </row>
    <row r="47" spans="1:17">
      <c r="A47" s="325" t="s">
        <v>575</v>
      </c>
      <c r="B47" s="194">
        <f t="shared" ref="B47:C47" si="24">IF(G13=0, 0%,(G13-B13)/G13)</f>
        <v>1.1847801321485604E-2</v>
      </c>
      <c r="C47" s="194">
        <f t="shared" si="24"/>
        <v>6.2800769971126061E-2</v>
      </c>
      <c r="D47" s="207" t="str">
        <f t="shared" si="6"/>
        <v>PASS</v>
      </c>
      <c r="F47" s="325" t="s">
        <v>575</v>
      </c>
      <c r="G47" s="194">
        <f t="shared" ref="G47:H47" si="25">IF(G30=0, 0%,(G30-B30)/G30)</f>
        <v>0</v>
      </c>
      <c r="H47" s="194">
        <f t="shared" si="25"/>
        <v>-2.4554776038855815E-2</v>
      </c>
      <c r="I47" s="207" t="str">
        <f t="shared" si="8"/>
        <v>PASS</v>
      </c>
      <c r="K47" s="398" t="s">
        <v>766</v>
      </c>
      <c r="L47" s="398" t="s">
        <v>408</v>
      </c>
      <c r="M47" s="326">
        <v>3</v>
      </c>
      <c r="N47" s="326">
        <v>3</v>
      </c>
      <c r="O47" s="345" t="str">
        <f t="shared" ref="O47:O53" si="26">IF(EXACT(M47,N47),"PASS","FAIL")</f>
        <v>PASS</v>
      </c>
    </row>
    <row r="48" spans="1:17">
      <c r="A48" s="325" t="s">
        <v>294</v>
      </c>
      <c r="B48" s="194">
        <f t="shared" ref="B48:C48" si="27">IF(G14=0, 0%,(G14-B14)/G14)</f>
        <v>1.2133605998636682E-2</v>
      </c>
      <c r="C48" s="194">
        <f t="shared" si="27"/>
        <v>3.5273168144275224E-2</v>
      </c>
      <c r="D48" s="207" t="str">
        <f t="shared" si="6"/>
        <v>PASS</v>
      </c>
      <c r="F48" s="325" t="s">
        <v>294</v>
      </c>
      <c r="G48" s="194">
        <f t="shared" ref="G48:H48" si="28">IF(G31=0, 0%,(G31-B31)/G31)</f>
        <v>1.9760311034510428E-2</v>
      </c>
      <c r="H48" s="194">
        <f t="shared" si="28"/>
        <v>-7.8234704112337003E-2</v>
      </c>
      <c r="I48" s="207" t="str">
        <f t="shared" si="8"/>
        <v>PASS</v>
      </c>
      <c r="K48" s="398" t="s">
        <v>767</v>
      </c>
      <c r="L48" s="398" t="s">
        <v>775</v>
      </c>
      <c r="M48" s="326">
        <v>3</v>
      </c>
      <c r="N48" s="326">
        <v>3</v>
      </c>
      <c r="O48" s="345" t="str">
        <f t="shared" si="26"/>
        <v>PASS</v>
      </c>
    </row>
    <row r="49" spans="1:15">
      <c r="A49" s="325" t="s">
        <v>296</v>
      </c>
      <c r="B49" s="194">
        <f t="shared" ref="B49:C49" si="29">IF(G15=0, 0%,(G15-B15)/G15)</f>
        <v>4.3010752688173675E-4</v>
      </c>
      <c r="C49" s="194">
        <f t="shared" si="29"/>
        <v>-0.18555798687089714</v>
      </c>
      <c r="D49" s="207" t="str">
        <f t="shared" si="6"/>
        <v>FAIL</v>
      </c>
      <c r="F49" s="325" t="s">
        <v>296</v>
      </c>
      <c r="G49" s="194">
        <f t="shared" ref="G49:H49" si="30">IF(G32=0, 0%,(G32-B32)/G32)</f>
        <v>9.4200765381218816E-3</v>
      </c>
      <c r="H49" s="194">
        <f t="shared" si="30"/>
        <v>-0.19239940387481388</v>
      </c>
      <c r="I49" s="207" t="str">
        <f t="shared" si="8"/>
        <v>FAIL</v>
      </c>
      <c r="K49" s="398" t="s">
        <v>768</v>
      </c>
      <c r="L49" s="398" t="s">
        <v>772</v>
      </c>
      <c r="M49" s="326">
        <v>3</v>
      </c>
      <c r="N49" s="326">
        <v>3</v>
      </c>
      <c r="O49" s="345" t="str">
        <f t="shared" si="26"/>
        <v>PASS</v>
      </c>
    </row>
    <row r="50" spans="1:15">
      <c r="A50" s="326" t="s">
        <v>300</v>
      </c>
      <c r="B50" s="194">
        <f t="shared" ref="B50:C50" si="31">IF(G16=0, 0%,(G16-B16)/G16)</f>
        <v>9.9129860116753572E-3</v>
      </c>
      <c r="C50" s="194">
        <f t="shared" si="31"/>
        <v>-1.025594754729456E-2</v>
      </c>
      <c r="D50" s="207" t="str">
        <f t="shared" si="6"/>
        <v>PASS</v>
      </c>
      <c r="F50" s="326" t="s">
        <v>300</v>
      </c>
      <c r="G50" s="194">
        <f t="shared" ref="G50:H50" si="32">IF(G33=0, 0%,(G33-B33)/G33)</f>
        <v>1.7578124999999951E-2</v>
      </c>
      <c r="H50" s="194">
        <f t="shared" si="32"/>
        <v>-0.10411254681016145</v>
      </c>
      <c r="I50" s="207" t="str">
        <f t="shared" si="8"/>
        <v>FAIL</v>
      </c>
      <c r="J50" s="204"/>
      <c r="K50" s="398" t="s">
        <v>779</v>
      </c>
      <c r="L50" s="398" t="s">
        <v>380</v>
      </c>
      <c r="M50" s="326">
        <v>3</v>
      </c>
      <c r="N50" s="326">
        <v>3</v>
      </c>
      <c r="O50" s="345" t="str">
        <f t="shared" si="26"/>
        <v>PASS</v>
      </c>
    </row>
    <row r="51" spans="1:15">
      <c r="J51" s="204"/>
      <c r="K51" s="398" t="s">
        <v>780</v>
      </c>
      <c r="L51" s="398" t="s">
        <v>776</v>
      </c>
      <c r="M51" s="326">
        <v>52</v>
      </c>
      <c r="N51" s="326">
        <v>52</v>
      </c>
      <c r="O51" s="345" t="str">
        <f t="shared" si="26"/>
        <v>PASS</v>
      </c>
    </row>
    <row r="52" spans="1:15">
      <c r="K52" s="398" t="s">
        <v>781</v>
      </c>
      <c r="L52" s="398" t="s">
        <v>777</v>
      </c>
      <c r="M52" s="326">
        <v>104</v>
      </c>
      <c r="N52" s="326">
        <v>104</v>
      </c>
      <c r="O52" s="345" t="str">
        <f t="shared" si="26"/>
        <v>PASS</v>
      </c>
    </row>
    <row r="53" spans="1:15">
      <c r="K53" s="398" t="s">
        <v>782</v>
      </c>
      <c r="L53" s="398" t="s">
        <v>778</v>
      </c>
      <c r="M53" s="326">
        <v>3</v>
      </c>
      <c r="N53" s="326">
        <v>3</v>
      </c>
      <c r="O53" s="345" t="str">
        <f t="shared" si="26"/>
        <v>PASS</v>
      </c>
    </row>
    <row r="57" spans="1:15">
      <c r="G57" s="702"/>
      <c r="H57" s="703"/>
      <c r="I57" s="701"/>
      <c r="J57" s="204"/>
    </row>
    <row r="58" spans="1:15">
      <c r="G58" s="702"/>
      <c r="H58" s="703"/>
      <c r="I58" s="701"/>
      <c r="J58" s="204"/>
    </row>
    <row r="59" spans="1:15">
      <c r="C59" s="699"/>
      <c r="D59" s="699"/>
      <c r="E59" s="701"/>
      <c r="F59" s="335"/>
      <c r="G59" s="699"/>
      <c r="H59" s="699"/>
      <c r="I59" s="701"/>
      <c r="J59" s="204"/>
    </row>
    <row r="60" spans="1:15">
      <c r="C60" s="699"/>
      <c r="D60" s="699"/>
      <c r="E60" s="701"/>
      <c r="F60" s="335"/>
      <c r="G60" s="700"/>
      <c r="H60" s="701"/>
      <c r="I60" s="701"/>
      <c r="J60" s="204"/>
    </row>
    <row r="61" spans="1:15">
      <c r="C61" s="699"/>
      <c r="D61" s="699"/>
      <c r="E61" s="701"/>
      <c r="F61" s="335"/>
      <c r="G61" s="700"/>
      <c r="H61" s="701"/>
      <c r="I61" s="701"/>
      <c r="J61" s="204"/>
    </row>
    <row r="62" spans="1:15">
      <c r="C62" s="700"/>
      <c r="D62" s="701"/>
      <c r="E62" s="701"/>
      <c r="F62" s="335"/>
      <c r="G62" s="700"/>
      <c r="H62" s="701"/>
      <c r="I62" s="701"/>
      <c r="J62" s="204"/>
    </row>
    <row r="63" spans="1:15">
      <c r="C63" s="700"/>
      <c r="D63" s="701"/>
      <c r="E63" s="701"/>
      <c r="F63" s="335"/>
      <c r="G63" s="204"/>
      <c r="H63" s="701"/>
      <c r="I63" s="701"/>
      <c r="J63" s="204"/>
    </row>
    <row r="64" spans="1:15">
      <c r="C64" s="700"/>
      <c r="D64" s="701"/>
      <c r="E64" s="701"/>
      <c r="F64" s="335"/>
      <c r="G64" s="138"/>
      <c r="H64" s="138"/>
      <c r="I64" s="701"/>
      <c r="J64" s="204"/>
    </row>
    <row r="65" spans="3:10">
      <c r="D65" s="701"/>
      <c r="E65" s="701"/>
      <c r="F65" s="335"/>
      <c r="G65" s="138"/>
      <c r="H65" s="138"/>
      <c r="I65" s="701"/>
      <c r="J65" s="204"/>
    </row>
    <row r="66" spans="3:10">
      <c r="C66" s="138"/>
      <c r="D66" s="138"/>
      <c r="E66" s="701"/>
      <c r="F66" s="335"/>
      <c r="G66" s="138"/>
      <c r="H66" s="138"/>
      <c r="I66" s="701"/>
      <c r="J66" s="204"/>
    </row>
    <row r="67" spans="3:10">
      <c r="C67" s="138"/>
      <c r="D67" s="138"/>
      <c r="E67" s="701"/>
      <c r="F67" s="335"/>
      <c r="G67" s="138"/>
      <c r="H67" s="138"/>
      <c r="I67" s="701"/>
      <c r="J67" s="204"/>
    </row>
    <row r="68" spans="3:10">
      <c r="C68" s="138"/>
      <c r="D68" s="138"/>
      <c r="E68" s="701"/>
      <c r="F68" s="335"/>
      <c r="G68" s="138"/>
      <c r="H68" s="138"/>
      <c r="I68" s="701"/>
      <c r="J68" s="204"/>
    </row>
    <row r="69" spans="3:10">
      <c r="C69" s="138"/>
      <c r="D69" s="138"/>
      <c r="E69" s="701"/>
      <c r="F69" s="335"/>
      <c r="G69" s="138"/>
      <c r="H69" s="138"/>
      <c r="I69" s="701"/>
      <c r="J69" s="204"/>
    </row>
    <row r="70" spans="3:10">
      <c r="C70" s="138"/>
      <c r="D70" s="138"/>
      <c r="E70" s="701"/>
      <c r="F70" s="335"/>
      <c r="G70" s="204"/>
      <c r="J70" s="204"/>
    </row>
    <row r="71" spans="3:10">
      <c r="C71" s="138"/>
      <c r="D71" s="138"/>
      <c r="E71" s="701"/>
      <c r="F71" s="335"/>
      <c r="G71" s="204"/>
      <c r="J71" s="204"/>
    </row>
  </sheetData>
  <mergeCells count="10">
    <mergeCell ref="A1:D1"/>
    <mergeCell ref="A18:D18"/>
    <mergeCell ref="K19:N19"/>
    <mergeCell ref="A36:D36"/>
    <mergeCell ref="F36:I36"/>
    <mergeCell ref="F2:I2"/>
    <mergeCell ref="K2:N2"/>
    <mergeCell ref="A2:D2"/>
    <mergeCell ref="A19:D19"/>
    <mergeCell ref="F19:I19"/>
  </mergeCells>
  <conditionalFormatting sqref="O47:O53 O34:O35 D34:D50 I34:I50 P4:Q33 N38:N41">
    <cfRule type="containsText" dxfId="3" priority="49" operator="containsText" text="FAIL">
      <formula>NOT(ISERROR(SEARCH("FAIL",D4)))</formula>
    </cfRule>
    <cfRule type="containsText" dxfId="2" priority="50" operator="containsText" text="PASS">
      <formula>NOT(ISERROR(SEARCH("PASS",D4)))</formula>
    </cfRule>
  </conditionalFormatting>
  <conditionalFormatting sqref="E35 E43 I34:I50">
    <cfRule type="containsText" dxfId="1" priority="39" operator="containsText" text="N">
      <formula>NOT(ISERROR(SEARCH("N",E34)))</formula>
    </cfRule>
    <cfRule type="containsText" dxfId="0" priority="40" operator="containsText" text="Y">
      <formula>NOT(ISERROR(SEARCH("Y",E34)))</formula>
    </cfRule>
  </conditionalFormatting>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dimension ref="A1:J12"/>
  <sheetViews>
    <sheetView showGridLines="0" workbookViewId="0">
      <selection activeCell="D9" sqref="D9"/>
    </sheetView>
  </sheetViews>
  <sheetFormatPr defaultRowHeight="12.75"/>
  <cols>
    <col min="1" max="1" width="19.85546875" style="2" bestFit="1" customWidth="1"/>
    <col min="2" max="2" width="9.85546875" style="2" bestFit="1" customWidth="1"/>
    <col min="3" max="3" width="15.85546875" style="2" bestFit="1" customWidth="1"/>
    <col min="4" max="4" width="22.28515625" style="2" bestFit="1" customWidth="1"/>
    <col min="5" max="5" width="36.140625" style="2" bestFit="1" customWidth="1"/>
    <col min="6" max="6" width="21.140625" style="2" customWidth="1"/>
    <col min="7" max="7" width="15" style="2" bestFit="1" customWidth="1"/>
    <col min="8" max="8" width="11.7109375" style="2" customWidth="1"/>
    <col min="9" max="9" width="15.28515625" style="160" bestFit="1" customWidth="1"/>
    <col min="10" max="10" width="8.85546875" style="2" bestFit="1" customWidth="1"/>
    <col min="11" max="16384" width="9.140625" style="2"/>
  </cols>
  <sheetData>
    <row r="1" spans="1:10" ht="12.75" customHeight="1">
      <c r="A1" s="742" t="s">
        <v>30</v>
      </c>
      <c r="B1" s="731" t="s">
        <v>20</v>
      </c>
      <c r="C1" s="731" t="s">
        <v>26</v>
      </c>
      <c r="D1" s="731" t="s">
        <v>16</v>
      </c>
      <c r="E1" s="731" t="s">
        <v>24</v>
      </c>
      <c r="F1" s="731" t="s">
        <v>25</v>
      </c>
      <c r="G1" s="731" t="s">
        <v>17</v>
      </c>
      <c r="H1" s="567" t="s">
        <v>18</v>
      </c>
      <c r="I1" s="729" t="s">
        <v>19</v>
      </c>
      <c r="J1" s="731" t="s">
        <v>0</v>
      </c>
    </row>
    <row r="2" spans="1:10">
      <c r="A2" s="743"/>
      <c r="B2" s="730"/>
      <c r="C2" s="730"/>
      <c r="D2" s="730"/>
      <c r="E2" s="730"/>
      <c r="F2" s="730"/>
      <c r="G2" s="730"/>
      <c r="H2" s="568" t="s">
        <v>394</v>
      </c>
      <c r="I2" s="730"/>
      <c r="J2" s="730"/>
    </row>
    <row r="3" spans="1:10" s="35" customFormat="1" ht="34.5" customHeight="1">
      <c r="A3" s="732" t="s">
        <v>31</v>
      </c>
      <c r="B3" s="732" t="s">
        <v>424</v>
      </c>
      <c r="C3" s="569" t="s">
        <v>408</v>
      </c>
      <c r="D3" s="569" t="s">
        <v>412</v>
      </c>
      <c r="E3" s="717" t="s">
        <v>413</v>
      </c>
      <c r="F3" s="566" t="s">
        <v>172</v>
      </c>
      <c r="G3" s="736" t="s">
        <v>414</v>
      </c>
      <c r="H3" s="570" t="s">
        <v>1</v>
      </c>
      <c r="I3" s="571"/>
      <c r="J3" s="572"/>
    </row>
    <row r="4" spans="1:10" ht="71.25" customHeight="1">
      <c r="A4" s="733"/>
      <c r="B4" s="734"/>
      <c r="C4" s="573" t="s">
        <v>407</v>
      </c>
      <c r="D4" s="569" t="s">
        <v>415</v>
      </c>
      <c r="E4" s="733"/>
      <c r="F4" s="606" t="s">
        <v>470</v>
      </c>
      <c r="G4" s="737"/>
      <c r="H4" s="570" t="s">
        <v>1</v>
      </c>
      <c r="I4" s="571"/>
      <c r="J4" s="574"/>
    </row>
    <row r="5" spans="1:10" ht="39.950000000000003" customHeight="1">
      <c r="A5" s="733"/>
      <c r="B5" s="734"/>
      <c r="C5" s="573" t="s">
        <v>93</v>
      </c>
      <c r="D5" s="569" t="s">
        <v>416</v>
      </c>
      <c r="E5" s="733"/>
      <c r="F5" s="739" t="s">
        <v>417</v>
      </c>
      <c r="G5" s="737"/>
      <c r="H5" s="570" t="s">
        <v>1</v>
      </c>
      <c r="I5" s="571"/>
      <c r="J5" s="574"/>
    </row>
    <row r="6" spans="1:10" ht="27.95" customHeight="1">
      <c r="A6" s="733"/>
      <c r="B6" s="734"/>
      <c r="C6" s="573" t="s">
        <v>406</v>
      </c>
      <c r="D6" s="569" t="s">
        <v>418</v>
      </c>
      <c r="E6" s="733"/>
      <c r="F6" s="740"/>
      <c r="G6" s="737"/>
      <c r="H6" s="570" t="s">
        <v>1</v>
      </c>
      <c r="I6" s="571"/>
      <c r="J6" s="574"/>
    </row>
    <row r="7" spans="1:10" ht="27.95" customHeight="1">
      <c r="A7" s="733"/>
      <c r="B7" s="734"/>
      <c r="C7" s="573" t="s">
        <v>405</v>
      </c>
      <c r="D7" s="569" t="s">
        <v>419</v>
      </c>
      <c r="E7" s="733"/>
      <c r="F7" s="740"/>
      <c r="G7" s="737"/>
      <c r="H7" s="570" t="s">
        <v>1</v>
      </c>
      <c r="I7" s="571"/>
      <c r="J7" s="574"/>
    </row>
    <row r="8" spans="1:10" ht="27.95" customHeight="1">
      <c r="A8" s="733"/>
      <c r="B8" s="734"/>
      <c r="C8" s="569" t="s">
        <v>404</v>
      </c>
      <c r="D8" s="45"/>
      <c r="E8" s="733"/>
      <c r="F8" s="740"/>
      <c r="G8" s="737"/>
      <c r="H8" s="570" t="s">
        <v>1</v>
      </c>
      <c r="I8" s="575"/>
      <c r="J8" s="574"/>
    </row>
    <row r="9" spans="1:10">
      <c r="A9" s="733"/>
      <c r="B9" s="734"/>
      <c r="C9" s="322" t="s">
        <v>403</v>
      </c>
      <c r="D9" s="569" t="s">
        <v>420</v>
      </c>
      <c r="E9" s="733"/>
      <c r="F9" s="740"/>
      <c r="G9" s="737"/>
      <c r="H9" s="570" t="s">
        <v>1</v>
      </c>
      <c r="I9" s="576"/>
      <c r="J9" s="322"/>
    </row>
    <row r="10" spans="1:10">
      <c r="A10" s="733"/>
      <c r="B10" s="734"/>
      <c r="C10" s="322" t="s">
        <v>402</v>
      </c>
      <c r="D10" s="569" t="s">
        <v>421</v>
      </c>
      <c r="E10" s="733"/>
      <c r="F10" s="740"/>
      <c r="G10" s="737"/>
      <c r="H10" s="570" t="s">
        <v>1</v>
      </c>
      <c r="I10" s="576"/>
      <c r="J10" s="322"/>
    </row>
    <row r="11" spans="1:10">
      <c r="A11" s="733"/>
      <c r="B11" s="734"/>
      <c r="C11" s="322" t="s">
        <v>401</v>
      </c>
      <c r="D11" s="569" t="s">
        <v>422</v>
      </c>
      <c r="E11" s="733"/>
      <c r="F11" s="740"/>
      <c r="G11" s="737"/>
      <c r="H11" s="570" t="s">
        <v>1</v>
      </c>
      <c r="I11" s="576"/>
      <c r="J11" s="322"/>
    </row>
    <row r="12" spans="1:10">
      <c r="A12" s="730"/>
      <c r="B12" s="735"/>
      <c r="C12" s="322" t="s">
        <v>400</v>
      </c>
      <c r="D12" s="569" t="s">
        <v>423</v>
      </c>
      <c r="E12" s="730"/>
      <c r="F12" s="741"/>
      <c r="G12" s="738"/>
      <c r="H12" s="570" t="s">
        <v>1</v>
      </c>
      <c r="I12" s="576"/>
      <c r="J12" s="322"/>
    </row>
  </sheetData>
  <mergeCells count="14">
    <mergeCell ref="I1:I2"/>
    <mergeCell ref="J1:J2"/>
    <mergeCell ref="A3:A12"/>
    <mergeCell ref="B3:B12"/>
    <mergeCell ref="E3:E12"/>
    <mergeCell ref="G3:G12"/>
    <mergeCell ref="F5:F12"/>
    <mergeCell ref="A1:A2"/>
    <mergeCell ref="B1:B2"/>
    <mergeCell ref="C1:C2"/>
    <mergeCell ref="D1:D2"/>
    <mergeCell ref="E1:E2"/>
    <mergeCell ref="F1:F2"/>
    <mergeCell ref="G1:G2"/>
  </mergeCells>
  <conditionalFormatting sqref="H3:H12">
    <cfRule type="cellIs" dxfId="533" priority="22" operator="equal">
      <formula>"Not Tested"</formula>
    </cfRule>
    <cfRule type="cellIs" dxfId="532" priority="23" operator="equal">
      <formula>"Pending"</formula>
    </cfRule>
    <cfRule type="cellIs" dxfId="531" priority="24" operator="equal">
      <formula>"Ongoing"</formula>
    </cfRule>
    <cfRule type="cellIs" dxfId="530" priority="25" operator="equal">
      <formula>"Blocked"</formula>
    </cfRule>
    <cfRule type="cellIs" dxfId="529" priority="26" operator="equal">
      <formula>"Fail"</formula>
    </cfRule>
    <cfRule type="cellIs" dxfId="528" priority="27" operator="equal">
      <formula>"Partially Fail"</formula>
    </cfRule>
    <cfRule type="cellIs" dxfId="527" priority="28" operator="equal">
      <formula>"Pass"</formula>
    </cfRule>
  </conditionalFormatting>
  <conditionalFormatting sqref="H3:H12">
    <cfRule type="cellIs" dxfId="526" priority="15" operator="equal">
      <formula>"Not Tested"</formula>
    </cfRule>
    <cfRule type="cellIs" dxfId="525" priority="16" operator="equal">
      <formula>"Pending"</formula>
    </cfRule>
    <cfRule type="cellIs" dxfId="524" priority="17" operator="equal">
      <formula>"Ongoing"</formula>
    </cfRule>
    <cfRule type="cellIs" dxfId="523" priority="18" operator="equal">
      <formula>"Blocked"</formula>
    </cfRule>
    <cfRule type="cellIs" dxfId="522" priority="19" operator="equal">
      <formula>"Fail"</formula>
    </cfRule>
    <cfRule type="cellIs" dxfId="521" priority="20" operator="equal">
      <formula>"Partially Pass"</formula>
    </cfRule>
    <cfRule type="cellIs" dxfId="520" priority="21" operator="equal">
      <formula>"Pass"</formula>
    </cfRule>
  </conditionalFormatting>
  <conditionalFormatting sqref="H9:H12">
    <cfRule type="cellIs" dxfId="519" priority="8" operator="equal">
      <formula>"Not Tested"</formula>
    </cfRule>
    <cfRule type="cellIs" dxfId="518" priority="9" operator="equal">
      <formula>"Pending"</formula>
    </cfRule>
    <cfRule type="cellIs" dxfId="517" priority="10" operator="equal">
      <formula>"Ongoing"</formula>
    </cfRule>
    <cfRule type="cellIs" dxfId="516" priority="11" operator="equal">
      <formula>"Blocked"</formula>
    </cfRule>
    <cfRule type="cellIs" dxfId="515" priority="12" operator="equal">
      <formula>"Fail"</formula>
    </cfRule>
    <cfRule type="cellIs" dxfId="514" priority="13" operator="equal">
      <formula>"Partially Fail"</formula>
    </cfRule>
    <cfRule type="cellIs" dxfId="513" priority="14" operator="equal">
      <formula>"Pass"</formula>
    </cfRule>
  </conditionalFormatting>
  <conditionalFormatting sqref="H9:H12">
    <cfRule type="cellIs" dxfId="512" priority="1" operator="equal">
      <formula>"Not Tested"</formula>
    </cfRule>
    <cfRule type="cellIs" dxfId="511" priority="2" operator="equal">
      <formula>"Pending"</formula>
    </cfRule>
    <cfRule type="cellIs" dxfId="510" priority="3" operator="equal">
      <formula>"Ongoing"</formula>
    </cfRule>
    <cfRule type="cellIs" dxfId="509" priority="4" operator="equal">
      <formula>"Blocked"</formula>
    </cfRule>
    <cfRule type="cellIs" dxfId="508" priority="5" operator="equal">
      <formula>"Fail"</formula>
    </cfRule>
    <cfRule type="cellIs" dxfId="507" priority="6" operator="equal">
      <formula>"Partially Pass"</formula>
    </cfRule>
    <cfRule type="cellIs" dxfId="506" priority="7" operator="equal">
      <formula>"Pass"</formula>
    </cfRule>
  </conditionalFormatting>
  <hyperlinks>
    <hyperlink ref="G3" location="'T20 Reports Data'!A1" display="T20 Reports Data'!A1"/>
    <hyperlink ref="G3:G7" location="'DC Data'!A1" display="DC Data'!A1"/>
    <hyperlink ref="G3:G8" location="Dash_Board_Data!A1" display="Dash_board_data"/>
    <hyperlink ref="G3:G12" location="Dashboard_Data!A1" display="Dash_board_data"/>
    <hyperlink ref="F4" r:id="rI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H3:H12</xm:sqref>
        </x14:dataValidation>
      </x14:dataValidations>
    </ext>
  </extLst>
</worksheet>
</file>

<file path=xl/worksheets/sheet5.xml><?xml version="1.0" encoding="utf-8"?>
<worksheet xmlns="http://schemas.openxmlformats.org/spreadsheetml/2006/main" xmlns:r="http://schemas.openxmlformats.org/officeDocument/2006/relationships">
  <dimension ref="A1:V14"/>
  <sheetViews>
    <sheetView showGridLines="0" topLeftCell="H1" zoomScale="85" zoomScaleNormal="85" workbookViewId="0">
      <selection activeCell="M18" sqref="M18"/>
    </sheetView>
  </sheetViews>
  <sheetFormatPr defaultRowHeight="15"/>
  <cols>
    <col min="1" max="1" width="30.140625" bestFit="1" customWidth="1"/>
    <col min="2" max="2" width="16.140625" customWidth="1"/>
    <col min="3" max="3" width="13.42578125" customWidth="1"/>
    <col min="4" max="6" width="14.5703125" bestFit="1" customWidth="1"/>
    <col min="7" max="7" width="10.7109375" customWidth="1"/>
    <col min="8" max="8" width="10.85546875" customWidth="1"/>
    <col min="9" max="9" width="12.5703125" customWidth="1"/>
    <col min="10" max="10" width="17.5703125" bestFit="1" customWidth="1"/>
    <col min="13" max="13" width="44.85546875" bestFit="1" customWidth="1"/>
    <col min="14" max="14" width="16.5703125" bestFit="1" customWidth="1"/>
    <col min="15" max="15" width="10.7109375" bestFit="1" customWidth="1"/>
    <col min="16" max="17" width="12" bestFit="1" customWidth="1"/>
    <col min="18" max="18" width="15.28515625" bestFit="1" customWidth="1"/>
    <col min="19" max="19" width="10.7109375" bestFit="1" customWidth="1"/>
    <col min="20" max="20" width="9.85546875" bestFit="1" customWidth="1"/>
    <col min="21" max="21" width="11.5703125" bestFit="1" customWidth="1"/>
    <col min="22" max="22" width="17.5703125" bestFit="1" customWidth="1"/>
  </cols>
  <sheetData>
    <row r="1" spans="1:22" ht="15.75" customHeight="1">
      <c r="A1" s="561" t="s">
        <v>385</v>
      </c>
      <c r="B1" s="450"/>
      <c r="C1" s="450"/>
      <c r="D1" s="450"/>
      <c r="E1" s="450"/>
      <c r="F1" s="450"/>
      <c r="G1" s="450"/>
      <c r="H1" s="450"/>
      <c r="I1" s="450"/>
      <c r="J1" s="450"/>
      <c r="K1" s="450"/>
      <c r="L1" s="450"/>
      <c r="M1" s="450"/>
      <c r="N1" s="450"/>
      <c r="O1" s="450"/>
      <c r="P1" s="450"/>
      <c r="Q1" s="450"/>
      <c r="R1" s="450"/>
      <c r="S1" s="450"/>
      <c r="T1" s="450"/>
      <c r="U1" s="450"/>
      <c r="V1" s="450"/>
    </row>
    <row r="2" spans="1:22">
      <c r="A2" s="728" t="s">
        <v>366</v>
      </c>
      <c r="B2" s="728"/>
      <c r="C2" s="728"/>
      <c r="D2" s="728"/>
      <c r="E2" s="450"/>
      <c r="F2" s="450"/>
      <c r="G2" s="450"/>
      <c r="H2" s="450"/>
      <c r="I2" s="450"/>
      <c r="J2" s="450"/>
      <c r="K2" s="450"/>
      <c r="L2" s="724" t="s">
        <v>334</v>
      </c>
      <c r="M2" s="725"/>
      <c r="N2" s="725"/>
      <c r="O2" s="726"/>
      <c r="P2" s="450"/>
      <c r="Q2" s="450"/>
      <c r="R2" s="450"/>
      <c r="S2" s="450"/>
      <c r="T2" s="450"/>
      <c r="U2" s="450"/>
      <c r="V2" s="450"/>
    </row>
    <row r="3" spans="1:22" ht="29.25" customHeight="1">
      <c r="A3" s="318" t="s">
        <v>408</v>
      </c>
      <c r="B3" s="318" t="s">
        <v>407</v>
      </c>
      <c r="C3" s="318" t="s">
        <v>93</v>
      </c>
      <c r="D3" s="318" t="s">
        <v>406</v>
      </c>
      <c r="E3" s="318" t="s">
        <v>405</v>
      </c>
      <c r="F3" s="318" t="s">
        <v>404</v>
      </c>
      <c r="G3" s="318" t="s">
        <v>403</v>
      </c>
      <c r="H3" s="318" t="s">
        <v>402</v>
      </c>
      <c r="I3" s="318" t="s">
        <v>401</v>
      </c>
      <c r="J3" s="318" t="s">
        <v>400</v>
      </c>
      <c r="K3" s="450"/>
      <c r="L3" s="318" t="s">
        <v>32</v>
      </c>
      <c r="M3" s="318" t="s">
        <v>408</v>
      </c>
      <c r="N3" s="318" t="s">
        <v>407</v>
      </c>
      <c r="O3" s="318" t="s">
        <v>93</v>
      </c>
      <c r="P3" s="318" t="s">
        <v>406</v>
      </c>
      <c r="Q3" s="318" t="s">
        <v>405</v>
      </c>
      <c r="R3" s="318" t="s">
        <v>404</v>
      </c>
      <c r="S3" s="318" t="s">
        <v>403</v>
      </c>
      <c r="T3" s="318" t="s">
        <v>402</v>
      </c>
      <c r="U3" s="318" t="s">
        <v>401</v>
      </c>
    </row>
    <row r="4" spans="1:22" ht="12.75" customHeight="1">
      <c r="A4" s="37" t="s">
        <v>709</v>
      </c>
      <c r="B4" s="601">
        <v>5221</v>
      </c>
      <c r="C4" s="601">
        <v>10238</v>
      </c>
      <c r="D4" s="602">
        <v>26186950.350000001</v>
      </c>
      <c r="E4" s="602">
        <v>13260811.42</v>
      </c>
      <c r="F4" s="295">
        <v>39447761.770000003</v>
      </c>
      <c r="G4" s="193">
        <v>458.11</v>
      </c>
      <c r="H4" s="193">
        <v>231.98</v>
      </c>
      <c r="I4" s="193">
        <v>690.09</v>
      </c>
      <c r="J4" s="103">
        <v>1.02</v>
      </c>
      <c r="K4" s="450"/>
      <c r="L4" s="334">
        <v>1</v>
      </c>
      <c r="M4" s="334" t="s">
        <v>709</v>
      </c>
      <c r="N4" s="408">
        <v>5221</v>
      </c>
      <c r="O4" s="408">
        <v>10238</v>
      </c>
      <c r="P4" s="408">
        <v>26186950.350000001</v>
      </c>
      <c r="Q4" s="408">
        <v>13260811.42</v>
      </c>
      <c r="R4" s="408">
        <f>SUM(N4:Q4)</f>
        <v>39463220.770000003</v>
      </c>
      <c r="S4" s="408">
        <v>458.11</v>
      </c>
      <c r="T4" s="408">
        <v>231.98</v>
      </c>
      <c r="U4" s="408">
        <v>690.09</v>
      </c>
    </row>
    <row r="5" spans="1:22" ht="12.75" customHeight="1">
      <c r="A5" s="37" t="s">
        <v>710</v>
      </c>
      <c r="B5" s="601">
        <v>2410</v>
      </c>
      <c r="C5" s="601">
        <v>4744</v>
      </c>
      <c r="D5" s="602">
        <v>16018971.220000001</v>
      </c>
      <c r="E5" s="602">
        <v>4101898.71</v>
      </c>
      <c r="F5" s="295">
        <v>20120869.93</v>
      </c>
      <c r="G5" s="193">
        <v>582.21</v>
      </c>
      <c r="H5" s="193">
        <v>149.08000000000001</v>
      </c>
      <c r="I5" s="193">
        <v>731.3</v>
      </c>
      <c r="J5" s="103">
        <v>0.95</v>
      </c>
      <c r="K5" s="450"/>
      <c r="L5" s="334">
        <v>2</v>
      </c>
      <c r="M5" s="334" t="s">
        <v>710</v>
      </c>
      <c r="N5" s="408">
        <v>2410</v>
      </c>
      <c r="O5" s="408">
        <v>4744</v>
      </c>
      <c r="P5" s="408">
        <v>16018971.210000001</v>
      </c>
      <c r="Q5" s="408">
        <v>4101898.71</v>
      </c>
      <c r="R5" s="408">
        <v>20120869.920000002</v>
      </c>
      <c r="S5" s="408">
        <v>582.21</v>
      </c>
      <c r="T5" s="408">
        <v>149.08000000000001</v>
      </c>
      <c r="U5" s="408">
        <v>731.3</v>
      </c>
    </row>
    <row r="6" spans="1:22" ht="11.25" customHeight="1">
      <c r="A6" s="37" t="s">
        <v>723</v>
      </c>
      <c r="B6" s="601">
        <v>7631</v>
      </c>
      <c r="C6" s="601">
        <v>14982</v>
      </c>
      <c r="D6" s="602">
        <v>42205921.57</v>
      </c>
      <c r="E6" s="602">
        <v>17362710.129999999</v>
      </c>
      <c r="F6" s="295">
        <v>59568631.700000003</v>
      </c>
      <c r="G6" s="193">
        <v>498.43</v>
      </c>
      <c r="H6" s="193">
        <v>205.05</v>
      </c>
      <c r="I6" s="193">
        <v>703.48</v>
      </c>
      <c r="J6" s="103"/>
      <c r="K6" s="450"/>
      <c r="L6" s="334"/>
      <c r="M6" s="334"/>
      <c r="N6" s="408">
        <f t="shared" ref="N6:T6" si="0">SUM(N4:N5)</f>
        <v>7631</v>
      </c>
      <c r="O6" s="408">
        <f t="shared" si="0"/>
        <v>14982</v>
      </c>
      <c r="P6" s="408">
        <f t="shared" si="0"/>
        <v>42205921.560000002</v>
      </c>
      <c r="Q6" s="408">
        <f t="shared" si="0"/>
        <v>17362710.129999999</v>
      </c>
      <c r="R6" s="408">
        <f t="shared" si="0"/>
        <v>59584090.690000005</v>
      </c>
      <c r="S6" s="408">
        <f t="shared" si="0"/>
        <v>1040.3200000000002</v>
      </c>
      <c r="T6" s="408">
        <f t="shared" si="0"/>
        <v>381.06</v>
      </c>
      <c r="U6" s="408"/>
    </row>
    <row r="7" spans="1:22" ht="11.25" customHeight="1">
      <c r="A7" s="37" t="s">
        <v>35</v>
      </c>
      <c r="B7" s="601">
        <v>7631</v>
      </c>
      <c r="C7" s="601">
        <v>14982</v>
      </c>
      <c r="D7" s="602">
        <v>42205921.57</v>
      </c>
      <c r="E7" s="602">
        <v>17362710.129999999</v>
      </c>
      <c r="F7" s="295">
        <v>59568631.700000003</v>
      </c>
      <c r="G7" s="193">
        <v>498.43</v>
      </c>
      <c r="H7" s="193">
        <v>205.05</v>
      </c>
      <c r="I7" s="193">
        <v>703.48</v>
      </c>
      <c r="J7" s="103"/>
      <c r="K7" s="450"/>
      <c r="L7" s="334"/>
      <c r="M7" s="334"/>
      <c r="N7" s="408">
        <f>SUM(N4:N6)</f>
        <v>15262</v>
      </c>
      <c r="O7" s="408">
        <f>SUM(O4:O6)</f>
        <v>29964</v>
      </c>
      <c r="P7" s="408">
        <f>SUM(N7:O7)</f>
        <v>45226</v>
      </c>
      <c r="Q7" s="408">
        <f>SUM(Q4:Q6)</f>
        <v>34725420.259999998</v>
      </c>
      <c r="R7" s="408">
        <f>SUM(R6)</f>
        <v>59584090.690000005</v>
      </c>
      <c r="S7" s="408">
        <f>SUM(S6)</f>
        <v>1040.3200000000002</v>
      </c>
      <c r="T7" s="408">
        <f>SUM(T5:T6)</f>
        <v>530.14</v>
      </c>
      <c r="U7" s="408"/>
    </row>
    <row r="9" spans="1:22">
      <c r="A9" s="728" t="s">
        <v>409</v>
      </c>
      <c r="B9" s="728"/>
      <c r="C9" s="728"/>
      <c r="D9" s="728"/>
    </row>
    <row r="10" spans="1:22" ht="26.25" customHeight="1">
      <c r="A10" s="219" t="s">
        <v>32</v>
      </c>
      <c r="B10" s="219" t="s">
        <v>408</v>
      </c>
      <c r="C10" s="219" t="s">
        <v>407</v>
      </c>
      <c r="D10" s="219" t="s">
        <v>93</v>
      </c>
      <c r="E10" s="219" t="s">
        <v>406</v>
      </c>
      <c r="F10" s="219" t="s">
        <v>405</v>
      </c>
      <c r="G10" s="219" t="s">
        <v>404</v>
      </c>
      <c r="H10" s="219" t="s">
        <v>403</v>
      </c>
      <c r="I10" s="219" t="s">
        <v>402</v>
      </c>
      <c r="J10" s="219" t="s">
        <v>401</v>
      </c>
      <c r="K10" s="219" t="s">
        <v>29</v>
      </c>
      <c r="O10" s="682"/>
    </row>
    <row r="11" spans="1:22" ht="12.75" customHeight="1">
      <c r="A11" s="334">
        <v>1</v>
      </c>
      <c r="B11" s="408" t="str">
        <f>IF(EXACT(A4,M4),""&amp;A4,"Different Name: "&amp;A4)</f>
        <v>School District of Manatee County</v>
      </c>
      <c r="C11" s="334">
        <f t="shared" ref="C11:J11" si="1">B4-N4</f>
        <v>0</v>
      </c>
      <c r="D11" s="334">
        <f t="shared" si="1"/>
        <v>0</v>
      </c>
      <c r="E11" s="562">
        <f t="shared" si="1"/>
        <v>0</v>
      </c>
      <c r="F11" s="562">
        <f t="shared" si="1"/>
        <v>0</v>
      </c>
      <c r="G11" s="562">
        <f t="shared" si="1"/>
        <v>-15459</v>
      </c>
      <c r="H11" s="562">
        <f t="shared" si="1"/>
        <v>0</v>
      </c>
      <c r="I11" s="562">
        <f t="shared" si="1"/>
        <v>0</v>
      </c>
      <c r="J11" s="562">
        <f t="shared" si="1"/>
        <v>0</v>
      </c>
      <c r="K11" s="563" t="str">
        <f>IF(AND(EXACT(C11,0),EXACT(D11,0),ROUNDDOWN(E11,0)=0,ROUNDDOWN(F11,0)=0,ROUNDDOWN(G11,0)=0,ROUNDDOWN(H11,0)=0,ROUNDDOWN(I11,0)=0,ROUNDDOWN(J11,0)=0),"TRUE","FALSE")</f>
        <v>FALSE</v>
      </c>
    </row>
    <row r="12" spans="1:22" ht="12.75" customHeight="1">
      <c r="A12" s="334">
        <v>2</v>
      </c>
      <c r="B12" s="408" t="str">
        <f>IF(EXACT(A6,M6),""&amp;A6,"Different Name: "&amp;A6)</f>
        <v>Different Name: Page Total</v>
      </c>
      <c r="C12" s="334">
        <f t="shared" ref="C12:J12" si="2">B6-N6</f>
        <v>0</v>
      </c>
      <c r="D12" s="334">
        <f t="shared" si="2"/>
        <v>0</v>
      </c>
      <c r="E12" s="562">
        <f t="shared" si="2"/>
        <v>9.9999979138374329E-3</v>
      </c>
      <c r="F12" s="562">
        <f t="shared" si="2"/>
        <v>0</v>
      </c>
      <c r="G12" s="562">
        <f t="shared" si="2"/>
        <v>-15458.990000002086</v>
      </c>
      <c r="H12" s="562">
        <f t="shared" si="2"/>
        <v>-541.8900000000001</v>
      </c>
      <c r="I12" s="562">
        <f t="shared" si="2"/>
        <v>-176.01</v>
      </c>
      <c r="J12" s="562">
        <f t="shared" si="2"/>
        <v>703.48</v>
      </c>
      <c r="K12" s="563" t="str">
        <f t="shared" ref="K12" si="3">IF(AND(EXACT(C12,0),EXACT(D12,0),ROUNDDOWN(E12,0)=0,ROUNDDOWN(F12,0)=0,ROUNDDOWN(G12,0)=0,ROUNDDOWN(H12,0)=0,ROUNDDOWN(I12,0)=0,ROUNDDOWN(J12,0)=0),"TRUE","FALSE")</f>
        <v>FALSE</v>
      </c>
    </row>
    <row r="14" spans="1:22">
      <c r="Q14" s="682"/>
    </row>
  </sheetData>
  <mergeCells count="3">
    <mergeCell ref="A2:D2"/>
    <mergeCell ref="L2:O2"/>
    <mergeCell ref="A9:D9"/>
  </mergeCells>
  <conditionalFormatting sqref="K11:K12">
    <cfRule type="containsText" dxfId="505" priority="8" operator="containsText" text="FALSE">
      <formula>NOT(ISERROR(SEARCH("FALSE",K11)))</formula>
    </cfRule>
  </conditionalFormatting>
  <conditionalFormatting sqref="K11:K12">
    <cfRule type="containsText" dxfId="504" priority="7" operator="containsText" text="TRUE">
      <formula>NOT(ISERROR(SEARCH("TRUE",K11)))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K6"/>
  <sheetViews>
    <sheetView showGridLines="0" workbookViewId="0">
      <selection sqref="A1:A2"/>
    </sheetView>
  </sheetViews>
  <sheetFormatPr defaultRowHeight="15"/>
  <cols>
    <col min="1" max="1" width="12.42578125" bestFit="1" customWidth="1"/>
    <col min="2" max="2" width="8" bestFit="1" customWidth="1"/>
    <col min="3" max="3" width="11.28515625" customWidth="1"/>
    <col min="4" max="4" width="11.140625" customWidth="1"/>
    <col min="5" max="5" width="40" customWidth="1"/>
    <col min="6" max="6" width="29.28515625" customWidth="1"/>
    <col min="7" max="7" width="30.42578125" customWidth="1"/>
    <col min="8" max="8" width="19.28515625" customWidth="1"/>
    <col min="9" max="9" width="12" customWidth="1"/>
    <col min="10" max="10" width="9.42578125" customWidth="1"/>
    <col min="11" max="11" width="10.7109375" customWidth="1"/>
  </cols>
  <sheetData>
    <row r="1" spans="1:11">
      <c r="A1" s="720" t="s">
        <v>30</v>
      </c>
      <c r="B1" s="711" t="s">
        <v>20</v>
      </c>
      <c r="C1" s="745" t="s">
        <v>26</v>
      </c>
      <c r="D1" s="746"/>
      <c r="E1" s="711" t="s">
        <v>16</v>
      </c>
      <c r="F1" s="745" t="s">
        <v>24</v>
      </c>
      <c r="G1" s="711" t="s">
        <v>25</v>
      </c>
      <c r="H1" s="711" t="s">
        <v>17</v>
      </c>
      <c r="I1" s="14" t="s">
        <v>18</v>
      </c>
      <c r="J1" s="709" t="s">
        <v>19</v>
      </c>
      <c r="K1" s="711" t="s">
        <v>0</v>
      </c>
    </row>
    <row r="2" spans="1:11">
      <c r="A2" s="744"/>
      <c r="B2" s="712"/>
      <c r="C2" s="747"/>
      <c r="D2" s="748"/>
      <c r="E2" s="712"/>
      <c r="F2" s="747"/>
      <c r="G2" s="712"/>
      <c r="H2" s="712"/>
      <c r="I2" s="13">
        <v>41215</v>
      </c>
      <c r="J2" s="710"/>
      <c r="K2" s="712"/>
    </row>
    <row r="3" spans="1:11" ht="25.5">
      <c r="A3" s="713" t="s">
        <v>31</v>
      </c>
      <c r="B3" s="749" t="s">
        <v>565</v>
      </c>
      <c r="C3" s="753" t="s">
        <v>566</v>
      </c>
      <c r="D3" s="739" t="s">
        <v>567</v>
      </c>
      <c r="E3" s="739" t="s">
        <v>568</v>
      </c>
      <c r="F3" s="752" t="s">
        <v>569</v>
      </c>
      <c r="G3" s="23" t="s">
        <v>570</v>
      </c>
      <c r="H3" s="756" t="s">
        <v>571</v>
      </c>
      <c r="I3" s="653" t="s">
        <v>1</v>
      </c>
      <c r="J3" s="161"/>
      <c r="K3" s="12"/>
    </row>
    <row r="4" spans="1:11">
      <c r="A4" s="713"/>
      <c r="B4" s="749"/>
      <c r="C4" s="754"/>
      <c r="D4" s="750"/>
      <c r="E4" s="750"/>
      <c r="F4" s="752"/>
      <c r="H4" s="757"/>
      <c r="I4" s="653" t="s">
        <v>1</v>
      </c>
      <c r="J4" s="162"/>
      <c r="K4" s="12"/>
    </row>
    <row r="5" spans="1:11">
      <c r="A5" s="713"/>
      <c r="B5" s="749"/>
      <c r="C5" s="755"/>
      <c r="D5" s="750"/>
      <c r="E5" s="750"/>
      <c r="F5" s="752"/>
      <c r="G5" s="750" t="s">
        <v>572</v>
      </c>
      <c r="H5" s="757"/>
      <c r="I5" s="653" t="s">
        <v>1</v>
      </c>
      <c r="J5" s="162"/>
      <c r="K5" s="12"/>
    </row>
    <row r="6" spans="1:11" ht="213.75" customHeight="1">
      <c r="A6" s="713"/>
      <c r="B6" s="749"/>
      <c r="C6" s="654" t="s">
        <v>573</v>
      </c>
      <c r="D6" s="751"/>
      <c r="E6" s="751"/>
      <c r="F6" s="752"/>
      <c r="G6" s="751"/>
      <c r="H6" s="757"/>
      <c r="I6" s="653" t="s">
        <v>1</v>
      </c>
      <c r="J6" s="162"/>
      <c r="K6" s="12"/>
    </row>
  </sheetData>
  <mergeCells count="17">
    <mergeCell ref="G1:G2"/>
    <mergeCell ref="C3:C5"/>
    <mergeCell ref="H1:H2"/>
    <mergeCell ref="J1:J2"/>
    <mergeCell ref="K1:K2"/>
    <mergeCell ref="H3:H6"/>
    <mergeCell ref="G5:G6"/>
    <mergeCell ref="A3:A6"/>
    <mergeCell ref="B3:B6"/>
    <mergeCell ref="D3:D6"/>
    <mergeCell ref="E3:E6"/>
    <mergeCell ref="F3:F6"/>
    <mergeCell ref="A1:A2"/>
    <mergeCell ref="B1:B2"/>
    <mergeCell ref="C1:D2"/>
    <mergeCell ref="E1:E2"/>
    <mergeCell ref="F1:F2"/>
  </mergeCells>
  <conditionalFormatting sqref="I3:I6">
    <cfRule type="cellIs" dxfId="503" priority="78" operator="equal">
      <formula>"Not Tested"</formula>
    </cfRule>
    <cfRule type="cellIs" dxfId="502" priority="79" operator="equal">
      <formula>"Pending"</formula>
    </cfRule>
    <cfRule type="cellIs" dxfId="501" priority="80" operator="equal">
      <formula>"Ongoing"</formula>
    </cfRule>
    <cfRule type="cellIs" dxfId="500" priority="81" operator="equal">
      <formula>"Blocked"</formula>
    </cfRule>
    <cfRule type="cellIs" dxfId="499" priority="82" operator="equal">
      <formula>"Fail"</formula>
    </cfRule>
    <cfRule type="cellIs" dxfId="498" priority="83" operator="equal">
      <formula>"Partially Fail"</formula>
    </cfRule>
    <cfRule type="cellIs" dxfId="497" priority="84" operator="equal">
      <formula>"Pass"</formula>
    </cfRule>
  </conditionalFormatting>
  <conditionalFormatting sqref="I3:I6">
    <cfRule type="cellIs" dxfId="496" priority="71" operator="equal">
      <formula>"Not Tested"</formula>
    </cfRule>
    <cfRule type="cellIs" dxfId="495" priority="72" operator="equal">
      <formula>"Pending"</formula>
    </cfRule>
    <cfRule type="cellIs" dxfId="494" priority="73" operator="equal">
      <formula>"Ongoing"</formula>
    </cfRule>
    <cfRule type="cellIs" dxfId="493" priority="74" operator="equal">
      <formula>"Blocked"</formula>
    </cfRule>
    <cfRule type="cellIs" dxfId="492" priority="75" operator="equal">
      <formula>"Fail"</formula>
    </cfRule>
    <cfRule type="cellIs" dxfId="491" priority="76" operator="equal">
      <formula>"Partially Pass"</formula>
    </cfRule>
    <cfRule type="cellIs" dxfId="490" priority="77" operator="equal">
      <formula>"Pass"</formula>
    </cfRule>
  </conditionalFormatting>
  <conditionalFormatting sqref="I3:I6">
    <cfRule type="cellIs" dxfId="489" priority="64" operator="equal">
      <formula>"Not Tested"</formula>
    </cfRule>
    <cfRule type="cellIs" dxfId="488" priority="65" operator="equal">
      <formula>"Pending"</formula>
    </cfRule>
    <cfRule type="cellIs" dxfId="487" priority="66" operator="equal">
      <formula>"Ongoing"</formula>
    </cfRule>
    <cfRule type="cellIs" dxfId="486" priority="67" operator="equal">
      <formula>"Blocked"</formula>
    </cfRule>
    <cfRule type="cellIs" dxfId="485" priority="68" operator="equal">
      <formula>"Fail"</formula>
    </cfRule>
    <cfRule type="cellIs" dxfId="484" priority="69" operator="equal">
      <formula>"Partially Fail"</formula>
    </cfRule>
    <cfRule type="cellIs" dxfId="483" priority="70" operator="equal">
      <formula>"Pass"</formula>
    </cfRule>
  </conditionalFormatting>
  <conditionalFormatting sqref="I3:I6">
    <cfRule type="cellIs" dxfId="482" priority="57" operator="equal">
      <formula>"Not Tested"</formula>
    </cfRule>
    <cfRule type="cellIs" dxfId="481" priority="58" operator="equal">
      <formula>"Pending"</formula>
    </cfRule>
    <cfRule type="cellIs" dxfId="480" priority="59" operator="equal">
      <formula>"Ongoing"</formula>
    </cfRule>
    <cfRule type="cellIs" dxfId="479" priority="60" operator="equal">
      <formula>"Blocked"</formula>
    </cfRule>
    <cfRule type="cellIs" dxfId="478" priority="61" operator="equal">
      <formula>"Fail"</formula>
    </cfRule>
    <cfRule type="cellIs" dxfId="477" priority="62" operator="equal">
      <formula>"Partially Pass"</formula>
    </cfRule>
    <cfRule type="cellIs" dxfId="476" priority="63" operator="equal">
      <formula>"Pass"</formula>
    </cfRule>
  </conditionalFormatting>
  <conditionalFormatting sqref="I4:I6">
    <cfRule type="cellIs" dxfId="475" priority="50" operator="equal">
      <formula>"Not Tested"</formula>
    </cfRule>
    <cfRule type="cellIs" dxfId="474" priority="51" operator="equal">
      <formula>"Pending"</formula>
    </cfRule>
    <cfRule type="cellIs" dxfId="473" priority="52" operator="equal">
      <formula>"Ongoing"</formula>
    </cfRule>
    <cfRule type="cellIs" dxfId="472" priority="53" operator="equal">
      <formula>"Blocked"</formula>
    </cfRule>
    <cfRule type="cellIs" dxfId="471" priority="54" operator="equal">
      <formula>"Fail"</formula>
    </cfRule>
    <cfRule type="cellIs" dxfId="470" priority="55" operator="equal">
      <formula>"Partially Fail"</formula>
    </cfRule>
    <cfRule type="cellIs" dxfId="469" priority="56" operator="equal">
      <formula>"Pass"</formula>
    </cfRule>
  </conditionalFormatting>
  <conditionalFormatting sqref="I4:I6">
    <cfRule type="cellIs" dxfId="468" priority="43" operator="equal">
      <formula>"Not Tested"</formula>
    </cfRule>
    <cfRule type="cellIs" dxfId="467" priority="44" operator="equal">
      <formula>"Pending"</formula>
    </cfRule>
    <cfRule type="cellIs" dxfId="466" priority="45" operator="equal">
      <formula>"Ongoing"</formula>
    </cfRule>
    <cfRule type="cellIs" dxfId="465" priority="46" operator="equal">
      <formula>"Blocked"</formula>
    </cfRule>
    <cfRule type="cellIs" dxfId="464" priority="47" operator="equal">
      <formula>"Fail"</formula>
    </cfRule>
    <cfRule type="cellIs" dxfId="463" priority="48" operator="equal">
      <formula>"Partially Pass"</formula>
    </cfRule>
    <cfRule type="cellIs" dxfId="462" priority="49" operator="equal">
      <formula>"Pass"</formula>
    </cfRule>
  </conditionalFormatting>
  <conditionalFormatting sqref="I4:I6">
    <cfRule type="cellIs" dxfId="461" priority="36" operator="equal">
      <formula>"Not Tested"</formula>
    </cfRule>
    <cfRule type="cellIs" dxfId="460" priority="37" operator="equal">
      <formula>"Pending"</formula>
    </cfRule>
    <cfRule type="cellIs" dxfId="459" priority="38" operator="equal">
      <formula>"Ongoing"</formula>
    </cfRule>
    <cfRule type="cellIs" dxfId="458" priority="39" operator="equal">
      <formula>"Blocked"</formula>
    </cfRule>
    <cfRule type="cellIs" dxfId="457" priority="40" operator="equal">
      <formula>"Fail"</formula>
    </cfRule>
    <cfRule type="cellIs" dxfId="456" priority="41" operator="equal">
      <formula>"Partially Fail"</formula>
    </cfRule>
    <cfRule type="cellIs" dxfId="455" priority="42" operator="equal">
      <formula>"Pass"</formula>
    </cfRule>
  </conditionalFormatting>
  <conditionalFormatting sqref="I4:I6">
    <cfRule type="cellIs" dxfId="454" priority="29" operator="equal">
      <formula>"Not Tested"</formula>
    </cfRule>
    <cfRule type="cellIs" dxfId="453" priority="30" operator="equal">
      <formula>"Pending"</formula>
    </cfRule>
    <cfRule type="cellIs" dxfId="452" priority="31" operator="equal">
      <formula>"Ongoing"</formula>
    </cfRule>
    <cfRule type="cellIs" dxfId="451" priority="32" operator="equal">
      <formula>"Blocked"</formula>
    </cfRule>
    <cfRule type="cellIs" dxfId="450" priority="33" operator="equal">
      <formula>"Fail"</formula>
    </cfRule>
    <cfRule type="cellIs" dxfId="449" priority="34" operator="equal">
      <formula>"Partially Pass"</formula>
    </cfRule>
    <cfRule type="cellIs" dxfId="448" priority="35" operator="equal">
      <formula>"Pass"</formula>
    </cfRule>
  </conditionalFormatting>
  <conditionalFormatting sqref="I3:I6">
    <cfRule type="cellIs" dxfId="447" priority="22" operator="equal">
      <formula>"Not Tested"</formula>
    </cfRule>
    <cfRule type="cellIs" dxfId="446" priority="23" operator="equal">
      <formula>"Pending"</formula>
    </cfRule>
    <cfRule type="cellIs" dxfId="445" priority="24" operator="equal">
      <formula>"Ongoing"</formula>
    </cfRule>
    <cfRule type="cellIs" dxfId="444" priority="25" operator="equal">
      <formula>"Blocked"</formula>
    </cfRule>
    <cfRule type="cellIs" dxfId="443" priority="26" operator="equal">
      <formula>"Fail"</formula>
    </cfRule>
    <cfRule type="cellIs" dxfId="442" priority="27" operator="equal">
      <formula>"Partially Fail"</formula>
    </cfRule>
    <cfRule type="cellIs" dxfId="441" priority="28" operator="equal">
      <formula>"Pass"</formula>
    </cfRule>
  </conditionalFormatting>
  <conditionalFormatting sqref="I3:I6">
    <cfRule type="cellIs" dxfId="440" priority="15" operator="equal">
      <formula>"Not Tested"</formula>
    </cfRule>
    <cfRule type="cellIs" dxfId="439" priority="16" operator="equal">
      <formula>"Pending"</formula>
    </cfRule>
    <cfRule type="cellIs" dxfId="438" priority="17" operator="equal">
      <formula>"Ongoing"</formula>
    </cfRule>
    <cfRule type="cellIs" dxfId="437" priority="18" operator="equal">
      <formula>"Blocked"</formula>
    </cfRule>
    <cfRule type="cellIs" dxfId="436" priority="19" operator="equal">
      <formula>"Fail"</formula>
    </cfRule>
    <cfRule type="cellIs" dxfId="435" priority="20" operator="equal">
      <formula>"Partially Pass"</formula>
    </cfRule>
    <cfRule type="cellIs" dxfId="434" priority="21" operator="equal">
      <formula>"Pass"</formula>
    </cfRule>
  </conditionalFormatting>
  <conditionalFormatting sqref="I3:I6">
    <cfRule type="cellIs" dxfId="433" priority="8" operator="equal">
      <formula>"Not Tested"</formula>
    </cfRule>
    <cfRule type="cellIs" dxfId="432" priority="9" operator="equal">
      <formula>"Pending"</formula>
    </cfRule>
    <cfRule type="cellIs" dxfId="431" priority="10" operator="equal">
      <formula>"Ongoing"</formula>
    </cfRule>
    <cfRule type="cellIs" dxfId="430" priority="11" operator="equal">
      <formula>"Blocked"</formula>
    </cfRule>
    <cfRule type="cellIs" dxfId="429" priority="12" operator="equal">
      <formula>"Fail"</formula>
    </cfRule>
    <cfRule type="cellIs" dxfId="428" priority="13" operator="equal">
      <formula>"Partially Fail"</formula>
    </cfRule>
    <cfRule type="cellIs" dxfId="427" priority="14" operator="equal">
      <formula>"Pass"</formula>
    </cfRule>
  </conditionalFormatting>
  <conditionalFormatting sqref="I3:I6">
    <cfRule type="cellIs" dxfId="426" priority="1" operator="equal">
      <formula>"Not Tested"</formula>
    </cfRule>
    <cfRule type="cellIs" dxfId="425" priority="2" operator="equal">
      <formula>"Pending"</formula>
    </cfRule>
    <cfRule type="cellIs" dxfId="424" priority="3" operator="equal">
      <formula>"Ongoing"</formula>
    </cfRule>
    <cfRule type="cellIs" dxfId="423" priority="4" operator="equal">
      <formula>"Blocked"</formula>
    </cfRule>
    <cfRule type="cellIs" dxfId="422" priority="5" operator="equal">
      <formula>"Fail"</formula>
    </cfRule>
    <cfRule type="cellIs" dxfId="421" priority="6" operator="equal">
      <formula>"Partially Pass"</formula>
    </cfRule>
    <cfRule type="cellIs" dxfId="420" priority="7" operator="equal">
      <formula>"Pass"</formula>
    </cfRule>
  </conditionalFormatting>
  <hyperlinks>
    <hyperlink ref="H4:H6" location="'MD Data'!A1" display="MD Data'!A1"/>
    <hyperlink ref="H3" location="'T20 Reports Data'!A1" display="T20 Reports Data'!A1"/>
    <hyperlink ref="H3:H6" location="'Periodic Analysis'!A1" display="'Periodic Analysis'!A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[2]Info!#REF!</xm:f>
          </x14:formula1>
          <xm:sqref>I3:I6</xm:sqref>
        </x14:dataValidation>
      </x14:dataValidations>
    </ext>
  </extLst>
</worksheet>
</file>

<file path=xl/worksheets/sheet7.xml><?xml version="1.0" encoding="utf-8"?>
<worksheet xmlns="http://schemas.openxmlformats.org/spreadsheetml/2006/main" xmlns:r="http://schemas.openxmlformats.org/officeDocument/2006/relationships">
  <dimension ref="A1:O112"/>
  <sheetViews>
    <sheetView showGridLines="0" zoomScale="85" zoomScaleNormal="85" workbookViewId="0">
      <selection activeCell="I32" sqref="I32:K66"/>
    </sheetView>
  </sheetViews>
  <sheetFormatPr defaultRowHeight="12.75"/>
  <cols>
    <col min="1" max="1" width="21.5703125" style="609" customWidth="1"/>
    <col min="2" max="2" width="15.85546875" style="609" customWidth="1"/>
    <col min="3" max="3" width="18.7109375" style="609" customWidth="1"/>
    <col min="4" max="4" width="9" style="609" bestFit="1" customWidth="1"/>
    <col min="5" max="5" width="29.42578125" style="609" customWidth="1"/>
    <col min="6" max="6" width="17.140625" style="609" customWidth="1"/>
    <col min="7" max="7" width="18.85546875" style="609" customWidth="1"/>
    <col min="8" max="8" width="5.5703125" style="609" customWidth="1"/>
    <col min="9" max="9" width="29.7109375" style="609" bestFit="1" customWidth="1"/>
    <col min="10" max="10" width="10.28515625" style="609" bestFit="1" customWidth="1"/>
    <col min="11" max="11" width="11.42578125" style="609" bestFit="1" customWidth="1"/>
    <col min="12" max="12" width="12.42578125" style="609" customWidth="1"/>
    <col min="13" max="13" width="12.5703125" style="609" bestFit="1" customWidth="1"/>
    <col min="14" max="14" width="13" style="609" customWidth="1"/>
    <col min="15" max="16384" width="9.140625" style="609"/>
  </cols>
  <sheetData>
    <row r="1" spans="1:14">
      <c r="A1" s="758" t="s">
        <v>548</v>
      </c>
      <c r="B1" s="758"/>
      <c r="C1" s="758"/>
      <c r="D1" s="758"/>
      <c r="E1" s="758"/>
      <c r="F1" s="758"/>
      <c r="G1" s="758"/>
      <c r="H1" s="758"/>
      <c r="I1" s="758"/>
      <c r="J1" s="758"/>
      <c r="K1" s="758"/>
      <c r="L1" s="758"/>
      <c r="M1" s="758"/>
      <c r="N1" s="758"/>
    </row>
    <row r="3" spans="1:14">
      <c r="A3" s="724" t="s">
        <v>362</v>
      </c>
      <c r="B3" s="725"/>
      <c r="C3" s="725"/>
      <c r="E3" s="724" t="s">
        <v>366</v>
      </c>
      <c r="F3" s="725"/>
      <c r="G3" s="725"/>
      <c r="I3" s="724" t="s">
        <v>334</v>
      </c>
      <c r="J3" s="725"/>
      <c r="K3" s="725"/>
      <c r="L3" s="725"/>
      <c r="M3" s="725"/>
      <c r="N3" s="725"/>
    </row>
    <row r="4" spans="1:14" ht="27.75" customHeight="1">
      <c r="A4" s="219"/>
      <c r="B4" s="219" t="s">
        <v>23</v>
      </c>
      <c r="C4" s="219" t="s">
        <v>22</v>
      </c>
      <c r="E4" s="219"/>
      <c r="F4" s="219" t="s">
        <v>23</v>
      </c>
      <c r="G4" s="219" t="s">
        <v>22</v>
      </c>
      <c r="I4" s="219"/>
      <c r="J4" s="219" t="s">
        <v>23</v>
      </c>
      <c r="K4" s="219" t="s">
        <v>22</v>
      </c>
      <c r="L4" s="219" t="s">
        <v>499</v>
      </c>
      <c r="M4" s="219" t="s">
        <v>498</v>
      </c>
      <c r="N4" s="332" t="s">
        <v>29</v>
      </c>
    </row>
    <row r="5" spans="1:14">
      <c r="A5" s="516" t="s">
        <v>497</v>
      </c>
      <c r="B5" s="617">
        <v>7468</v>
      </c>
      <c r="C5" s="617">
        <v>6766</v>
      </c>
      <c r="E5" s="516" t="s">
        <v>497</v>
      </c>
      <c r="F5" s="617"/>
      <c r="G5" s="617"/>
      <c r="I5" s="619" t="s">
        <v>497</v>
      </c>
      <c r="J5" s="613">
        <v>7631</v>
      </c>
      <c r="K5" s="613">
        <v>6773</v>
      </c>
      <c r="L5" s="659">
        <f t="shared" ref="L5:L23" si="0">SUM(J5-F5)</f>
        <v>7631</v>
      </c>
      <c r="M5" s="660">
        <f t="shared" ref="M5:M23" si="1">SUM(K5-G5)</f>
        <v>6773</v>
      </c>
      <c r="N5" s="610" t="str">
        <f t="shared" ref="N5:N26" si="2">IF(AND(ROUNDDOWN(L5,0)=0,ROUNDDOWN(M5,0)=0),"PASS","FAIL")</f>
        <v>FAIL</v>
      </c>
    </row>
    <row r="6" spans="1:14">
      <c r="A6" s="516" t="s">
        <v>496</v>
      </c>
      <c r="B6" s="617">
        <v>14638</v>
      </c>
      <c r="C6" s="617">
        <v>13256</v>
      </c>
      <c r="E6" s="516" t="s">
        <v>496</v>
      </c>
      <c r="F6" s="617"/>
      <c r="G6" s="617"/>
      <c r="I6" s="619" t="s">
        <v>496</v>
      </c>
      <c r="J6" s="613">
        <v>14982</v>
      </c>
      <c r="K6" s="613">
        <v>13257</v>
      </c>
      <c r="L6" s="659">
        <f t="shared" si="0"/>
        <v>14982</v>
      </c>
      <c r="M6" s="660">
        <f t="shared" si="1"/>
        <v>13257</v>
      </c>
      <c r="N6" s="610" t="str">
        <f t="shared" si="2"/>
        <v>FAIL</v>
      </c>
    </row>
    <row r="7" spans="1:14">
      <c r="A7" s="516" t="s">
        <v>495</v>
      </c>
      <c r="B7" s="516">
        <v>38.25</v>
      </c>
      <c r="C7" s="516">
        <v>39.119999999999997</v>
      </c>
      <c r="E7" s="516" t="s">
        <v>495</v>
      </c>
      <c r="F7" s="516"/>
      <c r="G7" s="516"/>
      <c r="I7" s="619" t="s">
        <v>494</v>
      </c>
      <c r="J7" s="613">
        <v>38.301699999999997</v>
      </c>
      <c r="K7" s="613">
        <v>37.301699999999997</v>
      </c>
      <c r="L7" s="659">
        <f t="shared" si="0"/>
        <v>38.301699999999997</v>
      </c>
      <c r="M7" s="660">
        <f t="shared" si="1"/>
        <v>37.301699999999997</v>
      </c>
      <c r="N7" s="610" t="str">
        <f t="shared" si="2"/>
        <v>FAIL</v>
      </c>
    </row>
    <row r="8" spans="1:14">
      <c r="A8" s="516" t="s">
        <v>493</v>
      </c>
      <c r="B8" s="516">
        <v>1.96</v>
      </c>
      <c r="C8" s="516">
        <v>1.96</v>
      </c>
      <c r="E8" s="516" t="s">
        <v>493</v>
      </c>
      <c r="F8" s="516"/>
      <c r="G8" s="516"/>
      <c r="I8" s="619" t="s">
        <v>493</v>
      </c>
      <c r="J8" s="613">
        <v>2</v>
      </c>
      <c r="K8" s="613">
        <v>1.96</v>
      </c>
      <c r="L8" s="659">
        <f t="shared" si="0"/>
        <v>2</v>
      </c>
      <c r="M8" s="660">
        <f t="shared" si="1"/>
        <v>1.96</v>
      </c>
      <c r="N8" s="610" t="str">
        <f t="shared" si="2"/>
        <v>FAIL</v>
      </c>
    </row>
    <row r="9" spans="1:14">
      <c r="A9" s="516" t="s">
        <v>492</v>
      </c>
      <c r="B9" s="508">
        <v>0.56000000000000005</v>
      </c>
      <c r="C9" s="508">
        <v>0.55910000000000004</v>
      </c>
      <c r="E9" s="516" t="s">
        <v>492</v>
      </c>
      <c r="F9" s="508"/>
      <c r="G9" s="508"/>
      <c r="I9" s="619" t="s">
        <v>492</v>
      </c>
      <c r="J9" s="612">
        <v>55.947099999999999</v>
      </c>
      <c r="K9" s="613">
        <v>55.9101</v>
      </c>
      <c r="L9" s="659">
        <f t="shared" si="0"/>
        <v>55.947099999999999</v>
      </c>
      <c r="M9" s="660">
        <f t="shared" si="1"/>
        <v>55.9101</v>
      </c>
      <c r="N9" s="610" t="str">
        <f t="shared" si="2"/>
        <v>FAIL</v>
      </c>
    </row>
    <row r="10" spans="1:14">
      <c r="A10" s="516" t="s">
        <v>491</v>
      </c>
      <c r="B10" s="617">
        <v>12736</v>
      </c>
      <c r="C10" s="617">
        <v>12998</v>
      </c>
      <c r="E10" s="516" t="s">
        <v>491</v>
      </c>
      <c r="F10" s="617"/>
      <c r="G10" s="617"/>
      <c r="I10" s="619" t="s">
        <v>491</v>
      </c>
      <c r="J10" s="612">
        <v>13056</v>
      </c>
      <c r="K10" s="612">
        <v>13010</v>
      </c>
      <c r="L10" s="659">
        <f t="shared" si="0"/>
        <v>13056</v>
      </c>
      <c r="M10" s="660">
        <f t="shared" si="1"/>
        <v>13010</v>
      </c>
      <c r="N10" s="610" t="str">
        <f t="shared" si="2"/>
        <v>FAIL</v>
      </c>
    </row>
    <row r="11" spans="1:14">
      <c r="A11" s="516" t="s">
        <v>490</v>
      </c>
      <c r="B11" s="617">
        <v>169139</v>
      </c>
      <c r="C11" s="617">
        <v>184769</v>
      </c>
      <c r="E11" s="516" t="s">
        <v>490</v>
      </c>
      <c r="F11" s="617"/>
      <c r="G11" s="617"/>
      <c r="I11" s="619" t="s">
        <v>490</v>
      </c>
      <c r="J11" s="613">
        <v>183848</v>
      </c>
      <c r="K11" s="613">
        <v>186135</v>
      </c>
      <c r="L11" s="659">
        <f t="shared" si="0"/>
        <v>183848</v>
      </c>
      <c r="M11" s="660">
        <f t="shared" si="1"/>
        <v>186135</v>
      </c>
      <c r="N11" s="610" t="str">
        <f t="shared" si="2"/>
        <v>FAIL</v>
      </c>
    </row>
    <row r="12" spans="1:14">
      <c r="A12" s="516" t="s">
        <v>489</v>
      </c>
      <c r="B12" s="615">
        <v>41059.94</v>
      </c>
      <c r="C12" s="615">
        <v>40283.53</v>
      </c>
      <c r="E12" s="516" t="s">
        <v>489</v>
      </c>
      <c r="F12" s="615"/>
      <c r="G12" s="615"/>
      <c r="I12" s="619" t="s">
        <v>488</v>
      </c>
      <c r="J12" s="613">
        <v>44785.451849999998</v>
      </c>
      <c r="K12" s="613">
        <v>40270.474240000003</v>
      </c>
      <c r="L12" s="659">
        <f t="shared" si="0"/>
        <v>44785.451849999998</v>
      </c>
      <c r="M12" s="660">
        <f t="shared" si="1"/>
        <v>40270.474240000003</v>
      </c>
      <c r="N12" s="610" t="str">
        <f t="shared" si="2"/>
        <v>FAIL</v>
      </c>
    </row>
    <row r="13" spans="1:14">
      <c r="A13" s="516" t="s">
        <v>487</v>
      </c>
      <c r="B13" s="516">
        <v>11.55</v>
      </c>
      <c r="C13" s="516">
        <v>13.94</v>
      </c>
      <c r="E13" s="516" t="s">
        <v>487</v>
      </c>
      <c r="F13" s="516"/>
      <c r="G13" s="516"/>
      <c r="I13" s="619" t="s">
        <v>487</v>
      </c>
      <c r="J13" s="613">
        <v>12.2713</v>
      </c>
      <c r="K13" s="613">
        <v>14.0405</v>
      </c>
      <c r="L13" s="659">
        <f t="shared" si="0"/>
        <v>12.2713</v>
      </c>
      <c r="M13" s="660">
        <f t="shared" si="1"/>
        <v>14.0405</v>
      </c>
      <c r="N13" s="610" t="str">
        <f t="shared" si="2"/>
        <v>FAIL</v>
      </c>
    </row>
    <row r="14" spans="1:14">
      <c r="A14" s="516" t="s">
        <v>486</v>
      </c>
      <c r="B14" s="516">
        <v>29.24</v>
      </c>
      <c r="C14" s="516">
        <v>34.08</v>
      </c>
      <c r="E14" s="516" t="s">
        <v>486</v>
      </c>
      <c r="F14" s="516"/>
      <c r="G14" s="516"/>
      <c r="I14" s="619" t="s">
        <v>485</v>
      </c>
      <c r="J14" s="613">
        <v>10.2287</v>
      </c>
      <c r="K14" s="613">
        <v>9.6976999999999993</v>
      </c>
      <c r="L14" s="659">
        <f t="shared" si="0"/>
        <v>10.2287</v>
      </c>
      <c r="M14" s="660">
        <f t="shared" si="1"/>
        <v>9.6976999999999993</v>
      </c>
      <c r="N14" s="610" t="str">
        <f t="shared" si="2"/>
        <v>FAIL</v>
      </c>
    </row>
    <row r="15" spans="1:14">
      <c r="A15" s="516" t="s">
        <v>484</v>
      </c>
      <c r="B15" s="508">
        <v>0.87009999999999998</v>
      </c>
      <c r="C15" s="508">
        <v>0.98050000000000004</v>
      </c>
      <c r="E15" s="516" t="s">
        <v>484</v>
      </c>
      <c r="F15" s="508"/>
      <c r="G15" s="508"/>
      <c r="I15" s="619" t="s">
        <v>484</v>
      </c>
      <c r="J15" s="613">
        <v>0.87144600000000005</v>
      </c>
      <c r="K15" s="613">
        <v>0.98136800000000002</v>
      </c>
      <c r="L15" s="659">
        <f t="shared" si="0"/>
        <v>0.87144600000000005</v>
      </c>
      <c r="M15" s="660">
        <f t="shared" si="1"/>
        <v>0.98136800000000002</v>
      </c>
      <c r="N15" s="610" t="str">
        <f t="shared" si="2"/>
        <v>PASS</v>
      </c>
    </row>
    <row r="16" spans="1:14">
      <c r="A16" s="516" t="s">
        <v>483</v>
      </c>
      <c r="B16" s="516">
        <v>35.090000000000003</v>
      </c>
      <c r="C16" s="516">
        <v>35.83</v>
      </c>
      <c r="E16" s="516" t="s">
        <v>483</v>
      </c>
      <c r="F16" s="516"/>
      <c r="G16" s="516"/>
      <c r="I16" s="619" t="s">
        <v>483</v>
      </c>
      <c r="J16" s="613">
        <v>31.5</v>
      </c>
      <c r="K16" s="613">
        <v>32.21</v>
      </c>
      <c r="L16" s="659">
        <f t="shared" si="0"/>
        <v>31.5</v>
      </c>
      <c r="M16" s="660">
        <f t="shared" si="1"/>
        <v>32.21</v>
      </c>
      <c r="N16" s="610" t="str">
        <f t="shared" si="2"/>
        <v>FAIL</v>
      </c>
    </row>
    <row r="17" spans="1:15">
      <c r="A17" s="516" t="s">
        <v>482</v>
      </c>
      <c r="B17" s="616">
        <v>12257.71</v>
      </c>
      <c r="C17" s="616">
        <v>13774.85</v>
      </c>
      <c r="E17" s="516" t="s">
        <v>482</v>
      </c>
      <c r="F17" s="616"/>
      <c r="G17" s="616"/>
      <c r="I17" s="619" t="s">
        <v>481</v>
      </c>
      <c r="J17" s="613">
        <v>12271.3</v>
      </c>
      <c r="K17" s="613">
        <v>14040.5</v>
      </c>
      <c r="L17" s="659">
        <f t="shared" si="0"/>
        <v>12271.3</v>
      </c>
      <c r="M17" s="660">
        <f t="shared" si="1"/>
        <v>14040.5</v>
      </c>
      <c r="N17" s="610" t="str">
        <f t="shared" si="2"/>
        <v>FAIL</v>
      </c>
    </row>
    <row r="18" spans="1:15">
      <c r="A18" s="516" t="s">
        <v>480</v>
      </c>
      <c r="B18" s="616">
        <v>27522.83</v>
      </c>
      <c r="C18" s="616">
        <v>29742.57</v>
      </c>
      <c r="E18" s="516" t="s">
        <v>480</v>
      </c>
      <c r="F18" s="616"/>
      <c r="G18" s="616"/>
      <c r="I18" s="619" t="s">
        <v>480</v>
      </c>
      <c r="J18" s="613" t="s">
        <v>713</v>
      </c>
      <c r="K18" s="613" t="s">
        <v>713</v>
      </c>
      <c r="L18" s="659" t="e">
        <f t="shared" si="0"/>
        <v>#VALUE!</v>
      </c>
      <c r="M18" s="660" t="e">
        <f t="shared" si="1"/>
        <v>#VALUE!</v>
      </c>
      <c r="N18" s="610" t="e">
        <f t="shared" si="2"/>
        <v>#VALUE!</v>
      </c>
    </row>
    <row r="19" spans="1:15">
      <c r="A19" s="516" t="s">
        <v>667</v>
      </c>
      <c r="B19" s="616">
        <v>404.17</v>
      </c>
      <c r="C19" s="616">
        <v>397.06</v>
      </c>
      <c r="E19" s="516" t="s">
        <v>667</v>
      </c>
      <c r="F19" s="616"/>
      <c r="G19" s="616"/>
      <c r="I19" s="619" t="s">
        <v>478</v>
      </c>
      <c r="J19" s="613">
        <v>243.6</v>
      </c>
      <c r="K19" s="613">
        <v>216.351</v>
      </c>
      <c r="L19" s="659"/>
      <c r="M19" s="660"/>
      <c r="N19" s="610"/>
    </row>
    <row r="20" spans="1:15">
      <c r="A20" s="516" t="s">
        <v>479</v>
      </c>
      <c r="B20" s="615">
        <v>184.87</v>
      </c>
      <c r="C20" s="615">
        <v>186.23</v>
      </c>
      <c r="E20" s="516" t="s">
        <v>479</v>
      </c>
      <c r="F20" s="615"/>
      <c r="G20" s="615"/>
      <c r="I20" s="619" t="s">
        <v>477</v>
      </c>
      <c r="J20" s="613">
        <v>3430.26</v>
      </c>
      <c r="K20" s="613">
        <v>3095.35</v>
      </c>
      <c r="L20" s="659">
        <f t="shared" si="0"/>
        <v>3430.26</v>
      </c>
      <c r="M20" s="660">
        <f t="shared" si="1"/>
        <v>3095.35</v>
      </c>
      <c r="N20" s="610" t="str">
        <f t="shared" si="2"/>
        <v>FAIL</v>
      </c>
    </row>
    <row r="21" spans="1:15">
      <c r="A21" s="516" t="s">
        <v>478</v>
      </c>
      <c r="B21" s="615">
        <v>242.76</v>
      </c>
      <c r="C21" s="615">
        <v>218.02</v>
      </c>
      <c r="E21" s="516" t="s">
        <v>478</v>
      </c>
      <c r="F21" s="615"/>
      <c r="G21" s="615"/>
      <c r="I21" s="619" t="s">
        <v>475</v>
      </c>
      <c r="J21" s="613" t="s">
        <v>713</v>
      </c>
      <c r="K21" s="613" t="s">
        <v>713</v>
      </c>
      <c r="L21" s="659" t="e">
        <f t="shared" si="0"/>
        <v>#VALUE!</v>
      </c>
      <c r="M21" s="660" t="e">
        <f t="shared" si="1"/>
        <v>#VALUE!</v>
      </c>
      <c r="N21" s="610" t="e">
        <f t="shared" si="2"/>
        <v>#VALUE!</v>
      </c>
    </row>
    <row r="22" spans="1:15">
      <c r="A22" s="516" t="s">
        <v>477</v>
      </c>
      <c r="B22" s="615">
        <v>3223.93</v>
      </c>
      <c r="C22" s="615">
        <v>3099.21</v>
      </c>
      <c r="E22" s="516" t="s">
        <v>477</v>
      </c>
      <c r="F22" s="615"/>
      <c r="G22" s="615"/>
      <c r="I22" s="619" t="s">
        <v>473</v>
      </c>
      <c r="J22" s="613">
        <v>99.7239</v>
      </c>
      <c r="K22" s="613">
        <v>100.52800000000001</v>
      </c>
      <c r="L22" s="659">
        <f t="shared" si="0"/>
        <v>99.7239</v>
      </c>
      <c r="M22" s="660">
        <f t="shared" si="1"/>
        <v>100.52800000000001</v>
      </c>
      <c r="N22" s="610" t="str">
        <f t="shared" si="2"/>
        <v>FAIL</v>
      </c>
    </row>
    <row r="23" spans="1:15">
      <c r="A23" s="516" t="s">
        <v>476</v>
      </c>
      <c r="B23" s="508">
        <v>33.6</v>
      </c>
      <c r="C23" s="508">
        <v>34.76</v>
      </c>
      <c r="E23" s="516" t="s">
        <v>476</v>
      </c>
      <c r="F23" s="508"/>
      <c r="G23" s="508"/>
      <c r="I23" s="619" t="s">
        <v>472</v>
      </c>
      <c r="J23" s="613">
        <v>93.444500000000005</v>
      </c>
      <c r="K23" s="613">
        <v>95.0595</v>
      </c>
      <c r="L23" s="659">
        <f t="shared" si="0"/>
        <v>93.444500000000005</v>
      </c>
      <c r="M23" s="660">
        <f t="shared" si="1"/>
        <v>95.0595</v>
      </c>
      <c r="N23" s="610" t="str">
        <f t="shared" si="2"/>
        <v>FAIL</v>
      </c>
    </row>
    <row r="24" spans="1:15">
      <c r="A24" s="611" t="s">
        <v>474</v>
      </c>
      <c r="B24" s="508">
        <v>0.99729999999999996</v>
      </c>
      <c r="C24" s="508">
        <v>1.0053000000000001</v>
      </c>
      <c r="E24" s="611" t="s">
        <v>474</v>
      </c>
      <c r="F24" s="508"/>
      <c r="G24" s="508"/>
      <c r="I24" s="619" t="s">
        <v>471</v>
      </c>
      <c r="J24" s="613">
        <v>96.862899999999996</v>
      </c>
      <c r="K24" s="613">
        <v>97.924800000000005</v>
      </c>
      <c r="L24" s="659">
        <f>SUM(J24-F24)</f>
        <v>96.862899999999996</v>
      </c>
      <c r="M24" s="661">
        <f>SUM(K24-G24)*100</f>
        <v>9792.48</v>
      </c>
      <c r="N24" s="610" t="str">
        <f t="shared" si="2"/>
        <v>FAIL</v>
      </c>
    </row>
    <row r="25" spans="1:15">
      <c r="A25" s="611" t="s">
        <v>472</v>
      </c>
      <c r="B25" s="508">
        <v>0.93559999999999999</v>
      </c>
      <c r="C25" s="508">
        <v>0.9506</v>
      </c>
      <c r="E25" s="611" t="s">
        <v>472</v>
      </c>
      <c r="F25" s="508"/>
      <c r="G25" s="508"/>
      <c r="I25" s="619"/>
      <c r="J25" s="613"/>
      <c r="K25" s="613"/>
      <c r="L25" s="659">
        <f>SUM(J25-F25)</f>
        <v>0</v>
      </c>
      <c r="M25" s="661">
        <f>SUM(K25-G25)*100</f>
        <v>0</v>
      </c>
      <c r="N25" s="610" t="str">
        <f t="shared" si="2"/>
        <v>PASS</v>
      </c>
    </row>
    <row r="26" spans="1:15">
      <c r="A26" s="670" t="s">
        <v>471</v>
      </c>
      <c r="B26" s="623">
        <v>0.96919999999999995</v>
      </c>
      <c r="C26" s="623">
        <v>0.97919999999999996</v>
      </c>
      <c r="E26" s="670" t="s">
        <v>471</v>
      </c>
      <c r="F26" s="623"/>
      <c r="G26" s="623"/>
      <c r="I26" s="619"/>
      <c r="J26" s="613"/>
      <c r="K26" s="613"/>
      <c r="L26" s="659">
        <f>SUM(J26-F26)</f>
        <v>0</v>
      </c>
      <c r="M26" s="661">
        <f>SUM(K26-G26)*100</f>
        <v>0</v>
      </c>
      <c r="N26" s="610" t="str">
        <f t="shared" si="2"/>
        <v>PASS</v>
      </c>
    </row>
    <row r="27" spans="1:15">
      <c r="F27" s="669"/>
      <c r="G27" s="669"/>
    </row>
    <row r="28" spans="1:15">
      <c r="A28" s="758" t="s">
        <v>547</v>
      </c>
      <c r="B28" s="758"/>
      <c r="C28" s="758"/>
      <c r="D28" s="758"/>
      <c r="E28" s="758"/>
      <c r="F28" s="758"/>
      <c r="G28" s="758"/>
      <c r="H28" s="758"/>
      <c r="I28" s="758"/>
      <c r="J28" s="758"/>
      <c r="K28" s="758"/>
      <c r="L28" s="758"/>
      <c r="M28" s="758"/>
      <c r="N28" s="758"/>
      <c r="O28" s="636"/>
    </row>
    <row r="29" spans="1:15" ht="15">
      <c r="B29" s="637"/>
      <c r="C29" s="636"/>
      <c r="D29" s="636"/>
      <c r="E29" s="638"/>
      <c r="F29" s="636"/>
      <c r="G29" s="639"/>
      <c r="H29" s="636"/>
      <c r="I29" s="636"/>
      <c r="J29" s="636"/>
      <c r="K29" s="636"/>
      <c r="L29" s="636"/>
      <c r="M29" s="636"/>
      <c r="N29" s="636"/>
      <c r="O29" s="636"/>
    </row>
    <row r="30" spans="1:15">
      <c r="A30" s="724" t="s">
        <v>362</v>
      </c>
      <c r="B30" s="725"/>
      <c r="C30" s="725"/>
      <c r="E30" s="728" t="s">
        <v>366</v>
      </c>
      <c r="F30" s="728"/>
      <c r="G30" s="728"/>
      <c r="I30" s="724" t="s">
        <v>334</v>
      </c>
      <c r="J30" s="725"/>
      <c r="K30" s="725"/>
      <c r="L30" s="725"/>
      <c r="M30" s="725"/>
      <c r="N30" s="726"/>
      <c r="O30" s="636"/>
    </row>
    <row r="31" spans="1:15" ht="25.5">
      <c r="A31" s="219"/>
      <c r="B31" s="219" t="s">
        <v>23</v>
      </c>
      <c r="C31" s="219" t="s">
        <v>22</v>
      </c>
      <c r="E31" s="219"/>
      <c r="F31" s="219" t="s">
        <v>23</v>
      </c>
      <c r="G31" s="219" t="s">
        <v>22</v>
      </c>
      <c r="H31" s="636"/>
      <c r="I31" s="219"/>
      <c r="J31" s="219" t="s">
        <v>23</v>
      </c>
      <c r="K31" s="219" t="s">
        <v>22</v>
      </c>
      <c r="L31" s="219" t="s">
        <v>499</v>
      </c>
      <c r="M31" s="219" t="s">
        <v>498</v>
      </c>
      <c r="N31" s="219" t="s">
        <v>29</v>
      </c>
      <c r="O31" s="636"/>
    </row>
    <row r="32" spans="1:15">
      <c r="A32" s="516" t="s">
        <v>497</v>
      </c>
      <c r="B32" s="620">
        <v>7468</v>
      </c>
      <c r="C32" s="365">
        <v>6766</v>
      </c>
      <c r="E32" s="516"/>
      <c r="F32" s="620"/>
      <c r="G32" s="365"/>
      <c r="H32" s="636"/>
      <c r="I32" s="641" t="s">
        <v>497</v>
      </c>
      <c r="J32" s="642">
        <v>7631</v>
      </c>
      <c r="K32" s="643">
        <v>6773</v>
      </c>
      <c r="L32" s="662">
        <f t="shared" ref="L32:L43" si="3">SUM(J32-F32)</f>
        <v>7631</v>
      </c>
      <c r="M32" s="663">
        <f t="shared" ref="M32:M43" si="4">SUM(K32-G32)</f>
        <v>6773</v>
      </c>
      <c r="N32" s="610" t="str">
        <f>IF(AND(ROUNDDOWN(L32,0)=0,ROUNDDOWN(M32,0)=0),"PASS","FAIL")</f>
        <v>FAIL</v>
      </c>
      <c r="O32" s="636"/>
    </row>
    <row r="33" spans="1:15">
      <c r="A33" s="516" t="s">
        <v>496</v>
      </c>
      <c r="B33" s="620">
        <v>14638</v>
      </c>
      <c r="C33" s="365">
        <v>13256</v>
      </c>
      <c r="E33" s="516"/>
      <c r="F33" s="620"/>
      <c r="G33" s="365"/>
      <c r="H33" s="636"/>
      <c r="I33" s="641" t="s">
        <v>496</v>
      </c>
      <c r="J33" s="644">
        <v>14982</v>
      </c>
      <c r="K33" s="644">
        <v>13257</v>
      </c>
      <c r="L33" s="662">
        <f t="shared" si="3"/>
        <v>14982</v>
      </c>
      <c r="M33" s="663">
        <f t="shared" si="4"/>
        <v>13257</v>
      </c>
      <c r="N33" s="610" t="str">
        <f t="shared" ref="N33:N43" si="5">IF(AND(ROUNDDOWN(L33,0)=0,ROUNDDOWN(M33,0)=0),"PASS","FAIL")</f>
        <v>FAIL</v>
      </c>
      <c r="O33" s="636"/>
    </row>
    <row r="34" spans="1:15">
      <c r="A34" s="516" t="s">
        <v>494</v>
      </c>
      <c r="B34" s="620">
        <v>38.25</v>
      </c>
      <c r="C34" s="365">
        <v>39.119999999999997</v>
      </c>
      <c r="E34" s="516"/>
      <c r="F34" s="620"/>
      <c r="G34" s="365"/>
      <c r="H34" s="636"/>
      <c r="I34" s="641" t="s">
        <v>494</v>
      </c>
      <c r="J34" s="644">
        <v>38.301699999999997</v>
      </c>
      <c r="K34" s="644">
        <v>37.301699999999997</v>
      </c>
      <c r="L34" s="662">
        <f t="shared" si="3"/>
        <v>38.301699999999997</v>
      </c>
      <c r="M34" s="663">
        <f t="shared" si="4"/>
        <v>37.301699999999997</v>
      </c>
      <c r="N34" s="610" t="str">
        <f t="shared" si="5"/>
        <v>FAIL</v>
      </c>
      <c r="O34" s="636"/>
    </row>
    <row r="35" spans="1:15">
      <c r="A35" s="516" t="s">
        <v>493</v>
      </c>
      <c r="B35" s="620">
        <v>1.96</v>
      </c>
      <c r="C35" s="168">
        <v>1.96</v>
      </c>
      <c r="E35" s="516"/>
      <c r="F35" s="620"/>
      <c r="G35" s="168"/>
      <c r="H35" s="636"/>
      <c r="I35" s="641" t="s">
        <v>493</v>
      </c>
      <c r="J35" s="644">
        <v>2</v>
      </c>
      <c r="K35" s="644">
        <v>1.96</v>
      </c>
      <c r="L35" s="662">
        <f t="shared" si="3"/>
        <v>2</v>
      </c>
      <c r="M35" s="663">
        <f t="shared" si="4"/>
        <v>1.96</v>
      </c>
      <c r="N35" s="610" t="str">
        <f t="shared" si="5"/>
        <v>FAIL</v>
      </c>
      <c r="O35" s="636"/>
    </row>
    <row r="36" spans="1:15">
      <c r="A36" s="516" t="s">
        <v>492</v>
      </c>
      <c r="B36" s="621">
        <v>0.56000000000000005</v>
      </c>
      <c r="C36" s="168">
        <v>0.55910000000000004</v>
      </c>
      <c r="E36" s="516"/>
      <c r="F36" s="621"/>
      <c r="G36" s="168"/>
      <c r="H36" s="636"/>
      <c r="I36" s="641" t="s">
        <v>492</v>
      </c>
      <c r="J36" s="619">
        <v>0.55947100000000005</v>
      </c>
      <c r="K36" s="644">
        <v>0.55910099999999996</v>
      </c>
      <c r="L36" s="662">
        <f t="shared" si="3"/>
        <v>0.55947100000000005</v>
      </c>
      <c r="M36" s="663">
        <f t="shared" si="4"/>
        <v>0.55910099999999996</v>
      </c>
      <c r="N36" s="610" t="str">
        <f t="shared" si="5"/>
        <v>PASS</v>
      </c>
      <c r="O36" s="636"/>
    </row>
    <row r="37" spans="1:15">
      <c r="A37" s="516" t="s">
        <v>491</v>
      </c>
      <c r="B37" s="621">
        <v>10988</v>
      </c>
      <c r="C37" s="618">
        <v>10951</v>
      </c>
      <c r="E37" s="516"/>
      <c r="F37" s="621"/>
      <c r="G37" s="618"/>
      <c r="H37" s="636"/>
      <c r="I37" s="641" t="s">
        <v>491</v>
      </c>
      <c r="J37" s="619">
        <v>11263</v>
      </c>
      <c r="K37" s="619">
        <v>10950</v>
      </c>
      <c r="L37" s="662">
        <f t="shared" si="3"/>
        <v>11263</v>
      </c>
      <c r="M37" s="663">
        <f t="shared" si="4"/>
        <v>10950</v>
      </c>
      <c r="N37" s="610" t="str">
        <f t="shared" si="5"/>
        <v>FAIL</v>
      </c>
      <c r="O37" s="636"/>
    </row>
    <row r="38" spans="1:15">
      <c r="A38" s="516" t="s">
        <v>516</v>
      </c>
      <c r="B38" s="620">
        <v>146550</v>
      </c>
      <c r="C38" s="168">
        <v>153156</v>
      </c>
      <c r="E38" s="516"/>
      <c r="F38" s="620"/>
      <c r="G38" s="168"/>
      <c r="H38" s="636"/>
      <c r="I38" s="641" t="s">
        <v>516</v>
      </c>
      <c r="J38" s="644">
        <v>159443</v>
      </c>
      <c r="K38" s="644">
        <v>153120</v>
      </c>
      <c r="L38" s="662">
        <f t="shared" si="3"/>
        <v>159443</v>
      </c>
      <c r="M38" s="663">
        <f t="shared" si="4"/>
        <v>153120</v>
      </c>
      <c r="N38" s="610" t="str">
        <f t="shared" si="5"/>
        <v>FAIL</v>
      </c>
      <c r="O38" s="636"/>
    </row>
    <row r="39" spans="1:15">
      <c r="A39" s="516" t="s">
        <v>488</v>
      </c>
      <c r="B39" s="43">
        <v>16017.78</v>
      </c>
      <c r="C39" s="43">
        <v>15130.98</v>
      </c>
      <c r="E39" s="516"/>
      <c r="F39" s="43"/>
      <c r="G39" s="43"/>
      <c r="H39" s="636"/>
      <c r="I39" s="641" t="s">
        <v>488</v>
      </c>
      <c r="J39" s="642">
        <v>17417.32</v>
      </c>
      <c r="K39" s="642">
        <v>15125.67</v>
      </c>
      <c r="L39" s="662">
        <f t="shared" si="3"/>
        <v>17417.32</v>
      </c>
      <c r="M39" s="663">
        <f t="shared" si="4"/>
        <v>15125.67</v>
      </c>
      <c r="N39" s="610" t="str">
        <f t="shared" si="5"/>
        <v>FAIL</v>
      </c>
      <c r="O39" s="636"/>
    </row>
    <row r="40" spans="1:15">
      <c r="A40" s="516" t="s">
        <v>484</v>
      </c>
      <c r="B40" s="40">
        <v>0.75060000000000004</v>
      </c>
      <c r="C40" s="40">
        <v>0.82609999999999995</v>
      </c>
      <c r="E40" s="516"/>
      <c r="F40" s="40"/>
      <c r="G40" s="40"/>
      <c r="H40" s="636"/>
      <c r="I40" s="641" t="s">
        <v>484</v>
      </c>
      <c r="J40" s="644">
        <v>0.75176900000000002</v>
      </c>
      <c r="K40" s="644">
        <v>0.82597900000000002</v>
      </c>
      <c r="L40" s="662">
        <f t="shared" si="3"/>
        <v>0.75176900000000002</v>
      </c>
      <c r="M40" s="663">
        <f t="shared" si="4"/>
        <v>0.82597900000000002</v>
      </c>
      <c r="N40" s="610" t="str">
        <f t="shared" si="5"/>
        <v>PASS</v>
      </c>
      <c r="O40" s="636"/>
    </row>
    <row r="41" spans="1:15">
      <c r="A41" s="516" t="s">
        <v>518</v>
      </c>
      <c r="B41" s="43">
        <v>109.3</v>
      </c>
      <c r="C41" s="43">
        <v>98.79</v>
      </c>
      <c r="E41" s="516"/>
      <c r="F41" s="43"/>
      <c r="G41" s="43"/>
      <c r="H41" s="636"/>
      <c r="I41" s="641" t="s">
        <v>518</v>
      </c>
      <c r="J41" s="642">
        <v>109.239</v>
      </c>
      <c r="K41" s="642">
        <v>98.783100000000005</v>
      </c>
      <c r="L41" s="662">
        <f t="shared" si="3"/>
        <v>109.239</v>
      </c>
      <c r="M41" s="663">
        <f t="shared" si="4"/>
        <v>98.783100000000005</v>
      </c>
      <c r="N41" s="610" t="str">
        <f t="shared" si="5"/>
        <v>FAIL</v>
      </c>
      <c r="O41" s="636"/>
    </row>
    <row r="42" spans="1:15">
      <c r="A42" s="516" t="s">
        <v>519</v>
      </c>
      <c r="B42" s="614">
        <v>13.34</v>
      </c>
      <c r="C42" s="43">
        <v>13.99</v>
      </c>
      <c r="E42" s="516"/>
      <c r="F42" s="614"/>
      <c r="G42" s="43"/>
      <c r="H42" s="636"/>
      <c r="I42" s="641" t="s">
        <v>519</v>
      </c>
      <c r="J42" s="644">
        <v>14.1564</v>
      </c>
      <c r="K42" s="644">
        <v>13.983599999999999</v>
      </c>
      <c r="L42" s="662">
        <f t="shared" si="3"/>
        <v>14.1564</v>
      </c>
      <c r="M42" s="663">
        <f t="shared" si="4"/>
        <v>13.983599999999999</v>
      </c>
      <c r="N42" s="610" t="str">
        <f t="shared" si="5"/>
        <v>FAIL</v>
      </c>
      <c r="O42" s="636"/>
    </row>
    <row r="43" spans="1:15">
      <c r="A43" s="516" t="s">
        <v>520</v>
      </c>
      <c r="B43" s="614">
        <v>10.01</v>
      </c>
      <c r="C43" s="43">
        <v>11.55</v>
      </c>
      <c r="E43" s="516"/>
      <c r="F43" s="614"/>
      <c r="G43" s="43"/>
      <c r="H43" s="636"/>
      <c r="I43" s="641" t="s">
        <v>520</v>
      </c>
      <c r="J43" s="644">
        <v>10.642300000000001</v>
      </c>
      <c r="K43" s="644">
        <v>11.5501</v>
      </c>
      <c r="L43" s="662">
        <f t="shared" si="3"/>
        <v>10.642300000000001</v>
      </c>
      <c r="M43" s="663">
        <f t="shared" si="4"/>
        <v>11.5501</v>
      </c>
      <c r="N43" s="610" t="str">
        <f t="shared" si="5"/>
        <v>FAIL</v>
      </c>
      <c r="O43" s="636"/>
    </row>
    <row r="44" spans="1:15" ht="15" customHeight="1">
      <c r="A44" s="629" t="s">
        <v>517</v>
      </c>
      <c r="B44" s="88" t="s">
        <v>521</v>
      </c>
      <c r="C44" s="88"/>
      <c r="E44" s="629"/>
      <c r="F44" s="88"/>
      <c r="G44" s="88"/>
      <c r="H44" s="636"/>
      <c r="I44" s="641" t="s">
        <v>517</v>
      </c>
      <c r="J44" s="641">
        <v>17417.3</v>
      </c>
      <c r="K44" s="641">
        <v>15125.7</v>
      </c>
      <c r="L44" s="641"/>
      <c r="M44" s="641"/>
      <c r="N44" s="635"/>
      <c r="O44" s="636"/>
    </row>
    <row r="45" spans="1:15">
      <c r="A45" s="516" t="s">
        <v>522</v>
      </c>
      <c r="B45" s="364">
        <v>16017.78</v>
      </c>
      <c r="C45" s="43">
        <v>15130.98</v>
      </c>
      <c r="E45" s="516"/>
      <c r="F45" s="364"/>
      <c r="G45" s="43"/>
      <c r="H45" s="636"/>
      <c r="I45" s="641" t="s">
        <v>522</v>
      </c>
      <c r="J45" s="641">
        <v>1068.64716</v>
      </c>
      <c r="K45" s="641">
        <v>1044.6837800000001</v>
      </c>
      <c r="L45" s="662">
        <f t="shared" ref="L45:M51" si="6">SUM(J45-F45)</f>
        <v>1068.64716</v>
      </c>
      <c r="M45" s="663">
        <f t="shared" si="6"/>
        <v>1044.6837800000001</v>
      </c>
      <c r="N45" s="610" t="str">
        <f t="shared" ref="N45:N51" si="7">IF(AND(ROUNDDOWN(L45,0)=0,ROUNDDOWN(M45,0)=0),"PASS","FAIL")</f>
        <v>FAIL</v>
      </c>
      <c r="O45" s="636"/>
    </row>
    <row r="46" spans="1:15">
      <c r="A46" s="516" t="s">
        <v>523</v>
      </c>
      <c r="B46" s="43">
        <v>977.07</v>
      </c>
      <c r="C46" s="43">
        <v>1044.8399999999999</v>
      </c>
      <c r="E46" s="516"/>
      <c r="F46" s="43"/>
      <c r="G46" s="43"/>
      <c r="H46" s="636"/>
      <c r="I46" s="641" t="s">
        <v>523</v>
      </c>
      <c r="J46" s="641">
        <v>0</v>
      </c>
      <c r="K46" s="641">
        <v>0</v>
      </c>
      <c r="L46" s="662">
        <f t="shared" si="6"/>
        <v>0</v>
      </c>
      <c r="M46" s="663">
        <f t="shared" si="6"/>
        <v>0</v>
      </c>
      <c r="N46" s="610" t="str">
        <f t="shared" si="7"/>
        <v>PASS</v>
      </c>
      <c r="O46" s="636"/>
    </row>
    <row r="47" spans="1:15">
      <c r="A47" s="516" t="s">
        <v>524</v>
      </c>
      <c r="B47" s="43">
        <v>0</v>
      </c>
      <c r="C47" s="43">
        <v>0</v>
      </c>
      <c r="E47" s="516"/>
      <c r="F47" s="43"/>
      <c r="G47" s="43"/>
      <c r="H47" s="636"/>
      <c r="I47" s="641" t="s">
        <v>524</v>
      </c>
      <c r="J47" s="641">
        <v>0</v>
      </c>
      <c r="K47" s="641">
        <v>0</v>
      </c>
      <c r="L47" s="662">
        <f t="shared" si="6"/>
        <v>0</v>
      </c>
      <c r="M47" s="663">
        <f t="shared" si="6"/>
        <v>0</v>
      </c>
      <c r="N47" s="610" t="str">
        <f t="shared" si="7"/>
        <v>PASS</v>
      </c>
      <c r="O47" s="636"/>
    </row>
    <row r="48" spans="1:15">
      <c r="A48" s="516" t="s">
        <v>581</v>
      </c>
      <c r="B48" s="43">
        <v>0</v>
      </c>
      <c r="C48" s="43">
        <v>0</v>
      </c>
      <c r="E48" s="516"/>
      <c r="F48" s="43"/>
      <c r="G48" s="43"/>
      <c r="H48" s="636"/>
      <c r="I48" s="641" t="s">
        <v>581</v>
      </c>
      <c r="J48" s="642">
        <v>18485.900000000001</v>
      </c>
      <c r="K48" s="642">
        <v>16170.4</v>
      </c>
      <c r="L48" s="662">
        <f t="shared" si="6"/>
        <v>18485.900000000001</v>
      </c>
      <c r="M48" s="663">
        <f t="shared" si="6"/>
        <v>16170.4</v>
      </c>
      <c r="N48" s="610" t="str">
        <f t="shared" si="7"/>
        <v>FAIL</v>
      </c>
      <c r="O48" s="636"/>
    </row>
    <row r="49" spans="1:15">
      <c r="A49" s="516" t="s">
        <v>526</v>
      </c>
      <c r="B49" s="43">
        <v>16994.849999999999</v>
      </c>
      <c r="C49" s="43">
        <v>16175.83</v>
      </c>
      <c r="E49" s="516"/>
      <c r="F49" s="43"/>
      <c r="G49" s="43"/>
      <c r="H49" s="636"/>
      <c r="I49" s="641" t="s">
        <v>526</v>
      </c>
      <c r="J49" s="642">
        <v>5.7799999999999997E-2</v>
      </c>
      <c r="K49" s="642">
        <v>6.4600000000000005E-2</v>
      </c>
      <c r="L49" s="662">
        <f t="shared" si="6"/>
        <v>5.7799999999999997E-2</v>
      </c>
      <c r="M49" s="663">
        <f t="shared" si="6"/>
        <v>6.4600000000000005E-2</v>
      </c>
      <c r="N49" s="610" t="str">
        <f t="shared" si="7"/>
        <v>PASS</v>
      </c>
      <c r="O49" s="636"/>
    </row>
    <row r="50" spans="1:15">
      <c r="A50" s="516" t="s">
        <v>527</v>
      </c>
      <c r="B50" s="630">
        <v>5.7500000000000002E-2</v>
      </c>
      <c r="C50" s="630">
        <v>6.4600000000000005E-2</v>
      </c>
      <c r="E50" s="516"/>
      <c r="F50" s="630"/>
      <c r="G50" s="630"/>
      <c r="H50" s="636"/>
      <c r="I50" s="641" t="s">
        <v>527</v>
      </c>
      <c r="J50" s="642">
        <v>0.94220000000000004</v>
      </c>
      <c r="K50" s="642">
        <v>0.93540000000000001</v>
      </c>
      <c r="L50" s="662">
        <f t="shared" si="6"/>
        <v>0.94220000000000004</v>
      </c>
      <c r="M50" s="663">
        <f t="shared" si="6"/>
        <v>0.93540000000000001</v>
      </c>
      <c r="N50" s="610" t="str">
        <f t="shared" si="7"/>
        <v>PASS</v>
      </c>
      <c r="O50" s="636"/>
    </row>
    <row r="51" spans="1:15">
      <c r="A51" s="516" t="s">
        <v>582</v>
      </c>
      <c r="B51" s="40">
        <v>0.9425</v>
      </c>
      <c r="C51" s="40">
        <v>0.93540000000000001</v>
      </c>
      <c r="E51" s="516"/>
      <c r="F51" s="40"/>
      <c r="G51" s="40"/>
      <c r="H51" s="640"/>
      <c r="I51" s="641" t="s">
        <v>582</v>
      </c>
      <c r="J51" s="642">
        <v>0.75817699999999999</v>
      </c>
      <c r="K51" s="642">
        <v>0.77173499999999995</v>
      </c>
      <c r="L51" s="662">
        <f t="shared" si="6"/>
        <v>0.75817699999999999</v>
      </c>
      <c r="M51" s="663">
        <f t="shared" si="6"/>
        <v>0.77173499999999995</v>
      </c>
      <c r="N51" s="610" t="str">
        <f t="shared" si="7"/>
        <v>PASS</v>
      </c>
      <c r="O51" s="636"/>
    </row>
    <row r="52" spans="1:15" ht="15" customHeight="1">
      <c r="A52" s="632" t="s">
        <v>583</v>
      </c>
      <c r="B52" s="623" t="s">
        <v>724</v>
      </c>
      <c r="C52" s="623"/>
      <c r="E52" s="632"/>
      <c r="F52" s="623"/>
      <c r="G52" s="623"/>
      <c r="H52" s="636"/>
      <c r="I52" s="641" t="s">
        <v>583</v>
      </c>
      <c r="J52" s="645">
        <v>0.13214000000000001</v>
      </c>
      <c r="K52" s="645">
        <v>0.115664</v>
      </c>
      <c r="L52" s="641"/>
      <c r="M52" s="641"/>
      <c r="N52" s="635"/>
      <c r="O52" s="636"/>
    </row>
    <row r="53" spans="1:15" ht="15">
      <c r="A53" s="88" t="s">
        <v>584</v>
      </c>
      <c r="B53" s="338">
        <v>0.75939999999999996</v>
      </c>
      <c r="C53" s="338">
        <v>0.77180000000000004</v>
      </c>
      <c r="D53"/>
      <c r="E53" s="88"/>
      <c r="F53" s="338"/>
      <c r="G53" s="338"/>
      <c r="H53" s="592"/>
      <c r="I53" s="641" t="s">
        <v>584</v>
      </c>
      <c r="J53" s="645">
        <v>7.1100900000000003E-3</v>
      </c>
      <c r="K53" s="645">
        <v>4.1313299999999999E-3</v>
      </c>
      <c r="L53" s="664">
        <f t="shared" ref="L53:L69" si="8">SUM(J53-F53)</f>
        <v>7.1100900000000003E-3</v>
      </c>
      <c r="M53" s="665">
        <f t="shared" ref="M53:M69" si="9">SUM(K53-G53)*100</f>
        <v>0.41313299999999997</v>
      </c>
      <c r="N53" s="610" t="str">
        <f t="shared" ref="N53:N69" si="10">IF(AND(ROUNDDOWN(L53,0)=0,ROUNDDOWN(M53,0)=0),"PASS","FAIL")</f>
        <v>PASS</v>
      </c>
      <c r="O53" s="636"/>
    </row>
    <row r="54" spans="1:15" ht="15">
      <c r="A54" s="88" t="s">
        <v>585</v>
      </c>
      <c r="B54" s="338">
        <v>0.12870000000000001</v>
      </c>
      <c r="C54" s="338">
        <v>0.1137</v>
      </c>
      <c r="D54"/>
      <c r="E54" s="88"/>
      <c r="F54" s="338"/>
      <c r="G54" s="338"/>
      <c r="H54" s="592"/>
      <c r="I54" s="641" t="s">
        <v>585</v>
      </c>
      <c r="J54" s="645">
        <v>3.9990299999999998E-3</v>
      </c>
      <c r="K54" s="645">
        <v>2.23171E-3</v>
      </c>
      <c r="L54" s="664">
        <f t="shared" si="8"/>
        <v>3.9990299999999998E-3</v>
      </c>
      <c r="M54" s="665">
        <f t="shared" si="9"/>
        <v>0.22317100000000001</v>
      </c>
      <c r="N54" s="610" t="str">
        <f t="shared" si="10"/>
        <v>PASS</v>
      </c>
      <c r="O54" s="636"/>
    </row>
    <row r="55" spans="1:15" ht="15">
      <c r="A55" s="88" t="s">
        <v>586</v>
      </c>
      <c r="B55" s="338">
        <v>6.8999999999999999E-3</v>
      </c>
      <c r="C55" s="338">
        <v>4.1000000000000003E-3</v>
      </c>
      <c r="D55"/>
      <c r="E55" s="88"/>
      <c r="F55" s="338"/>
      <c r="G55" s="338"/>
      <c r="H55" s="592"/>
      <c r="I55" s="641" t="s">
        <v>586</v>
      </c>
      <c r="J55" s="645">
        <v>4.6614900000000001E-2</v>
      </c>
      <c r="K55" s="645">
        <v>4.9436399999999998E-2</v>
      </c>
      <c r="L55" s="664">
        <f t="shared" si="8"/>
        <v>4.6614900000000001E-2</v>
      </c>
      <c r="M55" s="665">
        <f t="shared" si="9"/>
        <v>4.9436400000000003</v>
      </c>
      <c r="N55" s="610" t="str">
        <f t="shared" si="10"/>
        <v>FAIL</v>
      </c>
      <c r="O55" s="636"/>
    </row>
    <row r="56" spans="1:15" ht="15">
      <c r="A56" s="88" t="s">
        <v>587</v>
      </c>
      <c r="B56" s="338">
        <v>4.0000000000000001E-3</v>
      </c>
      <c r="C56" s="338">
        <v>2.2000000000000001E-3</v>
      </c>
      <c r="D56"/>
      <c r="E56" s="88"/>
      <c r="F56" s="338"/>
      <c r="G56" s="338"/>
      <c r="H56" s="592"/>
      <c r="I56" s="641" t="s">
        <v>587</v>
      </c>
      <c r="J56" s="641">
        <v>3.67323E-3</v>
      </c>
      <c r="K56" s="641">
        <v>9.4316400000000002E-4</v>
      </c>
      <c r="L56" s="664">
        <f t="shared" si="8"/>
        <v>3.67323E-3</v>
      </c>
      <c r="M56" s="665">
        <f t="shared" si="9"/>
        <v>9.4316400000000009E-2</v>
      </c>
      <c r="N56" s="610" t="str">
        <f t="shared" si="10"/>
        <v>PASS</v>
      </c>
      <c r="O56" s="636"/>
    </row>
    <row r="57" spans="1:15" ht="15">
      <c r="A57" s="88" t="s">
        <v>535</v>
      </c>
      <c r="B57" s="338">
        <v>4.5499999999999999E-2</v>
      </c>
      <c r="C57" s="338">
        <v>4.8599999999999997E-2</v>
      </c>
      <c r="D57"/>
      <c r="E57" s="88"/>
      <c r="F57" s="338"/>
      <c r="G57" s="338"/>
      <c r="H57" s="592"/>
      <c r="I57" s="641" t="s">
        <v>535</v>
      </c>
      <c r="J57" s="641">
        <v>5.2773100000000003E-2</v>
      </c>
      <c r="K57" s="641">
        <v>5.9744800000000001E-2</v>
      </c>
      <c r="L57" s="664">
        <f t="shared" si="8"/>
        <v>5.2773100000000003E-2</v>
      </c>
      <c r="M57" s="665">
        <f t="shared" si="9"/>
        <v>5.9744799999999998</v>
      </c>
      <c r="N57" s="610" t="str">
        <f t="shared" si="10"/>
        <v>FAIL</v>
      </c>
      <c r="O57" s="636"/>
    </row>
    <row r="58" spans="1:15" ht="15">
      <c r="A58" s="88" t="s">
        <v>588</v>
      </c>
      <c r="B58" s="338">
        <v>3.5999999999999999E-3</v>
      </c>
      <c r="C58" s="338">
        <v>8.9999999999999998E-4</v>
      </c>
      <c r="D58"/>
      <c r="E58" s="88"/>
      <c r="F58" s="338"/>
      <c r="G58" s="338"/>
      <c r="H58" s="592"/>
      <c r="I58" s="641" t="s">
        <v>588</v>
      </c>
      <c r="J58" s="664">
        <v>0.214561</v>
      </c>
      <c r="K58" s="664">
        <v>0.25393199999999999</v>
      </c>
      <c r="L58" s="664">
        <f t="shared" si="8"/>
        <v>0.214561</v>
      </c>
      <c r="M58" s="665">
        <f t="shared" si="9"/>
        <v>25.3932</v>
      </c>
      <c r="N58" s="610" t="str">
        <f t="shared" si="10"/>
        <v>FAIL</v>
      </c>
      <c r="O58" s="636"/>
    </row>
    <row r="59" spans="1:15" ht="15">
      <c r="A59" s="88" t="s">
        <v>589</v>
      </c>
      <c r="B59" s="338">
        <v>5.1900000000000002E-2</v>
      </c>
      <c r="C59" s="338">
        <v>5.8700000000000002E-2</v>
      </c>
      <c r="D59"/>
      <c r="E59" s="88"/>
      <c r="F59" s="338"/>
      <c r="G59" s="338"/>
      <c r="H59" s="592"/>
      <c r="I59" s="641" t="s">
        <v>589</v>
      </c>
      <c r="J59" s="664">
        <v>0.28030300000000002</v>
      </c>
      <c r="K59" s="664">
        <v>0.291684</v>
      </c>
      <c r="L59" s="664">
        <f t="shared" si="8"/>
        <v>0.28030300000000002</v>
      </c>
      <c r="M59" s="665">
        <f t="shared" si="9"/>
        <v>29.168399999999998</v>
      </c>
      <c r="N59" s="610" t="str">
        <f t="shared" si="10"/>
        <v>FAIL</v>
      </c>
      <c r="O59" s="636"/>
    </row>
    <row r="60" spans="1:15" ht="15">
      <c r="A60" s="88" t="s">
        <v>538</v>
      </c>
      <c r="B60" s="631">
        <v>0.21540000000000001</v>
      </c>
      <c r="C60" s="631">
        <v>0.25679999999999997</v>
      </c>
      <c r="D60"/>
      <c r="E60" s="88"/>
      <c r="F60" s="631"/>
      <c r="G60" s="631"/>
      <c r="H60" s="592"/>
      <c r="I60" s="641" t="s">
        <v>538</v>
      </c>
      <c r="J60" s="664">
        <v>0.80482100000000001</v>
      </c>
      <c r="K60" s="664">
        <v>0.78576199999999996</v>
      </c>
      <c r="L60" s="664">
        <f t="shared" si="8"/>
        <v>0.80482100000000001</v>
      </c>
      <c r="M60" s="665">
        <f t="shared" si="9"/>
        <v>78.5762</v>
      </c>
      <c r="N60" s="610" t="str">
        <f t="shared" si="10"/>
        <v>FAIL</v>
      </c>
      <c r="O60" s="636"/>
    </row>
    <row r="61" spans="1:15" ht="15">
      <c r="A61" s="88" t="s">
        <v>539</v>
      </c>
      <c r="B61" s="631">
        <v>0.78459999999999996</v>
      </c>
      <c r="C61" s="631">
        <v>0.74319999999999997</v>
      </c>
      <c r="D61"/>
      <c r="E61" s="88"/>
      <c r="F61" s="631"/>
      <c r="G61" s="631"/>
      <c r="H61" s="592"/>
      <c r="I61" s="641" t="s">
        <v>539</v>
      </c>
      <c r="J61" s="664">
        <v>0.200597</v>
      </c>
      <c r="K61" s="664">
        <v>0.21989700000000001</v>
      </c>
      <c r="L61" s="664">
        <f t="shared" si="8"/>
        <v>0.200597</v>
      </c>
      <c r="M61" s="665">
        <f t="shared" si="9"/>
        <v>21.989699999999999</v>
      </c>
      <c r="N61" s="610" t="str">
        <f t="shared" si="10"/>
        <v>FAIL</v>
      </c>
      <c r="O61" s="636"/>
    </row>
    <row r="62" spans="1:15" ht="15">
      <c r="A62" s="88" t="s">
        <v>590</v>
      </c>
      <c r="B62" s="631">
        <v>0.71319999999999995</v>
      </c>
      <c r="C62" s="631">
        <v>0.7036</v>
      </c>
      <c r="D62"/>
      <c r="E62" s="88"/>
      <c r="F62" s="631"/>
      <c r="G62" s="631"/>
      <c r="H62" s="592"/>
      <c r="I62" s="641" t="s">
        <v>590</v>
      </c>
      <c r="J62" s="664">
        <v>0.99474099999999999</v>
      </c>
      <c r="K62" s="664">
        <v>0.99454699999999996</v>
      </c>
      <c r="L62" s="664">
        <f t="shared" si="8"/>
        <v>0.99474099999999999</v>
      </c>
      <c r="M62" s="665">
        <f t="shared" si="9"/>
        <v>99.454700000000003</v>
      </c>
      <c r="N62" s="610" t="str">
        <f t="shared" si="10"/>
        <v>FAIL</v>
      </c>
      <c r="O62" s="636"/>
    </row>
    <row r="63" spans="1:15" ht="15">
      <c r="A63" s="88" t="s">
        <v>591</v>
      </c>
      <c r="B63" s="631">
        <v>0.2868</v>
      </c>
      <c r="C63" s="631">
        <v>0.2964</v>
      </c>
      <c r="D63"/>
      <c r="E63" s="88"/>
      <c r="F63" s="631"/>
      <c r="G63" s="631"/>
      <c r="H63" s="592"/>
      <c r="I63" s="641" t="s">
        <v>591</v>
      </c>
      <c r="J63" s="664">
        <v>5.2579999999999997E-3</v>
      </c>
      <c r="K63" s="664">
        <v>5.4520000000000002E-3</v>
      </c>
      <c r="L63" s="664">
        <f t="shared" si="8"/>
        <v>5.2579999999999997E-3</v>
      </c>
      <c r="M63" s="665">
        <f t="shared" si="9"/>
        <v>0.54520000000000002</v>
      </c>
      <c r="N63" s="610" t="str">
        <f t="shared" si="10"/>
        <v>PASS</v>
      </c>
      <c r="O63" s="636"/>
    </row>
    <row r="64" spans="1:15" ht="15" customHeight="1">
      <c r="A64" s="632" t="s">
        <v>592</v>
      </c>
      <c r="B64" s="88" t="s">
        <v>725</v>
      </c>
      <c r="C64" s="88"/>
      <c r="D64"/>
      <c r="E64" s="632"/>
      <c r="F64" s="88"/>
      <c r="G64" s="88"/>
      <c r="H64" s="592"/>
      <c r="I64" s="641" t="s">
        <v>592</v>
      </c>
      <c r="J64" s="664">
        <v>6.9999999999999999E-6</v>
      </c>
      <c r="K64" s="664">
        <v>0</v>
      </c>
      <c r="L64" s="662">
        <f t="shared" si="8"/>
        <v>6.9999999999999999E-6</v>
      </c>
      <c r="M64" s="665">
        <f t="shared" si="9"/>
        <v>0</v>
      </c>
      <c r="N64" s="610" t="str">
        <f t="shared" si="10"/>
        <v>PASS</v>
      </c>
      <c r="O64" s="636"/>
    </row>
    <row r="65" spans="1:15" ht="15">
      <c r="A65" s="88" t="s">
        <v>593</v>
      </c>
      <c r="B65" s="631">
        <v>0.99409999999999998</v>
      </c>
      <c r="C65" s="631">
        <v>0.99450000000000005</v>
      </c>
      <c r="D65"/>
      <c r="E65" s="88"/>
      <c r="F65" s="631"/>
      <c r="G65" s="631"/>
      <c r="H65" s="592"/>
      <c r="I65" s="641" t="s">
        <v>593</v>
      </c>
      <c r="J65" s="664">
        <v>2.0899999999999998E-3</v>
      </c>
      <c r="K65" s="664">
        <v>2.1380000000000001E-3</v>
      </c>
      <c r="L65" s="662">
        <f t="shared" si="8"/>
        <v>2.0899999999999998E-3</v>
      </c>
      <c r="M65" s="665">
        <f t="shared" si="9"/>
        <v>0.21380000000000002</v>
      </c>
      <c r="N65" s="610" t="str">
        <f t="shared" si="10"/>
        <v>PASS</v>
      </c>
      <c r="O65" s="636"/>
    </row>
    <row r="66" spans="1:15" ht="15">
      <c r="A66" s="88" t="s">
        <v>545</v>
      </c>
      <c r="B66" s="631">
        <v>5.8999999999999999E-3</v>
      </c>
      <c r="C66" s="631">
        <v>5.4999999999999997E-3</v>
      </c>
      <c r="D66"/>
      <c r="E66" s="88"/>
      <c r="F66" s="631"/>
      <c r="G66" s="631"/>
      <c r="H66" s="592"/>
      <c r="I66" s="641" t="s">
        <v>545</v>
      </c>
      <c r="J66" s="664">
        <v>0.248553</v>
      </c>
      <c r="K66" s="664">
        <v>0.25256200000000001</v>
      </c>
      <c r="L66" s="662">
        <f t="shared" si="8"/>
        <v>0.248553</v>
      </c>
      <c r="M66" s="665">
        <f t="shared" si="9"/>
        <v>25.2562</v>
      </c>
      <c r="N66" s="610" t="str">
        <f t="shared" si="10"/>
        <v>FAIL</v>
      </c>
      <c r="O66" s="636"/>
    </row>
    <row r="67" spans="1:15" ht="15">
      <c r="A67" s="88" t="s">
        <v>543</v>
      </c>
      <c r="B67" s="631">
        <v>6.9999999999999999E-4</v>
      </c>
      <c r="C67" s="631">
        <v>0</v>
      </c>
      <c r="D67"/>
      <c r="E67" s="88"/>
      <c r="F67" s="631"/>
      <c r="G67" s="631"/>
      <c r="H67" s="592"/>
      <c r="I67" s="641"/>
      <c r="J67" s="664"/>
      <c r="K67" s="664"/>
      <c r="L67" s="664">
        <f t="shared" si="8"/>
        <v>0</v>
      </c>
      <c r="M67" s="665">
        <f t="shared" si="9"/>
        <v>0</v>
      </c>
      <c r="N67" s="610" t="str">
        <f t="shared" si="10"/>
        <v>PASS</v>
      </c>
      <c r="O67" s="636"/>
    </row>
    <row r="68" spans="1:15" ht="15">
      <c r="A68" s="88" t="s">
        <v>544</v>
      </c>
      <c r="B68" s="338">
        <v>0.3553</v>
      </c>
      <c r="C68" s="338">
        <v>0.37859999999999999</v>
      </c>
      <c r="D68"/>
      <c r="E68" s="88"/>
      <c r="F68" s="338"/>
      <c r="G68" s="338"/>
      <c r="H68" s="592"/>
      <c r="I68" s="641"/>
      <c r="J68" s="664"/>
      <c r="K68" s="664"/>
      <c r="L68" s="662">
        <f t="shared" si="8"/>
        <v>0</v>
      </c>
      <c r="M68" s="665">
        <f t="shared" si="9"/>
        <v>0</v>
      </c>
      <c r="N68" s="610" t="str">
        <f t="shared" si="10"/>
        <v>PASS</v>
      </c>
      <c r="O68" s="636"/>
    </row>
    <row r="69" spans="1:15" ht="15">
      <c r="A69" s="88" t="s">
        <v>545</v>
      </c>
      <c r="B69" s="338">
        <v>0.24360000000000001</v>
      </c>
      <c r="C69" s="338">
        <v>0.24840000000000001</v>
      </c>
      <c r="D69"/>
      <c r="E69" s="88"/>
      <c r="F69" s="338"/>
      <c r="G69" s="338"/>
      <c r="H69" s="592"/>
      <c r="I69" s="641"/>
      <c r="J69" s="664"/>
      <c r="K69" s="664"/>
      <c r="L69" s="662">
        <f t="shared" si="8"/>
        <v>0</v>
      </c>
      <c r="M69" s="665">
        <f t="shared" si="9"/>
        <v>0</v>
      </c>
      <c r="N69" s="610" t="str">
        <f t="shared" si="10"/>
        <v>PASS</v>
      </c>
      <c r="O69" s="636"/>
    </row>
    <row r="70" spans="1:15">
      <c r="B70" s="636"/>
      <c r="C70" s="636"/>
      <c r="D70" s="636"/>
      <c r="E70" s="636"/>
      <c r="F70" s="636"/>
      <c r="G70" s="636"/>
      <c r="H70" s="636"/>
      <c r="I70" s="636"/>
      <c r="J70" s="636"/>
      <c r="K70" s="636"/>
      <c r="L70" s="636"/>
      <c r="M70" s="636"/>
      <c r="N70" s="636"/>
      <c r="O70" s="636"/>
    </row>
    <row r="71" spans="1:15">
      <c r="A71" s="758" t="s">
        <v>564</v>
      </c>
      <c r="B71" s="758"/>
      <c r="C71" s="758"/>
      <c r="D71" s="758"/>
      <c r="E71" s="758"/>
      <c r="F71" s="758"/>
      <c r="G71" s="758"/>
      <c r="H71" s="758"/>
      <c r="I71" s="758"/>
      <c r="J71" s="758"/>
      <c r="K71" s="758"/>
      <c r="L71" s="758"/>
      <c r="M71" s="758"/>
      <c r="N71" s="758"/>
      <c r="O71" s="636"/>
    </row>
    <row r="72" spans="1:15">
      <c r="B72" s="636"/>
      <c r="C72" s="636"/>
      <c r="D72" s="636"/>
      <c r="E72" s="636"/>
      <c r="F72" s="636"/>
      <c r="G72" s="636"/>
      <c r="H72" s="636"/>
      <c r="I72" s="636"/>
      <c r="J72" s="636"/>
      <c r="K72" s="636"/>
      <c r="L72" s="636"/>
      <c r="M72" s="636"/>
      <c r="N72" s="636"/>
      <c r="O72" s="636"/>
    </row>
    <row r="73" spans="1:15">
      <c r="A73" s="724" t="s">
        <v>399</v>
      </c>
      <c r="B73" s="725"/>
      <c r="C73" s="725"/>
      <c r="D73" s="725"/>
      <c r="E73" s="636"/>
      <c r="F73" s="636"/>
      <c r="G73" s="636"/>
      <c r="H73" s="636"/>
      <c r="I73" s="724" t="s">
        <v>399</v>
      </c>
      <c r="J73" s="725"/>
      <c r="K73" s="725"/>
      <c r="L73" s="725"/>
    </row>
    <row r="74" spans="1:15" ht="25.5">
      <c r="A74" s="219"/>
      <c r="B74" s="219" t="s">
        <v>23</v>
      </c>
      <c r="C74" s="219" t="s">
        <v>22</v>
      </c>
      <c r="D74" s="332" t="s">
        <v>29</v>
      </c>
      <c r="E74" s="636"/>
      <c r="F74" s="636"/>
      <c r="G74" s="636"/>
      <c r="H74" s="636"/>
      <c r="I74" s="219"/>
      <c r="J74" s="219" t="s">
        <v>23</v>
      </c>
      <c r="K74" s="219" t="s">
        <v>22</v>
      </c>
      <c r="L74" s="219" t="s">
        <v>29</v>
      </c>
    </row>
    <row r="75" spans="1:15">
      <c r="A75" s="619" t="s">
        <v>497</v>
      </c>
      <c r="B75" s="628">
        <f t="shared" ref="B75:B88" si="11">B5-F5</f>
        <v>7468</v>
      </c>
      <c r="C75" s="628">
        <f t="shared" ref="C75:C88" si="12">C5-G5</f>
        <v>6766</v>
      </c>
      <c r="D75" s="610" t="str">
        <f>IF(AND(ROUNDDOWN(B75,0)=0,ROUNDDOWN(C75,0)=0),"PASS","FAIL")</f>
        <v>FAIL</v>
      </c>
      <c r="E75" s="636"/>
      <c r="F75" s="636"/>
      <c r="G75" s="636"/>
      <c r="H75" s="636"/>
      <c r="I75" s="641" t="s">
        <v>497</v>
      </c>
      <c r="J75" s="628">
        <f t="shared" ref="J75:J112" si="13">B32-F32</f>
        <v>7468</v>
      </c>
      <c r="K75" s="628">
        <f t="shared" ref="K75:K112" si="14">C32-G32</f>
        <v>6766</v>
      </c>
      <c r="L75" s="610" t="str">
        <f t="shared" ref="L75:L112" si="15">IF(AND(ROUNDDOWN(J75,0)=0,ROUNDDOWN(K75,0)=0),"PASS","FAIL")</f>
        <v>FAIL</v>
      </c>
    </row>
    <row r="76" spans="1:15">
      <c r="A76" s="619" t="s">
        <v>496</v>
      </c>
      <c r="B76" s="628">
        <f t="shared" si="11"/>
        <v>14638</v>
      </c>
      <c r="C76" s="628">
        <f t="shared" si="12"/>
        <v>13256</v>
      </c>
      <c r="D76" s="610" t="str">
        <f t="shared" ref="D76:D95" si="16">IF(AND(ROUNDDOWN(B76,0)=0,ROUNDDOWN(C76,0)=0),"PASS","FAIL")</f>
        <v>FAIL</v>
      </c>
      <c r="E76" s="636"/>
      <c r="F76" s="636"/>
      <c r="G76" s="636"/>
      <c r="H76" s="636"/>
      <c r="I76" s="641" t="s">
        <v>496</v>
      </c>
      <c r="J76" s="628">
        <f t="shared" si="13"/>
        <v>14638</v>
      </c>
      <c r="K76" s="628">
        <f t="shared" si="14"/>
        <v>13256</v>
      </c>
      <c r="L76" s="610" t="str">
        <f t="shared" si="15"/>
        <v>FAIL</v>
      </c>
    </row>
    <row r="77" spans="1:15">
      <c r="A77" s="619" t="s">
        <v>494</v>
      </c>
      <c r="B77" s="628">
        <f t="shared" si="11"/>
        <v>38.25</v>
      </c>
      <c r="C77" s="628">
        <f t="shared" si="12"/>
        <v>39.119999999999997</v>
      </c>
      <c r="D77" s="610" t="str">
        <f t="shared" si="16"/>
        <v>FAIL</v>
      </c>
      <c r="E77" s="636"/>
      <c r="F77" s="636"/>
      <c r="G77" s="636"/>
      <c r="H77" s="636"/>
      <c r="I77" s="641" t="s">
        <v>495</v>
      </c>
      <c r="J77" s="628">
        <f t="shared" si="13"/>
        <v>38.25</v>
      </c>
      <c r="K77" s="628">
        <f t="shared" si="14"/>
        <v>39.119999999999997</v>
      </c>
      <c r="L77" s="610" t="str">
        <f t="shared" si="15"/>
        <v>FAIL</v>
      </c>
    </row>
    <row r="78" spans="1:15">
      <c r="A78" s="619" t="s">
        <v>493</v>
      </c>
      <c r="B78" s="628">
        <f t="shared" si="11"/>
        <v>1.96</v>
      </c>
      <c r="C78" s="628">
        <f t="shared" si="12"/>
        <v>1.96</v>
      </c>
      <c r="D78" s="610" t="str">
        <f t="shared" si="16"/>
        <v>FAIL</v>
      </c>
      <c r="E78" s="636"/>
      <c r="F78" s="636"/>
      <c r="G78" s="636"/>
      <c r="H78" s="636"/>
      <c r="I78" s="641" t="s">
        <v>493</v>
      </c>
      <c r="J78" s="628">
        <f t="shared" si="13"/>
        <v>1.96</v>
      </c>
      <c r="K78" s="628">
        <f t="shared" si="14"/>
        <v>1.96</v>
      </c>
      <c r="L78" s="610" t="str">
        <f t="shared" si="15"/>
        <v>FAIL</v>
      </c>
    </row>
    <row r="79" spans="1:15">
      <c r="A79" s="619" t="s">
        <v>492</v>
      </c>
      <c r="B79" s="628">
        <f t="shared" si="11"/>
        <v>0.56000000000000005</v>
      </c>
      <c r="C79" s="628">
        <f t="shared" si="12"/>
        <v>0.55910000000000004</v>
      </c>
      <c r="D79" s="610" t="str">
        <f t="shared" si="16"/>
        <v>PASS</v>
      </c>
      <c r="E79" s="636"/>
      <c r="F79" s="636"/>
      <c r="G79" s="636"/>
      <c r="H79" s="636"/>
      <c r="I79" s="641" t="s">
        <v>492</v>
      </c>
      <c r="J79" s="628">
        <f t="shared" si="13"/>
        <v>0.56000000000000005</v>
      </c>
      <c r="K79" s="628">
        <f t="shared" si="14"/>
        <v>0.55910000000000004</v>
      </c>
      <c r="L79" s="610" t="str">
        <f t="shared" si="15"/>
        <v>PASS</v>
      </c>
    </row>
    <row r="80" spans="1:15">
      <c r="A80" s="619" t="s">
        <v>491</v>
      </c>
      <c r="B80" s="628">
        <f t="shared" si="11"/>
        <v>12736</v>
      </c>
      <c r="C80" s="628">
        <f t="shared" si="12"/>
        <v>12998</v>
      </c>
      <c r="D80" s="610" t="str">
        <f t="shared" si="16"/>
        <v>FAIL</v>
      </c>
      <c r="E80" s="636"/>
      <c r="F80" s="636"/>
      <c r="G80" s="636"/>
      <c r="H80" s="636"/>
      <c r="I80" s="641" t="s">
        <v>491</v>
      </c>
      <c r="J80" s="628">
        <f t="shared" si="13"/>
        <v>10988</v>
      </c>
      <c r="K80" s="628">
        <f t="shared" si="14"/>
        <v>10951</v>
      </c>
      <c r="L80" s="610" t="str">
        <f t="shared" si="15"/>
        <v>FAIL</v>
      </c>
    </row>
    <row r="81" spans="1:12">
      <c r="A81" s="619" t="s">
        <v>490</v>
      </c>
      <c r="B81" s="628">
        <f t="shared" si="11"/>
        <v>169139</v>
      </c>
      <c r="C81" s="628">
        <f t="shared" si="12"/>
        <v>184769</v>
      </c>
      <c r="D81" s="610" t="str">
        <f t="shared" si="16"/>
        <v>FAIL</v>
      </c>
      <c r="E81" s="636"/>
      <c r="F81" s="636"/>
      <c r="G81" s="636"/>
      <c r="H81" s="636"/>
      <c r="I81" s="641" t="s">
        <v>516</v>
      </c>
      <c r="J81" s="628">
        <f t="shared" si="13"/>
        <v>146550</v>
      </c>
      <c r="K81" s="628">
        <f t="shared" si="14"/>
        <v>153156</v>
      </c>
      <c r="L81" s="610" t="str">
        <f t="shared" si="15"/>
        <v>FAIL</v>
      </c>
    </row>
    <row r="82" spans="1:12">
      <c r="A82" s="619" t="s">
        <v>488</v>
      </c>
      <c r="B82" s="628">
        <f t="shared" si="11"/>
        <v>41059.94</v>
      </c>
      <c r="C82" s="628">
        <f t="shared" si="12"/>
        <v>40283.53</v>
      </c>
      <c r="D82" s="610" t="str">
        <f t="shared" si="16"/>
        <v>FAIL</v>
      </c>
      <c r="E82" s="636"/>
      <c r="F82" s="636"/>
      <c r="G82" s="636"/>
      <c r="H82" s="636"/>
      <c r="I82" s="641" t="s">
        <v>517</v>
      </c>
      <c r="J82" s="628">
        <f t="shared" si="13"/>
        <v>16017.78</v>
      </c>
      <c r="K82" s="628">
        <f t="shared" si="14"/>
        <v>15130.98</v>
      </c>
      <c r="L82" s="610" t="str">
        <f t="shared" si="15"/>
        <v>FAIL</v>
      </c>
    </row>
    <row r="83" spans="1:12">
      <c r="A83" s="619" t="s">
        <v>487</v>
      </c>
      <c r="B83" s="628">
        <f t="shared" si="11"/>
        <v>11.55</v>
      </c>
      <c r="C83" s="628">
        <f t="shared" si="12"/>
        <v>13.94</v>
      </c>
      <c r="D83" s="610" t="str">
        <f t="shared" si="16"/>
        <v>FAIL</v>
      </c>
      <c r="E83" s="636"/>
      <c r="F83" s="636"/>
      <c r="G83" s="636"/>
      <c r="H83" s="636"/>
      <c r="I83" s="641" t="s">
        <v>484</v>
      </c>
      <c r="J83" s="628">
        <f t="shared" si="13"/>
        <v>0.75060000000000004</v>
      </c>
      <c r="K83" s="628">
        <f t="shared" si="14"/>
        <v>0.82609999999999995</v>
      </c>
      <c r="L83" s="610" t="str">
        <f t="shared" si="15"/>
        <v>PASS</v>
      </c>
    </row>
    <row r="84" spans="1:12">
      <c r="A84" s="619" t="s">
        <v>485</v>
      </c>
      <c r="B84" s="628">
        <f t="shared" si="11"/>
        <v>29.24</v>
      </c>
      <c r="C84" s="628">
        <f t="shared" si="12"/>
        <v>34.08</v>
      </c>
      <c r="D84" s="610" t="str">
        <f t="shared" si="16"/>
        <v>FAIL</v>
      </c>
      <c r="E84" s="636"/>
      <c r="F84" s="636"/>
      <c r="G84" s="636"/>
      <c r="H84" s="636"/>
      <c r="I84" s="641" t="s">
        <v>518</v>
      </c>
      <c r="J84" s="628">
        <f t="shared" si="13"/>
        <v>109.3</v>
      </c>
      <c r="K84" s="628">
        <f t="shared" si="14"/>
        <v>98.79</v>
      </c>
      <c r="L84" s="610" t="str">
        <f t="shared" si="15"/>
        <v>FAIL</v>
      </c>
    </row>
    <row r="85" spans="1:12">
      <c r="A85" s="619" t="s">
        <v>484</v>
      </c>
      <c r="B85" s="628">
        <f t="shared" si="11"/>
        <v>0.87009999999999998</v>
      </c>
      <c r="C85" s="628">
        <f t="shared" si="12"/>
        <v>0.98050000000000004</v>
      </c>
      <c r="D85" s="610" t="str">
        <f t="shared" si="16"/>
        <v>PASS</v>
      </c>
      <c r="E85" s="636"/>
      <c r="F85" s="636"/>
      <c r="G85" s="636"/>
      <c r="H85" s="636"/>
      <c r="I85" s="641" t="s">
        <v>519</v>
      </c>
      <c r="J85" s="628">
        <f t="shared" si="13"/>
        <v>13.34</v>
      </c>
      <c r="K85" s="628">
        <f t="shared" si="14"/>
        <v>13.99</v>
      </c>
      <c r="L85" s="610" t="str">
        <f t="shared" si="15"/>
        <v>FAIL</v>
      </c>
    </row>
    <row r="86" spans="1:12">
      <c r="A86" s="619" t="s">
        <v>483</v>
      </c>
      <c r="B86" s="628">
        <f t="shared" si="11"/>
        <v>35.090000000000003</v>
      </c>
      <c r="C86" s="628">
        <f t="shared" si="12"/>
        <v>35.83</v>
      </c>
      <c r="D86" s="610" t="str">
        <f t="shared" si="16"/>
        <v>FAIL</v>
      </c>
      <c r="E86" s="636"/>
      <c r="F86" s="636"/>
      <c r="G86" s="636"/>
      <c r="H86" s="636"/>
      <c r="I86" s="641" t="s">
        <v>520</v>
      </c>
      <c r="J86" s="628">
        <f t="shared" si="13"/>
        <v>10.01</v>
      </c>
      <c r="K86" s="628">
        <f t="shared" si="14"/>
        <v>11.55</v>
      </c>
      <c r="L86" s="610" t="str">
        <f t="shared" si="15"/>
        <v>FAIL</v>
      </c>
    </row>
    <row r="87" spans="1:12">
      <c r="A87" s="619" t="s">
        <v>481</v>
      </c>
      <c r="B87" s="628">
        <f t="shared" si="11"/>
        <v>12257.71</v>
      </c>
      <c r="C87" s="628">
        <f t="shared" si="12"/>
        <v>13774.85</v>
      </c>
      <c r="D87" s="610" t="str">
        <f t="shared" si="16"/>
        <v>FAIL</v>
      </c>
      <c r="I87" s="641" t="s">
        <v>521</v>
      </c>
      <c r="J87" s="628" t="e">
        <f t="shared" si="13"/>
        <v>#VALUE!</v>
      </c>
      <c r="K87" s="628">
        <f t="shared" si="14"/>
        <v>0</v>
      </c>
      <c r="L87" s="610" t="e">
        <f t="shared" si="15"/>
        <v>#VALUE!</v>
      </c>
    </row>
    <row r="88" spans="1:12">
      <c r="A88" s="619" t="s">
        <v>480</v>
      </c>
      <c r="B88" s="628">
        <f t="shared" si="11"/>
        <v>27522.83</v>
      </c>
      <c r="C88" s="628">
        <f t="shared" si="12"/>
        <v>29742.57</v>
      </c>
      <c r="D88" s="610" t="str">
        <f t="shared" si="16"/>
        <v>FAIL</v>
      </c>
      <c r="I88" s="641" t="s">
        <v>517</v>
      </c>
      <c r="J88" s="628">
        <f t="shared" si="13"/>
        <v>16017.78</v>
      </c>
      <c r="K88" s="628">
        <f t="shared" si="14"/>
        <v>15130.98</v>
      </c>
      <c r="L88" s="610" t="str">
        <f t="shared" si="15"/>
        <v>FAIL</v>
      </c>
    </row>
    <row r="89" spans="1:12">
      <c r="A89" s="619" t="s">
        <v>479</v>
      </c>
      <c r="B89" s="628">
        <f t="shared" ref="B89:B95" si="17">B20-F20</f>
        <v>184.87</v>
      </c>
      <c r="C89" s="628">
        <f t="shared" ref="C89:C95" si="18">C20-G20</f>
        <v>186.23</v>
      </c>
      <c r="D89" s="610" t="str">
        <f t="shared" si="16"/>
        <v>FAIL</v>
      </c>
      <c r="I89" s="641" t="s">
        <v>522</v>
      </c>
      <c r="J89" s="628">
        <f t="shared" si="13"/>
        <v>977.07</v>
      </c>
      <c r="K89" s="628">
        <f t="shared" si="14"/>
        <v>1044.8399999999999</v>
      </c>
      <c r="L89" s="610" t="str">
        <f t="shared" si="15"/>
        <v>FAIL</v>
      </c>
    </row>
    <row r="90" spans="1:12">
      <c r="A90" s="619" t="s">
        <v>478</v>
      </c>
      <c r="B90" s="628">
        <f t="shared" si="17"/>
        <v>242.76</v>
      </c>
      <c r="C90" s="628">
        <f t="shared" si="18"/>
        <v>218.02</v>
      </c>
      <c r="D90" s="610" t="str">
        <f t="shared" si="16"/>
        <v>FAIL</v>
      </c>
      <c r="I90" s="641" t="s">
        <v>523</v>
      </c>
      <c r="J90" s="628">
        <f t="shared" si="13"/>
        <v>0</v>
      </c>
      <c r="K90" s="628">
        <f t="shared" si="14"/>
        <v>0</v>
      </c>
      <c r="L90" s="610" t="str">
        <f t="shared" si="15"/>
        <v>PASS</v>
      </c>
    </row>
    <row r="91" spans="1:12">
      <c r="A91" s="619" t="s">
        <v>477</v>
      </c>
      <c r="B91" s="628">
        <f t="shared" si="17"/>
        <v>3223.93</v>
      </c>
      <c r="C91" s="628">
        <f t="shared" si="18"/>
        <v>3099.21</v>
      </c>
      <c r="D91" s="610" t="str">
        <f t="shared" si="16"/>
        <v>FAIL</v>
      </c>
      <c r="I91" s="641" t="s">
        <v>524</v>
      </c>
      <c r="J91" s="628">
        <f t="shared" si="13"/>
        <v>0</v>
      </c>
      <c r="K91" s="628">
        <f t="shared" si="14"/>
        <v>0</v>
      </c>
      <c r="L91" s="610" t="str">
        <f t="shared" si="15"/>
        <v>PASS</v>
      </c>
    </row>
    <row r="92" spans="1:12">
      <c r="A92" s="619" t="s">
        <v>475</v>
      </c>
      <c r="B92" s="628">
        <f t="shared" si="17"/>
        <v>33.6</v>
      </c>
      <c r="C92" s="628">
        <f t="shared" si="18"/>
        <v>34.76</v>
      </c>
      <c r="D92" s="610" t="str">
        <f t="shared" si="16"/>
        <v>FAIL</v>
      </c>
      <c r="I92" s="641" t="s">
        <v>525</v>
      </c>
      <c r="J92" s="628">
        <f t="shared" si="13"/>
        <v>16994.849999999999</v>
      </c>
      <c r="K92" s="628">
        <f t="shared" si="14"/>
        <v>16175.83</v>
      </c>
      <c r="L92" s="610" t="str">
        <f t="shared" si="15"/>
        <v>FAIL</v>
      </c>
    </row>
    <row r="93" spans="1:12">
      <c r="A93" s="619" t="s">
        <v>473</v>
      </c>
      <c r="B93" s="628">
        <f t="shared" si="17"/>
        <v>0.99729999999999996</v>
      </c>
      <c r="C93" s="628">
        <f t="shared" si="18"/>
        <v>1.0053000000000001</v>
      </c>
      <c r="D93" s="610" t="str">
        <f t="shared" si="16"/>
        <v>FAIL</v>
      </c>
      <c r="I93" s="641" t="s">
        <v>526</v>
      </c>
      <c r="J93" s="628">
        <f t="shared" si="13"/>
        <v>5.7500000000000002E-2</v>
      </c>
      <c r="K93" s="628">
        <f t="shared" si="14"/>
        <v>6.4600000000000005E-2</v>
      </c>
      <c r="L93" s="610" t="str">
        <f t="shared" si="15"/>
        <v>PASS</v>
      </c>
    </row>
    <row r="94" spans="1:12">
      <c r="A94" s="646" t="s">
        <v>472</v>
      </c>
      <c r="B94" s="628">
        <f t="shared" si="17"/>
        <v>0.93559999999999999</v>
      </c>
      <c r="C94" s="628">
        <f t="shared" si="18"/>
        <v>0.9506</v>
      </c>
      <c r="D94" s="610" t="str">
        <f t="shared" si="16"/>
        <v>PASS</v>
      </c>
      <c r="I94" s="641" t="s">
        <v>527</v>
      </c>
      <c r="J94" s="628">
        <f t="shared" si="13"/>
        <v>0.9425</v>
      </c>
      <c r="K94" s="628">
        <f t="shared" si="14"/>
        <v>0.93540000000000001</v>
      </c>
      <c r="L94" s="610" t="str">
        <f t="shared" si="15"/>
        <v>PASS</v>
      </c>
    </row>
    <row r="95" spans="1:12">
      <c r="A95" s="646" t="s">
        <v>471</v>
      </c>
      <c r="B95" s="628">
        <f t="shared" si="17"/>
        <v>0.96919999999999995</v>
      </c>
      <c r="C95" s="628">
        <f t="shared" si="18"/>
        <v>0.97919999999999996</v>
      </c>
      <c r="D95" s="610" t="str">
        <f t="shared" si="16"/>
        <v>PASS</v>
      </c>
      <c r="I95" s="641" t="s">
        <v>528</v>
      </c>
      <c r="J95" s="628" t="e">
        <f t="shared" si="13"/>
        <v>#VALUE!</v>
      </c>
      <c r="K95" s="628">
        <f t="shared" si="14"/>
        <v>0</v>
      </c>
      <c r="L95" s="610" t="e">
        <f t="shared" si="15"/>
        <v>#VALUE!</v>
      </c>
    </row>
    <row r="96" spans="1:12">
      <c r="I96" s="641" t="s">
        <v>529</v>
      </c>
      <c r="J96" s="628">
        <f t="shared" si="13"/>
        <v>0.75939999999999996</v>
      </c>
      <c r="K96" s="628">
        <f t="shared" si="14"/>
        <v>0.77180000000000004</v>
      </c>
      <c r="L96" s="610" t="str">
        <f t="shared" si="15"/>
        <v>PASS</v>
      </c>
    </row>
    <row r="97" spans="9:12">
      <c r="I97" s="641" t="s">
        <v>530</v>
      </c>
      <c r="J97" s="628">
        <f t="shared" si="13"/>
        <v>0.12870000000000001</v>
      </c>
      <c r="K97" s="628">
        <f t="shared" si="14"/>
        <v>0.1137</v>
      </c>
      <c r="L97" s="610" t="str">
        <f t="shared" si="15"/>
        <v>PASS</v>
      </c>
    </row>
    <row r="98" spans="9:12">
      <c r="I98" s="641" t="s">
        <v>531</v>
      </c>
      <c r="J98" s="628">
        <f t="shared" si="13"/>
        <v>6.8999999999999999E-3</v>
      </c>
      <c r="K98" s="628">
        <f t="shared" si="14"/>
        <v>4.1000000000000003E-3</v>
      </c>
      <c r="L98" s="610" t="str">
        <f t="shared" si="15"/>
        <v>PASS</v>
      </c>
    </row>
    <row r="99" spans="9:12">
      <c r="I99" s="641" t="s">
        <v>532</v>
      </c>
      <c r="J99" s="628">
        <f t="shared" si="13"/>
        <v>4.0000000000000001E-3</v>
      </c>
      <c r="K99" s="628">
        <f t="shared" si="14"/>
        <v>2.2000000000000001E-3</v>
      </c>
      <c r="L99" s="610" t="str">
        <f t="shared" si="15"/>
        <v>PASS</v>
      </c>
    </row>
    <row r="100" spans="9:12">
      <c r="I100" s="641" t="s">
        <v>533</v>
      </c>
      <c r="J100" s="628">
        <f t="shared" si="13"/>
        <v>4.5499999999999999E-2</v>
      </c>
      <c r="K100" s="628">
        <f t="shared" si="14"/>
        <v>4.8599999999999997E-2</v>
      </c>
      <c r="L100" s="610" t="str">
        <f t="shared" si="15"/>
        <v>PASS</v>
      </c>
    </row>
    <row r="101" spans="9:12">
      <c r="I101" s="641" t="s">
        <v>534</v>
      </c>
      <c r="J101" s="628">
        <f t="shared" si="13"/>
        <v>3.5999999999999999E-3</v>
      </c>
      <c r="K101" s="628">
        <f t="shared" si="14"/>
        <v>8.9999999999999998E-4</v>
      </c>
      <c r="L101" s="610" t="str">
        <f t="shared" si="15"/>
        <v>PASS</v>
      </c>
    </row>
    <row r="102" spans="9:12">
      <c r="I102" s="641" t="s">
        <v>535</v>
      </c>
      <c r="J102" s="628">
        <f t="shared" si="13"/>
        <v>5.1900000000000002E-2</v>
      </c>
      <c r="K102" s="628">
        <f t="shared" si="14"/>
        <v>5.8700000000000002E-2</v>
      </c>
      <c r="L102" s="610" t="str">
        <f t="shared" si="15"/>
        <v>PASS</v>
      </c>
    </row>
    <row r="103" spans="9:12">
      <c r="I103" s="641" t="s">
        <v>536</v>
      </c>
      <c r="J103" s="628">
        <f t="shared" si="13"/>
        <v>0.21540000000000001</v>
      </c>
      <c r="K103" s="628">
        <f t="shared" si="14"/>
        <v>0.25679999999999997</v>
      </c>
      <c r="L103" s="610" t="str">
        <f t="shared" si="15"/>
        <v>PASS</v>
      </c>
    </row>
    <row r="104" spans="9:12">
      <c r="I104" s="641" t="s">
        <v>537</v>
      </c>
      <c r="J104" s="628">
        <f t="shared" si="13"/>
        <v>0.78459999999999996</v>
      </c>
      <c r="K104" s="628">
        <f t="shared" si="14"/>
        <v>0.74319999999999997</v>
      </c>
      <c r="L104" s="610" t="str">
        <f t="shared" si="15"/>
        <v>PASS</v>
      </c>
    </row>
    <row r="105" spans="9:12">
      <c r="I105" s="641" t="s">
        <v>538</v>
      </c>
      <c r="J105" s="628">
        <f t="shared" si="13"/>
        <v>0.71319999999999995</v>
      </c>
      <c r="K105" s="628">
        <f t="shared" si="14"/>
        <v>0.7036</v>
      </c>
      <c r="L105" s="610" t="str">
        <f t="shared" si="15"/>
        <v>PASS</v>
      </c>
    </row>
    <row r="106" spans="9:12">
      <c r="I106" s="641" t="s">
        <v>539</v>
      </c>
      <c r="J106" s="628">
        <f t="shared" si="13"/>
        <v>0.2868</v>
      </c>
      <c r="K106" s="628">
        <f t="shared" si="14"/>
        <v>0.2964</v>
      </c>
      <c r="L106" s="610" t="str">
        <f t="shared" si="15"/>
        <v>PASS</v>
      </c>
    </row>
    <row r="107" spans="9:12">
      <c r="I107" s="641" t="s">
        <v>540</v>
      </c>
      <c r="J107" s="628" t="e">
        <f t="shared" si="13"/>
        <v>#VALUE!</v>
      </c>
      <c r="K107" s="628">
        <f t="shared" si="14"/>
        <v>0</v>
      </c>
      <c r="L107" s="610" t="e">
        <f t="shared" si="15"/>
        <v>#VALUE!</v>
      </c>
    </row>
    <row r="108" spans="9:12">
      <c r="I108" s="641" t="s">
        <v>541</v>
      </c>
      <c r="J108" s="628">
        <f t="shared" si="13"/>
        <v>0.99409999999999998</v>
      </c>
      <c r="K108" s="628">
        <f t="shared" si="14"/>
        <v>0.99450000000000005</v>
      </c>
      <c r="L108" s="610" t="str">
        <f t="shared" si="15"/>
        <v>PASS</v>
      </c>
    </row>
    <row r="109" spans="9:12">
      <c r="I109" s="641" t="s">
        <v>542</v>
      </c>
      <c r="J109" s="628">
        <f t="shared" si="13"/>
        <v>5.8999999999999999E-3</v>
      </c>
      <c r="K109" s="628">
        <f t="shared" si="14"/>
        <v>5.4999999999999997E-3</v>
      </c>
      <c r="L109" s="610" t="str">
        <f t="shared" si="15"/>
        <v>PASS</v>
      </c>
    </row>
    <row r="110" spans="9:12">
      <c r="I110" s="641" t="s">
        <v>543</v>
      </c>
      <c r="J110" s="628">
        <f t="shared" si="13"/>
        <v>6.9999999999999999E-4</v>
      </c>
      <c r="K110" s="628">
        <f t="shared" si="14"/>
        <v>0</v>
      </c>
      <c r="L110" s="610" t="str">
        <f t="shared" si="15"/>
        <v>PASS</v>
      </c>
    </row>
    <row r="111" spans="9:12">
      <c r="I111" s="641" t="s">
        <v>544</v>
      </c>
      <c r="J111" s="628">
        <f t="shared" si="13"/>
        <v>0.3553</v>
      </c>
      <c r="K111" s="628">
        <f t="shared" si="14"/>
        <v>0.37859999999999999</v>
      </c>
      <c r="L111" s="610" t="str">
        <f t="shared" si="15"/>
        <v>PASS</v>
      </c>
    </row>
    <row r="112" spans="9:12">
      <c r="I112" s="641" t="s">
        <v>545</v>
      </c>
      <c r="J112" s="628">
        <f t="shared" si="13"/>
        <v>0.24360000000000001</v>
      </c>
      <c r="K112" s="628">
        <f t="shared" si="14"/>
        <v>0.24840000000000001</v>
      </c>
      <c r="L112" s="610" t="str">
        <f t="shared" si="15"/>
        <v>PASS</v>
      </c>
    </row>
  </sheetData>
  <mergeCells count="11">
    <mergeCell ref="I3:N3"/>
    <mergeCell ref="A71:N71"/>
    <mergeCell ref="I73:L73"/>
    <mergeCell ref="A73:D73"/>
    <mergeCell ref="A1:N1"/>
    <mergeCell ref="A3:C3"/>
    <mergeCell ref="E3:G3"/>
    <mergeCell ref="A30:C30"/>
    <mergeCell ref="E30:G30"/>
    <mergeCell ref="A28:N28"/>
    <mergeCell ref="I30:N30"/>
  </mergeCells>
  <conditionalFormatting sqref="N5:N26 N45:N51 N53:N69 N32:N43 D75:D95 L75:L112">
    <cfRule type="containsText" dxfId="419" priority="9" operator="containsText" text="FAIL">
      <formula>NOT(ISERROR(SEARCH("FAIL",D5)))</formula>
    </cfRule>
    <cfRule type="containsText" dxfId="418" priority="10" operator="containsText" text="PASS">
      <formula>NOT(ISERROR(SEARCH("PASS",D5)))</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AH178"/>
  <sheetViews>
    <sheetView showGridLines="0" topLeftCell="M1" zoomScale="85" zoomScaleNormal="85" workbookViewId="0">
      <pane ySplit="2" topLeftCell="A85" activePane="bottomLeft" state="frozen"/>
      <selection pane="bottomLeft" activeCell="Q99" sqref="Q99"/>
    </sheetView>
  </sheetViews>
  <sheetFormatPr defaultRowHeight="15"/>
  <cols>
    <col min="1" max="1" width="29.42578125" bestFit="1" customWidth="1"/>
    <col min="2" max="2" width="11.140625" customWidth="1"/>
    <col min="3" max="3" width="11.42578125" bestFit="1" customWidth="1"/>
    <col min="4" max="4" width="10.140625" customWidth="1"/>
    <col min="5" max="5" width="10.42578125" bestFit="1" customWidth="1"/>
    <col min="6" max="6" width="10.7109375" customWidth="1"/>
    <col min="7" max="14" width="10.42578125" bestFit="1" customWidth="1"/>
    <col min="15" max="15" width="8.42578125" customWidth="1"/>
    <col min="16" max="16" width="11" customWidth="1"/>
    <col min="17" max="17" width="9.5703125" customWidth="1"/>
    <col min="18" max="18" width="7.28515625" customWidth="1"/>
    <col min="19" max="19" width="28" bestFit="1" customWidth="1"/>
    <col min="20" max="20" width="9.28515625" customWidth="1"/>
    <col min="21" max="21" width="9.7109375" customWidth="1"/>
    <col min="22" max="22" width="8.5703125" customWidth="1"/>
    <col min="23" max="23" width="9.28515625" customWidth="1"/>
    <col min="25" max="25" width="8.140625" customWidth="1"/>
    <col min="27" max="27" width="8.5703125" customWidth="1"/>
    <col min="28" max="29" width="8.28515625" customWidth="1"/>
  </cols>
  <sheetData>
    <row r="1" spans="1:32">
      <c r="A1" s="759" t="s">
        <v>385</v>
      </c>
      <c r="B1" s="759"/>
      <c r="C1" s="45"/>
      <c r="D1" s="45"/>
      <c r="E1" s="45"/>
      <c r="F1" s="45"/>
      <c r="G1" s="45"/>
      <c r="H1" s="45"/>
      <c r="I1" s="45"/>
      <c r="J1" s="45"/>
      <c r="K1" s="190"/>
      <c r="L1" s="45"/>
      <c r="M1" s="45"/>
      <c r="N1" s="45"/>
      <c r="O1" s="414"/>
    </row>
    <row r="2" spans="1:32">
      <c r="A2" s="761" t="s">
        <v>549</v>
      </c>
      <c r="B2" s="760"/>
      <c r="C2" s="760"/>
      <c r="D2" s="760"/>
      <c r="E2" s="760"/>
      <c r="F2" s="760"/>
      <c r="G2" s="760"/>
      <c r="H2" s="760"/>
      <c r="I2" s="760"/>
      <c r="J2" s="760"/>
      <c r="K2" s="760"/>
      <c r="L2" s="760"/>
      <c r="M2" s="760"/>
      <c r="N2" s="760"/>
      <c r="O2" s="647"/>
      <c r="P2" s="647"/>
      <c r="Q2" s="648"/>
      <c r="R2" s="647"/>
      <c r="S2" s="760" t="s">
        <v>550</v>
      </c>
      <c r="T2" s="760"/>
      <c r="U2" s="760"/>
      <c r="V2" s="760"/>
      <c r="W2" s="760"/>
      <c r="X2" s="760"/>
      <c r="Y2" s="760"/>
      <c r="Z2" s="760"/>
      <c r="AA2" s="760"/>
      <c r="AB2" s="760"/>
      <c r="AC2" s="760"/>
      <c r="AD2" s="760"/>
      <c r="AE2" s="760"/>
      <c r="AF2" s="760"/>
    </row>
    <row r="4" spans="1:32">
      <c r="A4" s="724" t="s">
        <v>362</v>
      </c>
      <c r="B4" s="725"/>
      <c r="C4" s="725"/>
      <c r="D4" s="725"/>
      <c r="E4" s="725"/>
      <c r="F4" s="725"/>
      <c r="G4" s="725"/>
      <c r="H4" s="725"/>
      <c r="I4" s="725"/>
      <c r="J4" s="725"/>
      <c r="K4" s="725"/>
      <c r="L4" s="725"/>
      <c r="M4" s="725"/>
      <c r="N4" s="725"/>
      <c r="S4" s="724" t="s">
        <v>362</v>
      </c>
      <c r="T4" s="725"/>
      <c r="U4" s="725"/>
      <c r="V4" s="725"/>
      <c r="W4" s="725"/>
      <c r="X4" s="725"/>
      <c r="Y4" s="725"/>
      <c r="Z4" s="725"/>
      <c r="AA4" s="725"/>
      <c r="AB4" s="725"/>
      <c r="AC4" s="725"/>
      <c r="AD4" s="725"/>
      <c r="AE4" s="725"/>
      <c r="AF4" s="725"/>
    </row>
    <row r="5" spans="1:32" ht="15.75" customHeight="1">
      <c r="A5" s="634"/>
      <c r="B5" s="652" t="s">
        <v>500</v>
      </c>
      <c r="C5" s="652" t="s">
        <v>503</v>
      </c>
      <c r="D5" s="652" t="s">
        <v>504</v>
      </c>
      <c r="E5" s="652" t="s">
        <v>505</v>
      </c>
      <c r="F5" s="652" t="s">
        <v>506</v>
      </c>
      <c r="G5" s="652" t="s">
        <v>507</v>
      </c>
      <c r="H5" s="652" t="s">
        <v>508</v>
      </c>
      <c r="I5" s="652" t="s">
        <v>509</v>
      </c>
      <c r="J5" s="652" t="s">
        <v>510</v>
      </c>
      <c r="K5" s="652" t="s">
        <v>511</v>
      </c>
      <c r="L5" s="652" t="s">
        <v>512</v>
      </c>
      <c r="M5" s="652" t="s">
        <v>501</v>
      </c>
      <c r="N5" s="652" t="s">
        <v>502</v>
      </c>
      <c r="S5" s="634"/>
      <c r="T5" s="634" t="s">
        <v>500</v>
      </c>
      <c r="U5" s="634" t="s">
        <v>503</v>
      </c>
      <c r="V5" s="634" t="s">
        <v>504</v>
      </c>
      <c r="W5" s="634" t="s">
        <v>505</v>
      </c>
      <c r="X5" s="634" t="s">
        <v>506</v>
      </c>
      <c r="Y5" s="634" t="s">
        <v>507</v>
      </c>
      <c r="Z5" s="634" t="s">
        <v>508</v>
      </c>
      <c r="AA5" s="634" t="s">
        <v>509</v>
      </c>
      <c r="AB5" s="634" t="s">
        <v>510</v>
      </c>
      <c r="AC5" s="634" t="s">
        <v>511</v>
      </c>
      <c r="AD5" s="634" t="s">
        <v>512</v>
      </c>
      <c r="AE5" s="634" t="s">
        <v>501</v>
      </c>
      <c r="AF5" s="634" t="s">
        <v>502</v>
      </c>
    </row>
    <row r="6" spans="1:32">
      <c r="A6" s="516" t="s">
        <v>497</v>
      </c>
      <c r="B6" s="620">
        <v>7035</v>
      </c>
      <c r="C6" s="365">
        <v>6763</v>
      </c>
      <c r="D6" s="340">
        <v>6783</v>
      </c>
      <c r="E6" s="340">
        <v>6785</v>
      </c>
      <c r="F6" s="340">
        <v>6799</v>
      </c>
      <c r="G6" s="340">
        <v>6850</v>
      </c>
      <c r="H6" s="340">
        <v>6887</v>
      </c>
      <c r="I6" s="340">
        <v>6930</v>
      </c>
      <c r="J6" s="340">
        <v>6976</v>
      </c>
      <c r="K6" s="340">
        <v>7297</v>
      </c>
      <c r="L6" s="340">
        <v>7408</v>
      </c>
      <c r="M6" s="340">
        <v>7484</v>
      </c>
      <c r="N6" s="340">
        <v>7468</v>
      </c>
      <c r="S6" s="516" t="s">
        <v>497</v>
      </c>
      <c r="T6" s="620">
        <v>7035.83</v>
      </c>
      <c r="U6" s="365">
        <v>6763</v>
      </c>
      <c r="V6" s="340">
        <v>6783</v>
      </c>
      <c r="W6" s="340">
        <v>6785</v>
      </c>
      <c r="X6" s="340">
        <v>6799</v>
      </c>
      <c r="Y6" s="340">
        <v>6850</v>
      </c>
      <c r="Z6" s="340">
        <v>6887</v>
      </c>
      <c r="AA6" s="340">
        <v>6930</v>
      </c>
      <c r="AB6" s="340">
        <v>6976</v>
      </c>
      <c r="AC6" s="340">
        <v>7297</v>
      </c>
      <c r="AD6" s="340">
        <v>7408</v>
      </c>
      <c r="AE6" s="340">
        <v>7484</v>
      </c>
      <c r="AF6" s="340">
        <v>7468</v>
      </c>
    </row>
    <row r="7" spans="1:32">
      <c r="A7" s="516" t="s">
        <v>496</v>
      </c>
      <c r="B7" s="620">
        <v>13798</v>
      </c>
      <c r="C7" s="365">
        <v>13263</v>
      </c>
      <c r="D7" s="340">
        <v>13297</v>
      </c>
      <c r="E7" s="340">
        <v>13301</v>
      </c>
      <c r="F7" s="340">
        <v>13342</v>
      </c>
      <c r="G7" s="340">
        <v>13434</v>
      </c>
      <c r="H7" s="340">
        <v>13502</v>
      </c>
      <c r="I7" s="340">
        <v>13599</v>
      </c>
      <c r="J7" s="340">
        <v>13696</v>
      </c>
      <c r="K7" s="340">
        <v>14325</v>
      </c>
      <c r="L7" s="340">
        <v>14522</v>
      </c>
      <c r="M7" s="340">
        <v>14664</v>
      </c>
      <c r="N7" s="340">
        <v>14638</v>
      </c>
      <c r="S7" s="516" t="s">
        <v>496</v>
      </c>
      <c r="T7" s="620">
        <v>13798.58</v>
      </c>
      <c r="U7" s="365">
        <v>13263</v>
      </c>
      <c r="V7" s="340">
        <v>13297</v>
      </c>
      <c r="W7" s="340">
        <v>13301</v>
      </c>
      <c r="X7" s="340">
        <v>13342</v>
      </c>
      <c r="Y7" s="340">
        <v>13434</v>
      </c>
      <c r="Z7" s="340">
        <v>13502</v>
      </c>
      <c r="AA7" s="340">
        <v>13599</v>
      </c>
      <c r="AB7" s="340">
        <v>13696</v>
      </c>
      <c r="AC7" s="340">
        <v>14325</v>
      </c>
      <c r="AD7" s="340">
        <v>14522</v>
      </c>
      <c r="AE7" s="340">
        <v>14664</v>
      </c>
      <c r="AF7" s="340">
        <v>14638</v>
      </c>
    </row>
    <row r="8" spans="1:32">
      <c r="A8" s="516" t="s">
        <v>495</v>
      </c>
      <c r="B8" s="620">
        <v>38.68</v>
      </c>
      <c r="C8" s="365">
        <v>39.06</v>
      </c>
      <c r="D8" s="340">
        <v>39.04</v>
      </c>
      <c r="E8" s="340">
        <v>38.979999999999997</v>
      </c>
      <c r="F8" s="340">
        <v>38.93</v>
      </c>
      <c r="G8" s="340">
        <v>38.85</v>
      </c>
      <c r="H8" s="340">
        <v>38.799999999999997</v>
      </c>
      <c r="I8" s="340">
        <v>38.74</v>
      </c>
      <c r="J8" s="340">
        <v>38.700000000000003</v>
      </c>
      <c r="K8" s="340">
        <v>38.33</v>
      </c>
      <c r="L8" s="340">
        <v>38.270000000000003</v>
      </c>
      <c r="M8" s="340">
        <v>38.24</v>
      </c>
      <c r="N8" s="340">
        <v>38.25</v>
      </c>
      <c r="S8" s="516" t="s">
        <v>495</v>
      </c>
      <c r="T8" s="620">
        <v>38.68</v>
      </c>
      <c r="U8" s="365">
        <v>39.06</v>
      </c>
      <c r="V8" s="88">
        <v>39.04</v>
      </c>
      <c r="W8" s="88">
        <v>38.979999999999997</v>
      </c>
      <c r="X8" s="88">
        <v>38.93</v>
      </c>
      <c r="Y8" s="88">
        <v>38.85</v>
      </c>
      <c r="Z8" s="88">
        <v>38.799999999999997</v>
      </c>
      <c r="AA8" s="88">
        <v>38.74</v>
      </c>
      <c r="AB8" s="88">
        <v>38.700000000000003</v>
      </c>
      <c r="AC8" s="88">
        <v>38.33</v>
      </c>
      <c r="AD8" s="88">
        <v>38.270000000000003</v>
      </c>
      <c r="AE8" s="88">
        <v>38.24</v>
      </c>
      <c r="AF8" s="88">
        <v>38.25</v>
      </c>
    </row>
    <row r="9" spans="1:32">
      <c r="A9" s="516" t="s">
        <v>493</v>
      </c>
      <c r="B9" s="620">
        <v>1.96</v>
      </c>
      <c r="C9" s="168">
        <v>1.96</v>
      </c>
      <c r="D9" s="88">
        <v>1.96</v>
      </c>
      <c r="E9" s="88">
        <v>1.96</v>
      </c>
      <c r="F9" s="88">
        <v>1.96</v>
      </c>
      <c r="G9" s="88">
        <v>1.96</v>
      </c>
      <c r="H9" s="88">
        <v>1.96</v>
      </c>
      <c r="I9" s="88">
        <v>1.96</v>
      </c>
      <c r="J9" s="88">
        <v>1.96</v>
      </c>
      <c r="K9" s="88">
        <v>1.96</v>
      </c>
      <c r="L9" s="88">
        <v>1.96</v>
      </c>
      <c r="M9" s="88">
        <v>1.96</v>
      </c>
      <c r="N9" s="88">
        <v>1.96</v>
      </c>
      <c r="S9" s="516" t="s">
        <v>493</v>
      </c>
      <c r="T9" s="620">
        <v>1.96</v>
      </c>
      <c r="U9" s="168">
        <v>1.96</v>
      </c>
      <c r="V9" s="88">
        <v>1.96</v>
      </c>
      <c r="W9" s="88">
        <v>1.96</v>
      </c>
      <c r="X9" s="88">
        <v>1.96</v>
      </c>
      <c r="Y9" s="88">
        <v>1.96</v>
      </c>
      <c r="Z9" s="88">
        <v>1.96</v>
      </c>
      <c r="AA9" s="88">
        <v>1.96</v>
      </c>
      <c r="AB9" s="88">
        <v>1.96</v>
      </c>
      <c r="AC9" s="88">
        <v>1.96</v>
      </c>
      <c r="AD9" s="88">
        <v>1.96</v>
      </c>
      <c r="AE9" s="88">
        <v>1.96</v>
      </c>
      <c r="AF9" s="88">
        <v>1.96</v>
      </c>
    </row>
    <row r="10" spans="1:32">
      <c r="A10" s="516" t="s">
        <v>492</v>
      </c>
      <c r="B10" s="621">
        <v>0.55859999999999999</v>
      </c>
      <c r="C10" s="168">
        <v>0.55910000000000004</v>
      </c>
      <c r="D10" s="338">
        <v>0.55889999999999995</v>
      </c>
      <c r="E10" s="338">
        <v>0.55889999999999995</v>
      </c>
      <c r="F10" s="338">
        <v>0.55900000000000005</v>
      </c>
      <c r="G10" s="338">
        <v>0.5575</v>
      </c>
      <c r="H10" s="338">
        <v>0.55730000000000002</v>
      </c>
      <c r="I10" s="338">
        <v>0.55700000000000005</v>
      </c>
      <c r="J10" s="338">
        <v>0.55730000000000002</v>
      </c>
      <c r="K10" s="338">
        <v>0.55859999999999999</v>
      </c>
      <c r="L10" s="338">
        <v>0.55940000000000001</v>
      </c>
      <c r="M10" s="338">
        <v>0.56010000000000004</v>
      </c>
      <c r="N10" s="338">
        <v>0.56000000000000005</v>
      </c>
      <c r="S10" s="516" t="s">
        <v>492</v>
      </c>
      <c r="T10" s="621">
        <v>0.55859999999999999</v>
      </c>
      <c r="U10" s="168">
        <v>0.55910000000000004</v>
      </c>
      <c r="V10" s="338">
        <v>0.55889999999999995</v>
      </c>
      <c r="W10" s="338">
        <v>0.55889999999999995</v>
      </c>
      <c r="X10" s="338">
        <v>0.55900000000000005</v>
      </c>
      <c r="Y10" s="338">
        <v>0.5575</v>
      </c>
      <c r="Z10" s="338">
        <v>0.55730000000000002</v>
      </c>
      <c r="AA10" s="338">
        <v>0.55700000000000005</v>
      </c>
      <c r="AB10" s="338">
        <v>0.55730000000000002</v>
      </c>
      <c r="AC10" s="338">
        <v>0.55859999999999999</v>
      </c>
      <c r="AD10" s="338">
        <v>0.55940000000000001</v>
      </c>
      <c r="AE10" s="338">
        <v>0.56010000000000004</v>
      </c>
      <c r="AF10" s="338">
        <v>0.56000000000000005</v>
      </c>
    </row>
    <row r="11" spans="1:32">
      <c r="A11" s="516" t="s">
        <v>491</v>
      </c>
      <c r="B11" s="621">
        <v>4899</v>
      </c>
      <c r="C11" s="618">
        <v>5479</v>
      </c>
      <c r="D11" s="340">
        <v>5189</v>
      </c>
      <c r="E11" s="340">
        <v>5293</v>
      </c>
      <c r="F11" s="340">
        <v>5104</v>
      </c>
      <c r="G11" s="340">
        <v>5309</v>
      </c>
      <c r="H11" s="340">
        <v>5367</v>
      </c>
      <c r="I11" s="340">
        <v>5261</v>
      </c>
      <c r="J11" s="340">
        <v>5105</v>
      </c>
      <c r="K11" s="340">
        <v>5677</v>
      </c>
      <c r="L11" s="340">
        <v>4931</v>
      </c>
      <c r="M11" s="340">
        <v>5664</v>
      </c>
      <c r="N11" s="340">
        <v>420</v>
      </c>
      <c r="S11" s="516" t="s">
        <v>491</v>
      </c>
      <c r="T11" s="621">
        <v>4769.08</v>
      </c>
      <c r="U11" s="618">
        <v>4972</v>
      </c>
      <c r="V11" s="340">
        <v>5247</v>
      </c>
      <c r="W11" s="340">
        <v>5315</v>
      </c>
      <c r="X11" s="340">
        <v>5084</v>
      </c>
      <c r="Y11" s="340">
        <v>5068</v>
      </c>
      <c r="Z11" s="340">
        <v>5072</v>
      </c>
      <c r="AA11" s="340">
        <v>4909</v>
      </c>
      <c r="AB11" s="340">
        <v>5065</v>
      </c>
      <c r="AC11" s="340">
        <v>5837</v>
      </c>
      <c r="AD11" s="340">
        <v>5184</v>
      </c>
      <c r="AE11" s="340">
        <v>5476</v>
      </c>
      <c r="AF11" s="340">
        <v>0</v>
      </c>
    </row>
    <row r="12" spans="1:32">
      <c r="A12" s="516" t="s">
        <v>490</v>
      </c>
      <c r="B12" s="620">
        <v>14094</v>
      </c>
      <c r="C12" s="168">
        <v>16105</v>
      </c>
      <c r="D12" s="340">
        <v>14409</v>
      </c>
      <c r="E12" s="340">
        <v>15621</v>
      </c>
      <c r="F12" s="340">
        <v>14183</v>
      </c>
      <c r="G12" s="340">
        <v>15261</v>
      </c>
      <c r="H12" s="340">
        <v>15878</v>
      </c>
      <c r="I12" s="340">
        <v>15047</v>
      </c>
      <c r="J12" s="340">
        <v>14978</v>
      </c>
      <c r="K12" s="340">
        <v>17374</v>
      </c>
      <c r="L12" s="340">
        <v>12861</v>
      </c>
      <c r="M12" s="340">
        <v>16833</v>
      </c>
      <c r="N12" s="340">
        <v>589</v>
      </c>
      <c r="S12" s="516" t="s">
        <v>516</v>
      </c>
      <c r="T12" s="620">
        <v>12212.5</v>
      </c>
      <c r="U12" s="168">
        <v>12173</v>
      </c>
      <c r="V12" s="340">
        <v>13247</v>
      </c>
      <c r="W12" s="340">
        <v>14251</v>
      </c>
      <c r="X12" s="340">
        <v>12896</v>
      </c>
      <c r="Y12" s="340">
        <v>12598</v>
      </c>
      <c r="Z12" s="340">
        <v>13655</v>
      </c>
      <c r="AA12" s="340">
        <v>12289</v>
      </c>
      <c r="AB12" s="340">
        <v>12776</v>
      </c>
      <c r="AC12" s="340">
        <v>15132</v>
      </c>
      <c r="AD12" s="340">
        <v>12812</v>
      </c>
      <c r="AE12" s="340">
        <v>14721</v>
      </c>
      <c r="AF12" s="340">
        <v>0</v>
      </c>
    </row>
    <row r="13" spans="1:32">
      <c r="A13" s="516" t="s">
        <v>489</v>
      </c>
      <c r="B13" s="43">
        <v>3421.66</v>
      </c>
      <c r="C13" s="43">
        <v>3301.67</v>
      </c>
      <c r="D13" s="378">
        <v>3380.89</v>
      </c>
      <c r="E13" s="378">
        <v>3612.8</v>
      </c>
      <c r="F13" s="378">
        <v>3148.9</v>
      </c>
      <c r="G13" s="378">
        <v>3984.61</v>
      </c>
      <c r="H13" s="378">
        <v>3835.42</v>
      </c>
      <c r="I13" s="378">
        <v>3971.48</v>
      </c>
      <c r="J13" s="378">
        <v>3601.66</v>
      </c>
      <c r="K13" s="378">
        <v>3531.9</v>
      </c>
      <c r="L13" s="378">
        <v>4221.1099999999997</v>
      </c>
      <c r="M13" s="378">
        <v>4372.3900000000003</v>
      </c>
      <c r="N13" s="378">
        <v>97.12</v>
      </c>
      <c r="S13" s="516" t="s">
        <v>517</v>
      </c>
      <c r="T13" s="43">
        <v>1334.82</v>
      </c>
      <c r="U13" s="43">
        <v>1122.3699999999999</v>
      </c>
      <c r="V13" s="378">
        <v>1441.75</v>
      </c>
      <c r="W13" s="378">
        <v>1573.66</v>
      </c>
      <c r="X13" s="378">
        <v>1499.01</v>
      </c>
      <c r="Y13" s="378">
        <v>1596.11</v>
      </c>
      <c r="Z13" s="378">
        <v>1549.79</v>
      </c>
      <c r="AA13" s="378">
        <v>1382.97</v>
      </c>
      <c r="AB13" s="378">
        <v>1410.66</v>
      </c>
      <c r="AC13" s="378">
        <v>1457.55</v>
      </c>
      <c r="AD13" s="378">
        <v>1392.05</v>
      </c>
      <c r="AE13" s="378">
        <v>1591.85</v>
      </c>
      <c r="AF13" s="378">
        <v>0</v>
      </c>
    </row>
    <row r="14" spans="1:32">
      <c r="A14" s="516" t="s">
        <v>513</v>
      </c>
      <c r="B14" s="43">
        <v>488.44</v>
      </c>
      <c r="C14" s="43">
        <v>488.2</v>
      </c>
      <c r="D14" s="378">
        <v>498.44</v>
      </c>
      <c r="E14" s="378">
        <v>532.47</v>
      </c>
      <c r="F14" s="378">
        <v>463.14</v>
      </c>
      <c r="G14" s="378">
        <v>581.69000000000005</v>
      </c>
      <c r="H14" s="378">
        <v>556.91</v>
      </c>
      <c r="I14" s="378">
        <v>573.09</v>
      </c>
      <c r="J14" s="378">
        <v>516.29</v>
      </c>
      <c r="K14" s="378">
        <v>484.02</v>
      </c>
      <c r="L14" s="378">
        <v>569.79999999999995</v>
      </c>
      <c r="M14" s="378">
        <v>584.23</v>
      </c>
      <c r="N14" s="378">
        <v>13.01</v>
      </c>
      <c r="S14" s="516" t="s">
        <v>513</v>
      </c>
      <c r="T14" s="43">
        <v>190.92</v>
      </c>
      <c r="U14" s="43">
        <v>165.96</v>
      </c>
      <c r="V14" s="378">
        <v>212.55</v>
      </c>
      <c r="W14" s="378">
        <v>231.93</v>
      </c>
      <c r="X14" s="378">
        <v>220.47</v>
      </c>
      <c r="Y14" s="378">
        <v>233.01</v>
      </c>
      <c r="Z14" s="378">
        <v>225.03</v>
      </c>
      <c r="AA14" s="378">
        <v>199.56</v>
      </c>
      <c r="AB14" s="378">
        <v>202.22</v>
      </c>
      <c r="AC14" s="378">
        <v>199.75</v>
      </c>
      <c r="AD14" s="378">
        <v>187.91</v>
      </c>
      <c r="AE14" s="378">
        <v>212.7</v>
      </c>
      <c r="AF14" s="378">
        <v>0</v>
      </c>
    </row>
    <row r="15" spans="1:32">
      <c r="A15" s="516" t="s">
        <v>514</v>
      </c>
      <c r="B15" s="43">
        <v>249.05</v>
      </c>
      <c r="C15" s="43">
        <v>248.94</v>
      </c>
      <c r="D15" s="378">
        <v>254.26</v>
      </c>
      <c r="E15" s="378">
        <v>271.62</v>
      </c>
      <c r="F15" s="378">
        <v>236.01</v>
      </c>
      <c r="G15" s="378">
        <v>296.61</v>
      </c>
      <c r="H15" s="378">
        <v>284.06</v>
      </c>
      <c r="I15" s="378">
        <v>292.04000000000002</v>
      </c>
      <c r="J15" s="378">
        <v>262.97000000000003</v>
      </c>
      <c r="K15" s="378">
        <v>246.56</v>
      </c>
      <c r="L15" s="378">
        <v>290.67</v>
      </c>
      <c r="M15" s="378">
        <v>298.17</v>
      </c>
      <c r="N15" s="378">
        <v>6.64</v>
      </c>
      <c r="S15" s="516" t="s">
        <v>514</v>
      </c>
      <c r="T15" s="43">
        <v>97.35</v>
      </c>
      <c r="U15" s="43">
        <v>84.62</v>
      </c>
      <c r="V15" s="378">
        <v>108.43</v>
      </c>
      <c r="W15" s="378">
        <v>118.31</v>
      </c>
      <c r="X15" s="378">
        <v>112.35</v>
      </c>
      <c r="Y15" s="378">
        <v>118.81</v>
      </c>
      <c r="Z15" s="378">
        <v>114.78</v>
      </c>
      <c r="AA15" s="378">
        <v>101.7</v>
      </c>
      <c r="AB15" s="378">
        <v>103</v>
      </c>
      <c r="AC15" s="378">
        <v>101.75</v>
      </c>
      <c r="AD15" s="378">
        <v>95.86</v>
      </c>
      <c r="AE15" s="378">
        <v>108.55</v>
      </c>
      <c r="AF15" s="378">
        <v>0</v>
      </c>
    </row>
    <row r="16" spans="1:32">
      <c r="A16" s="516" t="s">
        <v>487</v>
      </c>
      <c r="B16" s="43">
        <v>1.03</v>
      </c>
      <c r="C16" s="43">
        <v>1.21</v>
      </c>
      <c r="D16" s="378">
        <v>1.08</v>
      </c>
      <c r="E16" s="378">
        <v>1.17</v>
      </c>
      <c r="F16" s="378">
        <v>1.06</v>
      </c>
      <c r="G16" s="378">
        <v>1.1399999999999999</v>
      </c>
      <c r="H16" s="378">
        <v>1.18</v>
      </c>
      <c r="I16" s="378">
        <v>1.1100000000000001</v>
      </c>
      <c r="J16" s="378">
        <v>1.0900000000000001</v>
      </c>
      <c r="K16" s="378">
        <v>1.21</v>
      </c>
      <c r="L16" s="378">
        <v>0.89</v>
      </c>
      <c r="M16" s="378">
        <v>1.1499999999999999</v>
      </c>
      <c r="N16" s="378">
        <v>0.04</v>
      </c>
      <c r="S16" s="516" t="s">
        <v>546</v>
      </c>
      <c r="T16" s="614">
        <v>0.89</v>
      </c>
      <c r="U16" s="43">
        <v>0.92</v>
      </c>
      <c r="V16" s="88">
        <v>1</v>
      </c>
      <c r="W16" s="88">
        <v>1.07</v>
      </c>
      <c r="X16" s="88">
        <v>0.97</v>
      </c>
      <c r="Y16" s="88">
        <v>0.94</v>
      </c>
      <c r="Z16" s="88">
        <v>1.01</v>
      </c>
      <c r="AA16" s="88">
        <v>0.9</v>
      </c>
      <c r="AB16" s="88">
        <v>0.93</v>
      </c>
      <c r="AC16" s="88">
        <v>1.06</v>
      </c>
      <c r="AD16" s="88">
        <v>0.88</v>
      </c>
      <c r="AE16" s="88">
        <v>1</v>
      </c>
      <c r="AF16" s="88">
        <v>0</v>
      </c>
    </row>
    <row r="17" spans="1:32">
      <c r="A17" s="516" t="s">
        <v>486</v>
      </c>
      <c r="B17" s="614">
        <v>2.6</v>
      </c>
      <c r="C17" s="43">
        <v>2.92</v>
      </c>
      <c r="D17" s="88">
        <v>2.6</v>
      </c>
      <c r="E17" s="88">
        <v>2.96</v>
      </c>
      <c r="F17" s="88">
        <v>2.58</v>
      </c>
      <c r="G17" s="88">
        <v>2.92</v>
      </c>
      <c r="H17" s="88">
        <v>2.98</v>
      </c>
      <c r="I17" s="88">
        <v>3.01</v>
      </c>
      <c r="J17" s="88">
        <v>2.84</v>
      </c>
      <c r="K17" s="88">
        <v>3.14</v>
      </c>
      <c r="L17" s="88">
        <v>2.2799999999999998</v>
      </c>
      <c r="M17" s="88">
        <v>2.88</v>
      </c>
      <c r="N17" s="88">
        <v>0.08</v>
      </c>
      <c r="S17" s="516" t="s">
        <v>484</v>
      </c>
      <c r="T17" s="40">
        <v>0.34760000000000002</v>
      </c>
      <c r="U17" s="40">
        <v>0.37490000000000001</v>
      </c>
      <c r="V17" s="338">
        <v>0.39460000000000001</v>
      </c>
      <c r="W17" s="338">
        <v>0.39960000000000001</v>
      </c>
      <c r="X17" s="338">
        <v>0.38109999999999999</v>
      </c>
      <c r="Y17" s="338">
        <v>0.37730000000000002</v>
      </c>
      <c r="Z17" s="338">
        <v>0.37559999999999999</v>
      </c>
      <c r="AA17" s="338">
        <v>0.36099999999999999</v>
      </c>
      <c r="AB17" s="338">
        <v>0.36980000000000002</v>
      </c>
      <c r="AC17" s="338">
        <v>0.40749999999999997</v>
      </c>
      <c r="AD17" s="338">
        <v>0.35699999999999998</v>
      </c>
      <c r="AE17" s="338">
        <v>0.37340000000000001</v>
      </c>
      <c r="AF17" s="338">
        <v>0</v>
      </c>
    </row>
    <row r="18" spans="1:32">
      <c r="A18" s="516" t="s">
        <v>484</v>
      </c>
      <c r="B18" s="40">
        <v>0.35730000000000001</v>
      </c>
      <c r="C18" s="40">
        <v>0.41310000000000002</v>
      </c>
      <c r="D18" s="338">
        <v>0.39019999999999999</v>
      </c>
      <c r="E18" s="338">
        <v>0.39789999999999998</v>
      </c>
      <c r="F18" s="338">
        <v>0.3826</v>
      </c>
      <c r="G18" s="338">
        <v>0.3952</v>
      </c>
      <c r="H18" s="338">
        <v>0.39750000000000002</v>
      </c>
      <c r="I18" s="338">
        <v>0.38690000000000002</v>
      </c>
      <c r="J18" s="338">
        <v>0.37269999999999998</v>
      </c>
      <c r="K18" s="338">
        <v>0.39629999999999999</v>
      </c>
      <c r="L18" s="338">
        <v>0.33960000000000001</v>
      </c>
      <c r="M18" s="338">
        <v>0.38629999999999998</v>
      </c>
      <c r="N18" s="338">
        <v>2.87E-2</v>
      </c>
      <c r="S18" s="516" t="s">
        <v>518</v>
      </c>
      <c r="T18" s="43">
        <v>100.33</v>
      </c>
      <c r="U18" s="43">
        <v>92.2</v>
      </c>
      <c r="V18" s="378">
        <v>108.84</v>
      </c>
      <c r="W18" s="378">
        <v>110.42</v>
      </c>
      <c r="X18" s="378">
        <v>116.24</v>
      </c>
      <c r="Y18" s="378">
        <v>126.7</v>
      </c>
      <c r="Z18" s="378">
        <v>113.5</v>
      </c>
      <c r="AA18" s="378">
        <v>112.54</v>
      </c>
      <c r="AB18" s="378">
        <v>110.41</v>
      </c>
      <c r="AC18" s="378">
        <v>96.32</v>
      </c>
      <c r="AD18" s="378">
        <v>108.65</v>
      </c>
      <c r="AE18" s="378">
        <v>108.13</v>
      </c>
      <c r="AF18" s="378">
        <v>0</v>
      </c>
    </row>
    <row r="19" spans="1:32">
      <c r="A19" s="516" t="s">
        <v>483</v>
      </c>
      <c r="B19" s="40">
        <v>40.72</v>
      </c>
      <c r="C19" s="40">
        <v>29.94</v>
      </c>
      <c r="D19" s="338">
        <v>28.21</v>
      </c>
      <c r="E19" s="338">
        <v>40.130000000000003</v>
      </c>
      <c r="F19" s="338">
        <v>34.630000000000003</v>
      </c>
      <c r="G19" s="338">
        <v>34.01</v>
      </c>
      <c r="H19" s="338">
        <v>30.9</v>
      </c>
      <c r="I19" s="338">
        <v>29.54</v>
      </c>
      <c r="J19" s="338">
        <v>47.1</v>
      </c>
      <c r="K19" s="338">
        <v>32.94</v>
      </c>
      <c r="L19" s="338">
        <v>33.43</v>
      </c>
      <c r="M19" s="338">
        <v>41.88</v>
      </c>
      <c r="N19" s="338">
        <v>105.95</v>
      </c>
      <c r="S19" s="516" t="s">
        <v>519</v>
      </c>
      <c r="T19" s="43">
        <v>2.35</v>
      </c>
      <c r="U19" s="43">
        <v>2.4500000000000002</v>
      </c>
      <c r="V19" s="88">
        <v>2.52</v>
      </c>
      <c r="W19" s="88">
        <v>2.68</v>
      </c>
      <c r="X19" s="88">
        <v>2.54</v>
      </c>
      <c r="Y19" s="88">
        <v>2.4900000000000002</v>
      </c>
      <c r="Z19" s="88">
        <v>2.69</v>
      </c>
      <c r="AA19" s="88">
        <v>2.5</v>
      </c>
      <c r="AB19" s="88">
        <v>2.52</v>
      </c>
      <c r="AC19" s="88">
        <v>2.59</v>
      </c>
      <c r="AD19" s="88">
        <v>2.4700000000000002</v>
      </c>
      <c r="AE19" s="88">
        <v>2.69</v>
      </c>
      <c r="AF19" s="88">
        <v>0</v>
      </c>
    </row>
    <row r="20" spans="1:32">
      <c r="A20" s="516" t="s">
        <v>482</v>
      </c>
      <c r="B20" s="622">
        <v>1027.8399999999999</v>
      </c>
      <c r="C20" s="43">
        <v>1214.28</v>
      </c>
      <c r="D20" s="337">
        <v>1083.6300000000001</v>
      </c>
      <c r="E20" s="337">
        <v>1174.42</v>
      </c>
      <c r="F20" s="337">
        <v>1063.03</v>
      </c>
      <c r="G20" s="337">
        <v>1136</v>
      </c>
      <c r="H20" s="337">
        <v>1175.97</v>
      </c>
      <c r="I20" s="337">
        <v>1106.48</v>
      </c>
      <c r="J20" s="337">
        <v>1093.5999999999999</v>
      </c>
      <c r="K20" s="337">
        <v>1212.8399999999999</v>
      </c>
      <c r="L20" s="337">
        <v>885.62</v>
      </c>
      <c r="M20" s="337">
        <v>1147.9100000000001</v>
      </c>
      <c r="N20" s="337">
        <v>40.24</v>
      </c>
      <c r="S20" s="516" t="s">
        <v>520</v>
      </c>
      <c r="T20" s="614">
        <v>0.89</v>
      </c>
      <c r="U20" s="43">
        <v>0.92</v>
      </c>
      <c r="V20" s="88">
        <v>1</v>
      </c>
      <c r="W20" s="88">
        <v>1.07</v>
      </c>
      <c r="X20" s="88">
        <v>0.97</v>
      </c>
      <c r="Y20" s="88">
        <v>0.94</v>
      </c>
      <c r="Z20" s="88">
        <v>1.01</v>
      </c>
      <c r="AA20" s="88">
        <v>0.9</v>
      </c>
      <c r="AB20" s="88">
        <v>0.93</v>
      </c>
      <c r="AC20" s="88">
        <v>1.06</v>
      </c>
      <c r="AD20" s="88">
        <v>0.88</v>
      </c>
      <c r="AE20" s="88">
        <v>1</v>
      </c>
      <c r="AF20" s="88">
        <v>0</v>
      </c>
    </row>
    <row r="21" spans="1:32" ht="26.25">
      <c r="A21" s="516" t="s">
        <v>480</v>
      </c>
      <c r="B21" s="622">
        <v>2306.64</v>
      </c>
      <c r="C21" s="43">
        <v>2635.98</v>
      </c>
      <c r="D21" s="337">
        <v>2339.25</v>
      </c>
      <c r="E21" s="337">
        <v>2629.65</v>
      </c>
      <c r="F21" s="337">
        <v>2284.81</v>
      </c>
      <c r="G21" s="337">
        <v>2510.12</v>
      </c>
      <c r="H21" s="337">
        <v>2671.97</v>
      </c>
      <c r="I21" s="337">
        <v>2632.77</v>
      </c>
      <c r="J21" s="337">
        <v>2461.4499999999998</v>
      </c>
      <c r="K21" s="337">
        <v>2820.03</v>
      </c>
      <c r="L21" s="337">
        <v>2019.56</v>
      </c>
      <c r="M21" s="337">
        <v>2599.77</v>
      </c>
      <c r="N21" s="337">
        <v>74.33</v>
      </c>
      <c r="S21" s="629" t="s">
        <v>521</v>
      </c>
      <c r="T21" s="614" t="s">
        <v>521</v>
      </c>
      <c r="U21" s="43"/>
      <c r="V21" s="88"/>
      <c r="W21" s="88"/>
      <c r="X21" s="88"/>
      <c r="Y21" s="88"/>
      <c r="Z21" s="88"/>
      <c r="AA21" s="88"/>
      <c r="AB21" s="88"/>
      <c r="AC21" s="88"/>
      <c r="AD21" s="88"/>
      <c r="AE21" s="88"/>
      <c r="AF21" s="88"/>
    </row>
    <row r="22" spans="1:32">
      <c r="A22" s="516" t="s">
        <v>667</v>
      </c>
      <c r="B22" s="622">
        <v>69.959999999999994</v>
      </c>
      <c r="C22" s="43">
        <v>63.86</v>
      </c>
      <c r="D22" s="337">
        <v>76.930000000000007</v>
      </c>
      <c r="E22" s="337">
        <v>71.05</v>
      </c>
      <c r="F22" s="337">
        <v>87.92</v>
      </c>
      <c r="G22" s="337">
        <v>69.38</v>
      </c>
      <c r="H22" s="337">
        <v>86.36</v>
      </c>
      <c r="I22" s="337">
        <v>98.1</v>
      </c>
      <c r="J22" s="337">
        <v>86.59</v>
      </c>
      <c r="K22" s="337">
        <v>68.760000000000005</v>
      </c>
      <c r="L22" s="337">
        <v>66.930000000000007</v>
      </c>
      <c r="M22" s="337">
        <v>61.1</v>
      </c>
      <c r="N22" s="337">
        <v>2.5299999999999998</v>
      </c>
      <c r="S22" s="516" t="s">
        <v>517</v>
      </c>
      <c r="T22" s="43">
        <v>1334.82</v>
      </c>
      <c r="U22" s="43">
        <v>1122.3699999999999</v>
      </c>
      <c r="V22" s="378">
        <v>1441.75</v>
      </c>
      <c r="W22" s="378">
        <v>1573.66</v>
      </c>
      <c r="X22" s="378">
        <v>1499.01</v>
      </c>
      <c r="Y22" s="378">
        <v>1596.11</v>
      </c>
      <c r="Z22" s="378">
        <v>1549.79</v>
      </c>
      <c r="AA22" s="378">
        <v>1382.97</v>
      </c>
      <c r="AB22" s="378">
        <v>1410.66</v>
      </c>
      <c r="AC22" s="378">
        <v>1457.55</v>
      </c>
      <c r="AD22" s="378">
        <v>1392.05</v>
      </c>
      <c r="AE22" s="378">
        <v>1591.85</v>
      </c>
      <c r="AF22" s="378">
        <v>0</v>
      </c>
    </row>
    <row r="23" spans="1:32">
      <c r="A23" s="516" t="s">
        <v>479</v>
      </c>
      <c r="B23" s="43">
        <v>21.95</v>
      </c>
      <c r="C23" s="43">
        <v>19.91</v>
      </c>
      <c r="D23" s="378">
        <v>21.36</v>
      </c>
      <c r="E23" s="378">
        <v>26.46</v>
      </c>
      <c r="F23" s="378">
        <v>22.56</v>
      </c>
      <c r="G23" s="378">
        <v>25.68</v>
      </c>
      <c r="H23" s="378">
        <v>25.48</v>
      </c>
      <c r="I23" s="378">
        <v>22.58</v>
      </c>
      <c r="J23" s="378">
        <v>24.75</v>
      </c>
      <c r="K23" s="378">
        <v>24.43</v>
      </c>
      <c r="L23" s="378">
        <v>24.45</v>
      </c>
      <c r="M23" s="378">
        <v>24.89</v>
      </c>
      <c r="N23" s="378">
        <v>0.89</v>
      </c>
      <c r="S23" s="516" t="s">
        <v>522</v>
      </c>
      <c r="T23" s="43">
        <v>81.42</v>
      </c>
      <c r="U23" s="43">
        <v>79.38</v>
      </c>
      <c r="V23" s="378">
        <v>91.94</v>
      </c>
      <c r="W23" s="378">
        <v>90.57</v>
      </c>
      <c r="X23" s="378">
        <v>87.86</v>
      </c>
      <c r="Y23" s="378">
        <v>89.31</v>
      </c>
      <c r="Z23" s="378">
        <v>87.27</v>
      </c>
      <c r="AA23" s="378">
        <v>89.31</v>
      </c>
      <c r="AB23" s="378">
        <v>93.48</v>
      </c>
      <c r="AC23" s="378">
        <v>86.73</v>
      </c>
      <c r="AD23" s="378">
        <v>83.96</v>
      </c>
      <c r="AE23" s="378">
        <v>97.26</v>
      </c>
      <c r="AF23" s="378">
        <v>0</v>
      </c>
    </row>
    <row r="24" spans="1:32">
      <c r="A24" s="516" t="s">
        <v>478</v>
      </c>
      <c r="B24" s="43">
        <v>238.01</v>
      </c>
      <c r="C24" s="43">
        <v>205.01</v>
      </c>
      <c r="D24" s="378">
        <v>234.64</v>
      </c>
      <c r="E24" s="378">
        <v>231.28</v>
      </c>
      <c r="F24" s="378">
        <v>222.02</v>
      </c>
      <c r="G24" s="378">
        <v>261.10000000000002</v>
      </c>
      <c r="H24" s="378">
        <v>241.56</v>
      </c>
      <c r="I24" s="378">
        <v>263.94</v>
      </c>
      <c r="J24" s="378">
        <v>240.46</v>
      </c>
      <c r="K24" s="378">
        <v>203.29</v>
      </c>
      <c r="L24" s="378">
        <v>328.21</v>
      </c>
      <c r="M24" s="378">
        <v>259.75</v>
      </c>
      <c r="N24" s="378">
        <v>164.89</v>
      </c>
      <c r="S24" s="516" t="s">
        <v>523</v>
      </c>
      <c r="T24" s="43">
        <v>0</v>
      </c>
      <c r="U24" s="43">
        <v>0</v>
      </c>
      <c r="V24" s="378">
        <v>0</v>
      </c>
      <c r="W24" s="378">
        <v>0</v>
      </c>
      <c r="X24" s="378">
        <v>0</v>
      </c>
      <c r="Y24" s="378">
        <v>0</v>
      </c>
      <c r="Z24" s="378">
        <v>0</v>
      </c>
      <c r="AA24" s="378">
        <v>0</v>
      </c>
      <c r="AB24" s="378">
        <v>0</v>
      </c>
      <c r="AC24" s="378">
        <v>0</v>
      </c>
      <c r="AD24" s="378">
        <v>0</v>
      </c>
      <c r="AE24" s="378">
        <v>0</v>
      </c>
      <c r="AF24" s="378">
        <v>0</v>
      </c>
    </row>
    <row r="25" spans="1:32">
      <c r="A25" s="516" t="s">
        <v>477</v>
      </c>
      <c r="B25" s="43">
        <v>663.38</v>
      </c>
      <c r="C25" s="43">
        <v>602.6</v>
      </c>
      <c r="D25" s="378">
        <v>651.54999999999995</v>
      </c>
      <c r="E25" s="378">
        <v>682.56</v>
      </c>
      <c r="F25" s="378">
        <v>616.95000000000005</v>
      </c>
      <c r="G25" s="378">
        <v>750.54</v>
      </c>
      <c r="H25" s="378">
        <v>714.63</v>
      </c>
      <c r="I25" s="378">
        <v>754.89</v>
      </c>
      <c r="J25" s="378">
        <v>705.52</v>
      </c>
      <c r="K25" s="378">
        <v>622.14</v>
      </c>
      <c r="L25" s="378">
        <v>856.04</v>
      </c>
      <c r="M25" s="378">
        <v>771.96</v>
      </c>
      <c r="N25" s="378">
        <v>231.24</v>
      </c>
      <c r="S25" s="516" t="s">
        <v>524</v>
      </c>
      <c r="T25" s="43">
        <v>0</v>
      </c>
      <c r="U25" s="43">
        <v>0</v>
      </c>
      <c r="V25" s="378">
        <v>0</v>
      </c>
      <c r="W25" s="378">
        <v>0</v>
      </c>
      <c r="X25" s="378">
        <v>0</v>
      </c>
      <c r="Y25" s="378">
        <v>0</v>
      </c>
      <c r="Z25" s="378">
        <v>0</v>
      </c>
      <c r="AA25" s="378">
        <v>0</v>
      </c>
      <c r="AB25" s="378">
        <v>0</v>
      </c>
      <c r="AC25" s="378">
        <v>0</v>
      </c>
      <c r="AD25" s="378">
        <v>0</v>
      </c>
      <c r="AE25" s="378">
        <v>0</v>
      </c>
      <c r="AF25" s="378">
        <v>0</v>
      </c>
    </row>
    <row r="26" spans="1:32">
      <c r="A26" s="516" t="s">
        <v>476</v>
      </c>
      <c r="B26" s="43">
        <v>6.92</v>
      </c>
      <c r="C26" s="43">
        <v>7.06</v>
      </c>
      <c r="D26" s="378">
        <v>6.66</v>
      </c>
      <c r="E26" s="378">
        <v>7.44</v>
      </c>
      <c r="F26" s="378">
        <v>6.73</v>
      </c>
      <c r="G26" s="378">
        <v>7.39</v>
      </c>
      <c r="H26" s="378">
        <v>7.51</v>
      </c>
      <c r="I26" s="378">
        <v>7.79</v>
      </c>
      <c r="J26" s="378">
        <v>7.62</v>
      </c>
      <c r="K26" s="378">
        <v>7.93</v>
      </c>
      <c r="L26" s="378">
        <v>6.71</v>
      </c>
      <c r="M26" s="378">
        <v>7.46</v>
      </c>
      <c r="N26" s="378">
        <v>2.78</v>
      </c>
      <c r="S26" s="516" t="s">
        <v>525</v>
      </c>
      <c r="T26" s="43">
        <v>1416.24</v>
      </c>
      <c r="U26" s="43">
        <v>1201.76</v>
      </c>
      <c r="V26" s="378">
        <v>1533.69</v>
      </c>
      <c r="W26" s="378">
        <v>1664.23</v>
      </c>
      <c r="X26" s="378">
        <v>1586.87</v>
      </c>
      <c r="Y26" s="378">
        <v>1685.42</v>
      </c>
      <c r="Z26" s="378">
        <v>1637.06</v>
      </c>
      <c r="AA26" s="378">
        <v>1472.28</v>
      </c>
      <c r="AB26" s="378">
        <v>1504.14</v>
      </c>
      <c r="AC26" s="378">
        <v>1544.28</v>
      </c>
      <c r="AD26" s="378">
        <v>1476.01</v>
      </c>
      <c r="AE26" s="378">
        <v>1689.11</v>
      </c>
      <c r="AF26" s="378">
        <v>0</v>
      </c>
    </row>
    <row r="27" spans="1:32">
      <c r="A27" s="611" t="s">
        <v>474</v>
      </c>
      <c r="B27" s="623">
        <v>0.99380000000000002</v>
      </c>
      <c r="C27" s="623">
        <v>0.94330000000000003</v>
      </c>
      <c r="D27" s="338">
        <v>1.0042</v>
      </c>
      <c r="E27" s="338">
        <v>1.0410999999999999</v>
      </c>
      <c r="F27" s="338">
        <v>1.0109999999999999</v>
      </c>
      <c r="G27" s="338">
        <v>0.99299999999999999</v>
      </c>
      <c r="H27" s="338">
        <v>0.99629999999999996</v>
      </c>
      <c r="I27" s="338">
        <v>0.99570000000000003</v>
      </c>
      <c r="J27" s="338">
        <v>0.99650000000000005</v>
      </c>
      <c r="K27" s="338">
        <v>0.99460000000000004</v>
      </c>
      <c r="L27" s="338">
        <v>0.99539999999999995</v>
      </c>
      <c r="M27" s="338">
        <v>0.99450000000000005</v>
      </c>
      <c r="N27" s="338">
        <v>0.96040000000000003</v>
      </c>
      <c r="S27" s="516" t="s">
        <v>526</v>
      </c>
      <c r="T27" s="40">
        <v>5.2999999999999999E-2</v>
      </c>
      <c r="U27" s="630">
        <v>6.6100000000000006E-2</v>
      </c>
      <c r="V27" s="631">
        <v>5.9900000000000002E-2</v>
      </c>
      <c r="W27" s="631">
        <v>5.4399999999999997E-2</v>
      </c>
      <c r="X27" s="631">
        <v>5.5399999999999998E-2</v>
      </c>
      <c r="Y27" s="631">
        <v>5.2999999999999999E-2</v>
      </c>
      <c r="Z27" s="631">
        <v>5.33E-2</v>
      </c>
      <c r="AA27" s="631">
        <v>6.0699999999999997E-2</v>
      </c>
      <c r="AB27" s="631">
        <v>6.2100000000000002E-2</v>
      </c>
      <c r="AC27" s="631">
        <v>5.62E-2</v>
      </c>
      <c r="AD27" s="631">
        <v>5.6899999999999999E-2</v>
      </c>
      <c r="AE27" s="631">
        <v>5.7599999999999998E-2</v>
      </c>
      <c r="AF27" s="631">
        <v>0</v>
      </c>
    </row>
    <row r="28" spans="1:32">
      <c r="A28" s="611" t="s">
        <v>472</v>
      </c>
      <c r="B28" s="623">
        <v>0.93489999999999995</v>
      </c>
      <c r="C28" s="623">
        <v>0.95350000000000001</v>
      </c>
      <c r="D28" s="338">
        <v>0.96379999999999999</v>
      </c>
      <c r="E28" s="338">
        <v>0.95240000000000002</v>
      </c>
      <c r="F28" s="338">
        <v>0.94940000000000002</v>
      </c>
      <c r="G28" s="338">
        <v>0.93010000000000004</v>
      </c>
      <c r="H28" s="338">
        <v>0.93369999999999997</v>
      </c>
      <c r="I28" s="338">
        <v>0.91439999999999999</v>
      </c>
      <c r="J28" s="338">
        <v>0.9194</v>
      </c>
      <c r="K28" s="338">
        <v>0.91020000000000001</v>
      </c>
      <c r="L28" s="338">
        <v>0.94620000000000004</v>
      </c>
      <c r="M28" s="338">
        <v>0.92830000000000001</v>
      </c>
      <c r="N28" s="671">
        <v>0.9173</v>
      </c>
      <c r="S28" s="516" t="s">
        <v>527</v>
      </c>
      <c r="T28" s="40">
        <v>0.86370000000000002</v>
      </c>
      <c r="U28" s="630">
        <v>0.93389999999999995</v>
      </c>
      <c r="V28" s="631">
        <v>0.94010000000000005</v>
      </c>
      <c r="W28" s="631">
        <v>0.9456</v>
      </c>
      <c r="X28" s="631">
        <v>0.9446</v>
      </c>
      <c r="Y28" s="631">
        <v>0.94699999999999995</v>
      </c>
      <c r="Z28" s="631">
        <v>0.94669999999999999</v>
      </c>
      <c r="AA28" s="631">
        <v>0.93930000000000002</v>
      </c>
      <c r="AB28" s="631">
        <v>0.93789999999999996</v>
      </c>
      <c r="AC28" s="631">
        <v>0.94379999999999997</v>
      </c>
      <c r="AD28" s="631">
        <v>0.94310000000000005</v>
      </c>
      <c r="AE28" s="631">
        <v>0.94240000000000002</v>
      </c>
      <c r="AF28" s="631">
        <v>0</v>
      </c>
    </row>
    <row r="29" spans="1:32" ht="51.75">
      <c r="A29" s="671" t="s">
        <v>471</v>
      </c>
      <c r="B29" s="623">
        <v>0.96679999999999999</v>
      </c>
      <c r="C29" s="623">
        <v>0.94850000000000001</v>
      </c>
      <c r="D29" s="338">
        <v>0.98480000000000001</v>
      </c>
      <c r="E29" s="338">
        <v>1.0023</v>
      </c>
      <c r="F29" s="338">
        <v>0.98160000000000003</v>
      </c>
      <c r="G29" s="338">
        <v>0.96419999999999995</v>
      </c>
      <c r="H29" s="338">
        <v>0.96719999999999995</v>
      </c>
      <c r="I29" s="338">
        <v>0.95899999999999996</v>
      </c>
      <c r="J29" s="338">
        <v>0.95909999999999995</v>
      </c>
      <c r="K29" s="338">
        <v>0.95330000000000004</v>
      </c>
      <c r="L29" s="338">
        <v>0.97809999999999997</v>
      </c>
      <c r="M29" s="338">
        <v>0.96560000000000001</v>
      </c>
      <c r="N29" s="338">
        <v>0.93759999999999999</v>
      </c>
      <c r="S29" s="629" t="s">
        <v>528</v>
      </c>
      <c r="T29" s="43" t="s">
        <v>528</v>
      </c>
      <c r="U29" s="43"/>
      <c r="V29" s="88"/>
      <c r="W29" s="88"/>
      <c r="X29" s="88"/>
      <c r="Y29" s="88"/>
      <c r="Z29" s="88"/>
      <c r="AA29" s="88"/>
      <c r="AB29" s="88"/>
      <c r="AC29" s="88"/>
      <c r="AD29" s="88"/>
      <c r="AE29" s="88"/>
      <c r="AF29" s="88"/>
    </row>
    <row r="30" spans="1:32">
      <c r="B30" s="564"/>
      <c r="C30" s="564"/>
      <c r="D30" s="564"/>
      <c r="E30" s="564"/>
      <c r="F30" s="564"/>
      <c r="G30" s="564"/>
      <c r="H30" s="564"/>
      <c r="I30" s="564"/>
      <c r="J30" s="564"/>
      <c r="K30" s="564"/>
      <c r="L30" s="564"/>
      <c r="M30" s="564"/>
      <c r="N30" s="564"/>
      <c r="S30" s="516" t="s">
        <v>529</v>
      </c>
      <c r="T30" s="40">
        <v>0.69550000000000001</v>
      </c>
      <c r="U30" s="40">
        <v>0.78349999999999997</v>
      </c>
      <c r="V30" s="338">
        <v>0.75149999999999995</v>
      </c>
      <c r="W30" s="338">
        <v>0.76880000000000004</v>
      </c>
      <c r="X30" s="338">
        <v>0.74619999999999997</v>
      </c>
      <c r="Y30" s="338">
        <v>0.73709999999999998</v>
      </c>
      <c r="Z30" s="338">
        <v>0.76490000000000002</v>
      </c>
      <c r="AA30" s="338">
        <v>0.73939999999999995</v>
      </c>
      <c r="AB30" s="338">
        <v>0.73829999999999996</v>
      </c>
      <c r="AC30" s="338">
        <v>0.79169999999999996</v>
      </c>
      <c r="AD30" s="338">
        <v>0.76519999999999999</v>
      </c>
      <c r="AE30" s="338">
        <v>0.75949999999999995</v>
      </c>
      <c r="AF30" s="338">
        <v>0</v>
      </c>
    </row>
    <row r="31" spans="1:32">
      <c r="S31" s="516" t="s">
        <v>530</v>
      </c>
      <c r="T31" s="40">
        <v>0.1183</v>
      </c>
      <c r="U31" s="40">
        <v>0.112</v>
      </c>
      <c r="V31" s="338">
        <v>0.13059999999999999</v>
      </c>
      <c r="W31" s="338">
        <v>0.12239999999999999</v>
      </c>
      <c r="X31" s="338">
        <v>0.13769999999999999</v>
      </c>
      <c r="Y31" s="338">
        <v>0.14299999999999999</v>
      </c>
      <c r="Z31" s="338">
        <v>0.127</v>
      </c>
      <c r="AA31" s="338">
        <v>0.1396</v>
      </c>
      <c r="AB31" s="338">
        <v>0.1419</v>
      </c>
      <c r="AC31" s="338">
        <v>0.112</v>
      </c>
      <c r="AD31" s="338">
        <v>0.1263</v>
      </c>
      <c r="AE31" s="338">
        <v>0.12659999999999999</v>
      </c>
      <c r="AF31" s="338">
        <v>0</v>
      </c>
    </row>
    <row r="32" spans="1:32">
      <c r="S32" s="516" t="s">
        <v>531</v>
      </c>
      <c r="T32" s="40">
        <v>6.3E-3</v>
      </c>
      <c r="U32" s="40">
        <v>3.8999999999999998E-3</v>
      </c>
      <c r="V32" s="338">
        <v>7.4999999999999997E-3</v>
      </c>
      <c r="W32" s="338">
        <v>6.1999999999999998E-3</v>
      </c>
      <c r="X32" s="338">
        <v>7.1000000000000004E-3</v>
      </c>
      <c r="Y32" s="338">
        <v>8.5000000000000006E-3</v>
      </c>
      <c r="Z32" s="338">
        <v>7.4000000000000003E-3</v>
      </c>
      <c r="AA32" s="338">
        <v>8.0000000000000002E-3</v>
      </c>
      <c r="AB32" s="338">
        <v>7.7000000000000002E-3</v>
      </c>
      <c r="AC32" s="338">
        <v>6.1000000000000004E-3</v>
      </c>
      <c r="AD32" s="338">
        <v>5.8999999999999999E-3</v>
      </c>
      <c r="AE32" s="338">
        <v>7.7000000000000002E-3</v>
      </c>
      <c r="AF32" s="338">
        <v>0</v>
      </c>
    </row>
    <row r="33" spans="1:32">
      <c r="S33" s="516" t="s">
        <v>532</v>
      </c>
      <c r="T33" s="40">
        <v>3.7000000000000002E-3</v>
      </c>
      <c r="U33" s="40">
        <v>2.2000000000000001E-3</v>
      </c>
      <c r="V33" s="338">
        <v>4.1000000000000003E-3</v>
      </c>
      <c r="W33" s="338">
        <v>4.1999999999999997E-3</v>
      </c>
      <c r="X33" s="338">
        <v>4.5999999999999999E-3</v>
      </c>
      <c r="Y33" s="338">
        <v>3.7000000000000002E-3</v>
      </c>
      <c r="Z33" s="338">
        <v>4.0000000000000001E-3</v>
      </c>
      <c r="AA33" s="338">
        <v>4.5999999999999999E-3</v>
      </c>
      <c r="AB33" s="338">
        <v>4.7999999999999996E-3</v>
      </c>
      <c r="AC33" s="338">
        <v>3.8E-3</v>
      </c>
      <c r="AD33" s="338">
        <v>3.7000000000000002E-3</v>
      </c>
      <c r="AE33" s="338">
        <v>4.4000000000000003E-3</v>
      </c>
      <c r="AF33" s="338">
        <v>0</v>
      </c>
    </row>
    <row r="34" spans="1:32">
      <c r="S34" s="516" t="s">
        <v>533</v>
      </c>
      <c r="T34" s="40">
        <v>4.1799999999999997E-2</v>
      </c>
      <c r="U34" s="40">
        <v>4.4299999999999999E-2</v>
      </c>
      <c r="V34" s="338">
        <v>4.8399999999999999E-2</v>
      </c>
      <c r="W34" s="338">
        <v>4.5199999999999997E-2</v>
      </c>
      <c r="X34" s="338">
        <v>4.6399999999999997E-2</v>
      </c>
      <c r="Y34" s="338">
        <v>4.7100000000000003E-2</v>
      </c>
      <c r="Z34" s="338">
        <v>4.3799999999999999E-2</v>
      </c>
      <c r="AA34" s="338">
        <v>4.7399999999999998E-2</v>
      </c>
      <c r="AB34" s="338">
        <v>4.5999999999999999E-2</v>
      </c>
      <c r="AC34" s="338">
        <v>3.9100000000000003E-2</v>
      </c>
      <c r="AD34" s="338">
        <v>4.4600000000000001E-2</v>
      </c>
      <c r="AE34" s="338">
        <v>4.9000000000000002E-2</v>
      </c>
      <c r="AF34" s="338">
        <v>0</v>
      </c>
    </row>
    <row r="35" spans="1:32">
      <c r="S35" s="516" t="s">
        <v>534</v>
      </c>
      <c r="T35" s="40">
        <v>3.3E-3</v>
      </c>
      <c r="U35" s="40">
        <v>1.8E-3</v>
      </c>
      <c r="V35" s="338">
        <v>3.8E-3</v>
      </c>
      <c r="W35" s="338">
        <v>3.3999999999999998E-3</v>
      </c>
      <c r="X35" s="338">
        <v>3.8999999999999998E-3</v>
      </c>
      <c r="Y35" s="338">
        <v>3.5999999999999999E-3</v>
      </c>
      <c r="Z35" s="338">
        <v>3.7000000000000002E-3</v>
      </c>
      <c r="AA35" s="338">
        <v>3.8E-3</v>
      </c>
      <c r="AB35" s="338">
        <v>4.1000000000000003E-3</v>
      </c>
      <c r="AC35" s="338">
        <v>3.5999999999999999E-3</v>
      </c>
      <c r="AD35" s="338">
        <v>3.7000000000000002E-3</v>
      </c>
      <c r="AE35" s="338">
        <v>4.4999999999999997E-3</v>
      </c>
      <c r="AF35" s="338">
        <v>0</v>
      </c>
    </row>
    <row r="36" spans="1:32">
      <c r="S36" s="516" t="s">
        <v>535</v>
      </c>
      <c r="T36" s="40">
        <v>4.7800000000000002E-2</v>
      </c>
      <c r="U36" s="40">
        <v>5.2200000000000003E-2</v>
      </c>
      <c r="V36" s="338">
        <v>5.4100000000000002E-2</v>
      </c>
      <c r="W36" s="338">
        <v>4.9799999999999997E-2</v>
      </c>
      <c r="X36" s="338">
        <v>5.4100000000000002E-2</v>
      </c>
      <c r="Y36" s="338">
        <v>5.7099999999999998E-2</v>
      </c>
      <c r="Z36" s="338">
        <v>4.9200000000000001E-2</v>
      </c>
      <c r="AA36" s="338">
        <v>5.7299999999999997E-2</v>
      </c>
      <c r="AB36" s="338">
        <v>5.7200000000000001E-2</v>
      </c>
      <c r="AC36" s="338">
        <v>4.3700000000000003E-2</v>
      </c>
      <c r="AD36" s="338">
        <v>5.0599999999999999E-2</v>
      </c>
      <c r="AE36" s="338">
        <v>4.8300000000000003E-2</v>
      </c>
      <c r="AF36" s="338">
        <v>0</v>
      </c>
    </row>
    <row r="37" spans="1:32">
      <c r="S37" s="516" t="s">
        <v>536</v>
      </c>
      <c r="T37" s="40">
        <v>0.19900000000000001</v>
      </c>
      <c r="U37" s="630">
        <v>0.2823</v>
      </c>
      <c r="V37" s="631">
        <v>0.2029</v>
      </c>
      <c r="W37" s="631">
        <v>0.20050000000000001</v>
      </c>
      <c r="X37" s="631">
        <v>0.19409999999999999</v>
      </c>
      <c r="Y37" s="631">
        <v>0.20050000000000001</v>
      </c>
      <c r="Z37" s="631">
        <v>0.20150000000000001</v>
      </c>
      <c r="AA37" s="631">
        <v>0.218</v>
      </c>
      <c r="AB37" s="631">
        <v>0.21759999999999999</v>
      </c>
      <c r="AC37" s="631">
        <v>0.22109999999999999</v>
      </c>
      <c r="AD37" s="631">
        <v>0.22170000000000001</v>
      </c>
      <c r="AE37" s="631">
        <v>0.22770000000000001</v>
      </c>
      <c r="AF37" s="631">
        <v>0</v>
      </c>
    </row>
    <row r="38" spans="1:32">
      <c r="S38" s="516" t="s">
        <v>537</v>
      </c>
      <c r="T38" s="40">
        <v>0.7177</v>
      </c>
      <c r="U38" s="630">
        <v>0.7177</v>
      </c>
      <c r="V38" s="631">
        <v>0.79710000000000003</v>
      </c>
      <c r="W38" s="631">
        <v>0.79949999999999999</v>
      </c>
      <c r="X38" s="631">
        <v>0.80589999999999995</v>
      </c>
      <c r="Y38" s="631">
        <v>0.79949999999999999</v>
      </c>
      <c r="Z38" s="631">
        <v>0.79849999999999999</v>
      </c>
      <c r="AA38" s="631">
        <v>0.78200000000000003</v>
      </c>
      <c r="AB38" s="631">
        <v>0.78239999999999998</v>
      </c>
      <c r="AC38" s="631">
        <v>0.77890000000000004</v>
      </c>
      <c r="AD38" s="631">
        <v>0.77829999999999999</v>
      </c>
      <c r="AE38" s="631">
        <v>0.77229999999999999</v>
      </c>
      <c r="AF38" s="631">
        <v>0</v>
      </c>
    </row>
    <row r="39" spans="1:32">
      <c r="S39" s="516" t="s">
        <v>538</v>
      </c>
      <c r="T39" s="40">
        <v>0.65449999999999997</v>
      </c>
      <c r="U39" s="630">
        <v>0.71840000000000004</v>
      </c>
      <c r="V39" s="631">
        <v>0.72640000000000005</v>
      </c>
      <c r="W39" s="631">
        <v>0.71799999999999997</v>
      </c>
      <c r="X39" s="631">
        <v>0.72819999999999996</v>
      </c>
      <c r="Y39" s="631">
        <v>0.73040000000000005</v>
      </c>
      <c r="Z39" s="631">
        <v>0.71750000000000003</v>
      </c>
      <c r="AA39" s="631">
        <v>0.71709999999999996</v>
      </c>
      <c r="AB39" s="631">
        <v>0.71089999999999998</v>
      </c>
      <c r="AC39" s="631">
        <v>0.65500000000000003</v>
      </c>
      <c r="AD39" s="631">
        <v>0.70950000000000002</v>
      </c>
      <c r="AE39" s="631">
        <v>0.7228</v>
      </c>
      <c r="AF39" s="631">
        <v>0</v>
      </c>
    </row>
    <row r="40" spans="1:32">
      <c r="S40" s="516" t="s">
        <v>539</v>
      </c>
      <c r="T40" s="40">
        <v>0.26219999999999999</v>
      </c>
      <c r="U40" s="630">
        <v>0.28160000000000002</v>
      </c>
      <c r="V40" s="631">
        <v>0.27360000000000001</v>
      </c>
      <c r="W40" s="631">
        <v>0.28199999999999997</v>
      </c>
      <c r="X40" s="631">
        <v>0.27179999999999999</v>
      </c>
      <c r="Y40" s="631">
        <v>0.26960000000000001</v>
      </c>
      <c r="Z40" s="631">
        <v>0.28249999999999997</v>
      </c>
      <c r="AA40" s="631">
        <v>0.28289999999999998</v>
      </c>
      <c r="AB40" s="631">
        <v>0.28910000000000002</v>
      </c>
      <c r="AC40" s="631">
        <v>0.34499999999999997</v>
      </c>
      <c r="AD40" s="631">
        <v>0.29049999999999998</v>
      </c>
      <c r="AE40" s="631">
        <v>0.2772</v>
      </c>
      <c r="AF40" s="631">
        <v>0</v>
      </c>
    </row>
    <row r="41" spans="1:32" ht="51.75">
      <c r="S41" s="629" t="s">
        <v>540</v>
      </c>
      <c r="T41" s="43" t="s">
        <v>540</v>
      </c>
      <c r="U41" s="43"/>
      <c r="V41" s="88"/>
      <c r="W41" s="88"/>
      <c r="X41" s="88"/>
      <c r="Y41" s="88"/>
      <c r="Z41" s="88"/>
      <c r="AA41" s="88"/>
      <c r="AB41" s="88"/>
      <c r="AC41" s="88"/>
      <c r="AD41" s="88"/>
      <c r="AE41" s="88"/>
      <c r="AF41" s="88"/>
    </row>
    <row r="42" spans="1:32">
      <c r="S42" s="516" t="s">
        <v>541</v>
      </c>
      <c r="T42" s="40">
        <v>0.91120000000000001</v>
      </c>
      <c r="U42" s="630">
        <v>0.99419999999999997</v>
      </c>
      <c r="V42" s="631">
        <v>0.99380000000000002</v>
      </c>
      <c r="W42" s="631">
        <v>0.99399999999999999</v>
      </c>
      <c r="X42" s="631">
        <v>0.99450000000000005</v>
      </c>
      <c r="Y42" s="631">
        <v>0.99529999999999996</v>
      </c>
      <c r="Z42" s="631">
        <v>0.99470000000000003</v>
      </c>
      <c r="AA42" s="631">
        <v>0.99450000000000005</v>
      </c>
      <c r="AB42" s="631">
        <v>0.99139999999999995</v>
      </c>
      <c r="AC42" s="631">
        <v>0.99339999999999995</v>
      </c>
      <c r="AD42" s="631">
        <v>0.99439999999999995</v>
      </c>
      <c r="AE42" s="631">
        <v>0.99409999999999998</v>
      </c>
      <c r="AF42" s="631">
        <v>0</v>
      </c>
    </row>
    <row r="43" spans="1:32">
      <c r="S43" s="516" t="s">
        <v>542</v>
      </c>
      <c r="T43" s="40">
        <v>5.4999999999999997E-3</v>
      </c>
      <c r="U43" s="630">
        <v>5.7999999999999996E-3</v>
      </c>
      <c r="V43" s="631">
        <v>6.1999999999999998E-3</v>
      </c>
      <c r="W43" s="631">
        <v>6.0000000000000001E-3</v>
      </c>
      <c r="X43" s="631">
        <v>5.4999999999999997E-3</v>
      </c>
      <c r="Y43" s="631">
        <v>4.7000000000000002E-3</v>
      </c>
      <c r="Z43" s="631">
        <v>5.3E-3</v>
      </c>
      <c r="AA43" s="631">
        <v>5.4999999999999997E-3</v>
      </c>
      <c r="AB43" s="631">
        <v>8.6E-3</v>
      </c>
      <c r="AC43" s="631">
        <v>6.6E-3</v>
      </c>
      <c r="AD43" s="631">
        <v>5.5999999999999999E-3</v>
      </c>
      <c r="AE43" s="631">
        <v>5.8999999999999999E-3</v>
      </c>
      <c r="AF43" s="631">
        <v>0</v>
      </c>
    </row>
    <row r="44" spans="1:32">
      <c r="S44" s="516" t="s">
        <v>543</v>
      </c>
      <c r="T44" s="40">
        <v>5.9999999999999995E-4</v>
      </c>
      <c r="U44" s="630">
        <v>0</v>
      </c>
      <c r="V44" s="631">
        <v>5.0000000000000001E-4</v>
      </c>
      <c r="W44" s="631">
        <v>8.0000000000000004E-4</v>
      </c>
      <c r="X44" s="631">
        <v>5.0000000000000001E-4</v>
      </c>
      <c r="Y44" s="631">
        <v>4.0000000000000002E-4</v>
      </c>
      <c r="Z44" s="631">
        <v>4.0000000000000002E-4</v>
      </c>
      <c r="AA44" s="631">
        <v>4.0000000000000002E-4</v>
      </c>
      <c r="AB44" s="631">
        <v>3.5999999999999999E-3</v>
      </c>
      <c r="AC44" s="631">
        <v>0</v>
      </c>
      <c r="AD44" s="631">
        <v>5.0000000000000001E-4</v>
      </c>
      <c r="AE44" s="631">
        <v>5.0000000000000001E-4</v>
      </c>
      <c r="AF44" s="631">
        <v>0</v>
      </c>
    </row>
    <row r="45" spans="1:32">
      <c r="S45" s="516" t="s">
        <v>544</v>
      </c>
      <c r="T45" s="40">
        <v>0.32700000000000001</v>
      </c>
      <c r="U45" s="630">
        <v>0.3785</v>
      </c>
      <c r="V45" s="631">
        <v>0.34639999999999999</v>
      </c>
      <c r="W45" s="631">
        <v>0.33479999999999999</v>
      </c>
      <c r="X45" s="631">
        <v>0.3468</v>
      </c>
      <c r="Y45" s="631">
        <v>0.32300000000000001</v>
      </c>
      <c r="Z45" s="631">
        <v>0.3211</v>
      </c>
      <c r="AA45" s="631">
        <v>0.37140000000000001</v>
      </c>
      <c r="AB45" s="631">
        <v>0.3977</v>
      </c>
      <c r="AC45" s="631">
        <v>0.35610000000000003</v>
      </c>
      <c r="AD45" s="631">
        <v>0.3911</v>
      </c>
      <c r="AE45" s="631">
        <v>0.35749999999999998</v>
      </c>
      <c r="AF45" s="631">
        <v>0</v>
      </c>
    </row>
    <row r="46" spans="1:32">
      <c r="S46" s="611" t="s">
        <v>545</v>
      </c>
      <c r="T46" s="40">
        <v>0.22389999999999999</v>
      </c>
      <c r="U46" s="40">
        <v>0.23760000000000001</v>
      </c>
      <c r="V46" s="338">
        <v>0.24</v>
      </c>
      <c r="W46" s="338">
        <v>0.23960000000000001</v>
      </c>
      <c r="X46" s="338">
        <v>0.25490000000000002</v>
      </c>
      <c r="Y46" s="338">
        <v>0.25580000000000003</v>
      </c>
      <c r="Z46" s="338">
        <v>0.24460000000000001</v>
      </c>
      <c r="AA46" s="338">
        <v>0.26090000000000002</v>
      </c>
      <c r="AB46" s="338">
        <v>0.25590000000000002</v>
      </c>
      <c r="AC46" s="338">
        <v>0.2155</v>
      </c>
      <c r="AD46" s="338">
        <v>0.24410000000000001</v>
      </c>
      <c r="AE46" s="338">
        <v>0.23760000000000001</v>
      </c>
      <c r="AF46" s="338">
        <v>0</v>
      </c>
    </row>
    <row r="48" spans="1:32">
      <c r="A48" s="724" t="s">
        <v>366</v>
      </c>
      <c r="B48" s="725"/>
      <c r="C48" s="725"/>
      <c r="D48" s="725"/>
      <c r="E48" s="725"/>
      <c r="F48" s="725"/>
      <c r="G48" s="725"/>
      <c r="H48" s="725"/>
      <c r="I48" s="725"/>
      <c r="J48" s="725"/>
      <c r="K48" s="725"/>
      <c r="L48" s="725"/>
      <c r="M48" s="725"/>
      <c r="N48" s="725"/>
      <c r="S48" s="724" t="s">
        <v>366</v>
      </c>
      <c r="T48" s="725"/>
      <c r="U48" s="725"/>
      <c r="V48" s="725"/>
      <c r="W48" s="725"/>
      <c r="X48" s="725"/>
      <c r="Y48" s="725"/>
      <c r="Z48" s="725"/>
      <c r="AA48" s="725"/>
      <c r="AB48" s="725"/>
      <c r="AC48" s="725"/>
      <c r="AD48" s="725"/>
      <c r="AE48" s="725"/>
      <c r="AF48" s="725"/>
    </row>
    <row r="49" spans="1:33">
      <c r="A49" s="634"/>
      <c r="B49" s="652" t="s">
        <v>500</v>
      </c>
      <c r="C49" s="652" t="s">
        <v>504</v>
      </c>
      <c r="D49" s="652" t="s">
        <v>505</v>
      </c>
      <c r="E49" s="652" t="s">
        <v>506</v>
      </c>
      <c r="F49" s="652" t="s">
        <v>507</v>
      </c>
      <c r="G49" s="652" t="s">
        <v>508</v>
      </c>
      <c r="H49" s="652" t="s">
        <v>509</v>
      </c>
      <c r="I49" s="652" t="s">
        <v>510</v>
      </c>
      <c r="J49" s="652" t="s">
        <v>511</v>
      </c>
      <c r="K49" s="652" t="s">
        <v>512</v>
      </c>
      <c r="L49" s="652" t="s">
        <v>501</v>
      </c>
      <c r="M49" s="652" t="s">
        <v>502</v>
      </c>
      <c r="N49" s="652" t="s">
        <v>503</v>
      </c>
      <c r="S49" s="634"/>
      <c r="T49" s="634" t="s">
        <v>500</v>
      </c>
      <c r="U49" s="634" t="s">
        <v>504</v>
      </c>
      <c r="V49" s="634" t="s">
        <v>505</v>
      </c>
      <c r="W49" s="634" t="s">
        <v>506</v>
      </c>
      <c r="X49" s="634" t="s">
        <v>507</v>
      </c>
      <c r="Y49" s="634" t="s">
        <v>508</v>
      </c>
      <c r="Z49" s="634" t="s">
        <v>509</v>
      </c>
      <c r="AA49" s="634" t="s">
        <v>510</v>
      </c>
      <c r="AB49" s="634" t="s">
        <v>511</v>
      </c>
      <c r="AC49" s="634" t="s">
        <v>512</v>
      </c>
      <c r="AD49" s="634" t="s">
        <v>501</v>
      </c>
      <c r="AE49" s="634" t="s">
        <v>502</v>
      </c>
      <c r="AF49" s="634" t="s">
        <v>503</v>
      </c>
    </row>
    <row r="50" spans="1:33">
      <c r="A50" s="516"/>
      <c r="B50" s="620"/>
      <c r="C50" s="365"/>
      <c r="D50" s="340"/>
      <c r="E50" s="340"/>
      <c r="F50" s="340"/>
      <c r="G50" s="340"/>
      <c r="H50" s="340"/>
      <c r="I50" s="340"/>
      <c r="J50" s="340"/>
      <c r="K50" s="340"/>
      <c r="L50" s="340"/>
      <c r="M50" s="340"/>
      <c r="N50" s="340"/>
      <c r="S50" s="516"/>
      <c r="T50" s="620"/>
      <c r="U50" s="365"/>
      <c r="V50" s="340"/>
      <c r="W50" s="340"/>
      <c r="X50" s="340"/>
      <c r="Y50" s="340"/>
      <c r="Z50" s="340"/>
      <c r="AA50" s="340"/>
      <c r="AB50" s="340"/>
      <c r="AC50" s="340"/>
      <c r="AD50" s="340"/>
      <c r="AE50" s="340"/>
      <c r="AF50" s="340"/>
    </row>
    <row r="51" spans="1:33">
      <c r="A51" s="516"/>
      <c r="B51" s="620"/>
      <c r="C51" s="365"/>
      <c r="D51" s="340"/>
      <c r="E51" s="340"/>
      <c r="F51" s="340"/>
      <c r="G51" s="340"/>
      <c r="H51" s="340"/>
      <c r="I51" s="340"/>
      <c r="J51" s="340"/>
      <c r="K51" s="340"/>
      <c r="L51" s="340"/>
      <c r="M51" s="340"/>
      <c r="N51" s="340"/>
      <c r="S51" s="516"/>
      <c r="T51" s="620"/>
      <c r="U51" s="365"/>
      <c r="V51" s="340"/>
      <c r="W51" s="340"/>
      <c r="X51" s="340"/>
      <c r="Y51" s="340"/>
      <c r="Z51" s="340"/>
      <c r="AA51" s="340"/>
      <c r="AB51" s="340"/>
      <c r="AC51" s="340"/>
      <c r="AD51" s="340"/>
      <c r="AE51" s="340"/>
      <c r="AF51" s="340"/>
    </row>
    <row r="52" spans="1:33">
      <c r="A52" s="516"/>
      <c r="B52" s="620"/>
      <c r="C52" s="365"/>
      <c r="D52" s="340"/>
      <c r="E52" s="340"/>
      <c r="F52" s="340"/>
      <c r="G52" s="340"/>
      <c r="H52" s="340"/>
      <c r="I52" s="340"/>
      <c r="J52" s="340"/>
      <c r="K52" s="340"/>
      <c r="L52" s="340"/>
      <c r="M52" s="340"/>
      <c r="N52" s="340"/>
      <c r="S52" s="516"/>
      <c r="T52" s="620"/>
      <c r="U52" s="365"/>
      <c r="V52" s="88"/>
      <c r="W52" s="88"/>
      <c r="X52" s="88"/>
      <c r="Y52" s="88"/>
      <c r="Z52" s="88"/>
      <c r="AA52" s="88"/>
      <c r="AB52" s="88"/>
      <c r="AC52" s="88"/>
      <c r="AD52" s="88"/>
      <c r="AE52" s="88"/>
      <c r="AF52" s="88"/>
    </row>
    <row r="53" spans="1:33">
      <c r="A53" s="516"/>
      <c r="B53" s="620"/>
      <c r="C53" s="168"/>
      <c r="D53" s="88"/>
      <c r="E53" s="88"/>
      <c r="F53" s="88"/>
      <c r="G53" s="88"/>
      <c r="H53" s="88"/>
      <c r="I53" s="88"/>
      <c r="J53" s="88"/>
      <c r="K53" s="88"/>
      <c r="L53" s="88"/>
      <c r="M53" s="88"/>
      <c r="N53" s="88"/>
      <c r="S53" s="516"/>
      <c r="T53" s="620"/>
      <c r="U53" s="168"/>
      <c r="V53" s="88"/>
      <c r="W53" s="88"/>
      <c r="X53" s="88"/>
      <c r="Y53" s="88"/>
      <c r="Z53" s="88"/>
      <c r="AA53" s="88"/>
      <c r="AB53" s="88"/>
      <c r="AC53" s="88"/>
      <c r="AD53" s="88"/>
      <c r="AE53" s="88"/>
      <c r="AF53" s="88"/>
    </row>
    <row r="54" spans="1:33">
      <c r="A54" s="516"/>
      <c r="B54" s="621"/>
      <c r="C54" s="168"/>
      <c r="D54" s="338"/>
      <c r="E54" s="338"/>
      <c r="F54" s="338"/>
      <c r="G54" s="338"/>
      <c r="H54" s="338"/>
      <c r="I54" s="338"/>
      <c r="J54" s="338"/>
      <c r="K54" s="338"/>
      <c r="L54" s="338"/>
      <c r="M54" s="338"/>
      <c r="N54" s="338"/>
      <c r="S54" s="516"/>
      <c r="T54" s="621"/>
      <c r="U54" s="168"/>
      <c r="V54" s="338"/>
      <c r="W54" s="338"/>
      <c r="X54" s="338"/>
      <c r="Y54" s="338"/>
      <c r="Z54" s="338"/>
      <c r="AA54" s="338"/>
      <c r="AB54" s="338"/>
      <c r="AC54" s="338"/>
      <c r="AD54" s="338"/>
      <c r="AE54" s="338"/>
      <c r="AF54" s="338"/>
    </row>
    <row r="55" spans="1:33">
      <c r="A55" s="516"/>
      <c r="B55" s="621"/>
      <c r="C55" s="618"/>
      <c r="D55" s="340"/>
      <c r="E55" s="340"/>
      <c r="F55" s="340"/>
      <c r="G55" s="340"/>
      <c r="H55" s="340"/>
      <c r="I55" s="340"/>
      <c r="J55" s="340"/>
      <c r="K55" s="340"/>
      <c r="L55" s="340"/>
      <c r="M55" s="340"/>
      <c r="N55" s="340"/>
      <c r="S55" s="516"/>
      <c r="T55" s="621"/>
      <c r="U55" s="618"/>
      <c r="V55" s="340"/>
      <c r="W55" s="340"/>
      <c r="X55" s="340"/>
      <c r="Y55" s="340"/>
      <c r="Z55" s="340"/>
      <c r="AA55" s="340"/>
      <c r="AB55" s="340"/>
      <c r="AC55" s="340"/>
      <c r="AD55" s="340"/>
      <c r="AE55" s="340"/>
      <c r="AF55" s="340"/>
    </row>
    <row r="56" spans="1:33">
      <c r="A56" s="516"/>
      <c r="B56" s="620"/>
      <c r="C56" s="168"/>
      <c r="D56" s="340"/>
      <c r="E56" s="340"/>
      <c r="F56" s="340"/>
      <c r="G56" s="340"/>
      <c r="H56" s="340"/>
      <c r="I56" s="340"/>
      <c r="J56" s="340"/>
      <c r="K56" s="340"/>
      <c r="L56" s="340"/>
      <c r="M56" s="340"/>
      <c r="N56" s="340"/>
      <c r="P56" s="589"/>
      <c r="S56" s="516"/>
      <c r="T56" s="620"/>
      <c r="U56" s="168"/>
      <c r="V56" s="340"/>
      <c r="W56" s="340"/>
      <c r="X56" s="340"/>
      <c r="Y56" s="340"/>
      <c r="Z56" s="340"/>
      <c r="AA56" s="340"/>
      <c r="AB56" s="340"/>
      <c r="AC56" s="340"/>
      <c r="AD56" s="340"/>
      <c r="AE56" s="340"/>
      <c r="AF56" s="340"/>
      <c r="AG56" s="589"/>
    </row>
    <row r="57" spans="1:33">
      <c r="A57" s="516"/>
      <c r="B57" s="43"/>
      <c r="C57" s="43"/>
      <c r="D57" s="378"/>
      <c r="E57" s="378"/>
      <c r="F57" s="378"/>
      <c r="G57" s="378"/>
      <c r="H57" s="378"/>
      <c r="I57" s="378"/>
      <c r="J57" s="378"/>
      <c r="K57" s="378"/>
      <c r="L57" s="378"/>
      <c r="M57" s="378"/>
      <c r="N57" s="378"/>
      <c r="S57" s="516"/>
      <c r="T57" s="43"/>
      <c r="U57" s="43"/>
      <c r="V57" s="378"/>
      <c r="W57" s="378"/>
      <c r="X57" s="378"/>
      <c r="Y57" s="378"/>
      <c r="Z57" s="378"/>
      <c r="AA57" s="378"/>
      <c r="AB57" s="378"/>
      <c r="AC57" s="378"/>
      <c r="AD57" s="378"/>
      <c r="AE57" s="378"/>
      <c r="AF57" s="378"/>
    </row>
    <row r="58" spans="1:33">
      <c r="A58" s="516"/>
      <c r="B58" s="43"/>
      <c r="C58" s="43"/>
      <c r="D58" s="378"/>
      <c r="E58" s="378"/>
      <c r="F58" s="378"/>
      <c r="G58" s="378"/>
      <c r="H58" s="378"/>
      <c r="I58" s="378"/>
      <c r="J58" s="378"/>
      <c r="K58" s="378"/>
      <c r="L58" s="378"/>
      <c r="M58" s="378"/>
      <c r="N58" s="378"/>
      <c r="S58" s="516"/>
      <c r="T58" s="43"/>
      <c r="U58" s="43"/>
      <c r="V58" s="378"/>
      <c r="W58" s="378"/>
      <c r="X58" s="378"/>
      <c r="Y58" s="378"/>
      <c r="Z58" s="378"/>
      <c r="AA58" s="378"/>
      <c r="AB58" s="378"/>
      <c r="AC58" s="378"/>
      <c r="AD58" s="378"/>
      <c r="AE58" s="378"/>
      <c r="AF58" s="378"/>
    </row>
    <row r="59" spans="1:33">
      <c r="A59" s="516"/>
      <c r="B59" s="43"/>
      <c r="C59" s="43"/>
      <c r="D59" s="378"/>
      <c r="E59" s="378"/>
      <c r="F59" s="378"/>
      <c r="G59" s="378"/>
      <c r="H59" s="378"/>
      <c r="I59" s="378"/>
      <c r="J59" s="378"/>
      <c r="K59" s="378"/>
      <c r="L59" s="378"/>
      <c r="M59" s="378"/>
      <c r="N59" s="378"/>
      <c r="S59" s="516"/>
      <c r="T59" s="43"/>
      <c r="U59" s="43"/>
      <c r="V59" s="378"/>
      <c r="W59" s="378"/>
      <c r="X59" s="378"/>
      <c r="Y59" s="378"/>
      <c r="Z59" s="378"/>
      <c r="AA59" s="378"/>
      <c r="AB59" s="378"/>
      <c r="AC59" s="378"/>
      <c r="AD59" s="378"/>
      <c r="AE59" s="378"/>
      <c r="AF59" s="378"/>
      <c r="AG59" s="589"/>
    </row>
    <row r="60" spans="1:33">
      <c r="A60" s="516"/>
      <c r="B60" s="43"/>
      <c r="C60" s="43"/>
      <c r="D60" s="378"/>
      <c r="E60" s="378"/>
      <c r="F60" s="378"/>
      <c r="G60" s="378"/>
      <c r="H60" s="378"/>
      <c r="I60" s="378"/>
      <c r="J60" s="378"/>
      <c r="K60" s="378"/>
      <c r="L60" s="378"/>
      <c r="M60" s="378"/>
      <c r="N60" s="378"/>
      <c r="S60" s="516"/>
      <c r="T60" s="614"/>
      <c r="U60" s="43"/>
      <c r="V60" s="88"/>
      <c r="W60" s="88"/>
      <c r="X60" s="88"/>
      <c r="Y60" s="88"/>
      <c r="Z60" s="88"/>
      <c r="AA60" s="88"/>
      <c r="AB60" s="88"/>
      <c r="AC60" s="88"/>
      <c r="AD60" s="88"/>
      <c r="AE60" s="88"/>
      <c r="AF60" s="88"/>
    </row>
    <row r="61" spans="1:33">
      <c r="A61" s="516"/>
      <c r="B61" s="614"/>
      <c r="C61" s="43"/>
      <c r="D61" s="88"/>
      <c r="E61" s="88"/>
      <c r="F61" s="88"/>
      <c r="G61" s="88"/>
      <c r="H61" s="88"/>
      <c r="I61" s="88"/>
      <c r="J61" s="88"/>
      <c r="K61" s="88"/>
      <c r="L61" s="88"/>
      <c r="M61" s="88"/>
      <c r="N61" s="88"/>
      <c r="S61" s="516"/>
      <c r="T61" s="40"/>
      <c r="U61" s="40"/>
      <c r="V61" s="338"/>
      <c r="W61" s="338"/>
      <c r="X61" s="338"/>
      <c r="Y61" s="338"/>
      <c r="Z61" s="338"/>
      <c r="AA61" s="338"/>
      <c r="AB61" s="338"/>
      <c r="AC61" s="338"/>
      <c r="AD61" s="338"/>
      <c r="AE61" s="338"/>
      <c r="AF61" s="338"/>
    </row>
    <row r="62" spans="1:33">
      <c r="A62" s="516"/>
      <c r="B62" s="40"/>
      <c r="C62" s="40"/>
      <c r="D62" s="338"/>
      <c r="E62" s="338"/>
      <c r="F62" s="338"/>
      <c r="G62" s="338"/>
      <c r="H62" s="338"/>
      <c r="I62" s="338"/>
      <c r="J62" s="338"/>
      <c r="K62" s="338"/>
      <c r="L62" s="338"/>
      <c r="M62" s="338"/>
      <c r="N62" s="338"/>
      <c r="S62" s="516"/>
      <c r="T62" s="43"/>
      <c r="U62" s="43"/>
      <c r="V62" s="378"/>
      <c r="W62" s="378"/>
      <c r="X62" s="378"/>
      <c r="Y62" s="378"/>
      <c r="Z62" s="378"/>
      <c r="AA62" s="378"/>
      <c r="AB62" s="378"/>
      <c r="AC62" s="378"/>
      <c r="AD62" s="378"/>
      <c r="AE62" s="378"/>
      <c r="AF62" s="378"/>
    </row>
    <row r="63" spans="1:33">
      <c r="A63" s="516"/>
      <c r="B63" s="40"/>
      <c r="C63" s="40"/>
      <c r="D63" s="338"/>
      <c r="E63" s="338"/>
      <c r="F63" s="338"/>
      <c r="G63" s="338"/>
      <c r="H63" s="338"/>
      <c r="I63" s="338"/>
      <c r="J63" s="338"/>
      <c r="K63" s="338"/>
      <c r="L63" s="338"/>
      <c r="M63" s="338"/>
      <c r="N63" s="338"/>
      <c r="S63" s="516"/>
      <c r="T63" s="43"/>
      <c r="U63" s="43"/>
      <c r="V63" s="88"/>
      <c r="W63" s="88"/>
      <c r="X63" s="88"/>
      <c r="Y63" s="88"/>
      <c r="Z63" s="88"/>
      <c r="AA63" s="88"/>
      <c r="AB63" s="88"/>
      <c r="AC63" s="88"/>
      <c r="AD63" s="88"/>
      <c r="AE63" s="88"/>
      <c r="AF63" s="88"/>
    </row>
    <row r="64" spans="1:33">
      <c r="A64" s="516"/>
      <c r="B64" s="622"/>
      <c r="C64" s="43"/>
      <c r="D64" s="337"/>
      <c r="E64" s="337"/>
      <c r="F64" s="337"/>
      <c r="G64" s="337"/>
      <c r="H64" s="337"/>
      <c r="I64" s="337"/>
      <c r="J64" s="337"/>
      <c r="K64" s="337"/>
      <c r="L64" s="337"/>
      <c r="M64" s="337"/>
      <c r="N64" s="337"/>
      <c r="S64" s="516"/>
      <c r="T64" s="614"/>
      <c r="U64" s="43"/>
      <c r="V64" s="88"/>
      <c r="W64" s="88"/>
      <c r="X64" s="88"/>
      <c r="Y64" s="88"/>
      <c r="Z64" s="88"/>
      <c r="AA64" s="88"/>
      <c r="AB64" s="88"/>
      <c r="AC64" s="88"/>
      <c r="AD64" s="88"/>
      <c r="AE64" s="88"/>
      <c r="AF64" s="88"/>
    </row>
    <row r="65" spans="1:32" ht="15" customHeight="1">
      <c r="A65" s="516"/>
      <c r="B65" s="622"/>
      <c r="C65" s="43"/>
      <c r="D65" s="337"/>
      <c r="E65" s="337"/>
      <c r="F65" s="337"/>
      <c r="G65" s="337"/>
      <c r="H65" s="337"/>
      <c r="I65" s="337"/>
      <c r="J65" s="337"/>
      <c r="K65" s="337"/>
      <c r="L65" s="337"/>
      <c r="M65" s="337"/>
      <c r="N65" s="337"/>
      <c r="S65" s="629"/>
      <c r="T65" s="614"/>
      <c r="U65" s="43"/>
      <c r="V65" s="88"/>
      <c r="W65" s="88"/>
      <c r="X65" s="88"/>
      <c r="Y65" s="88"/>
      <c r="Z65" s="88"/>
      <c r="AA65" s="88"/>
      <c r="AB65" s="88"/>
      <c r="AC65" s="88"/>
      <c r="AD65" s="88"/>
      <c r="AE65" s="88"/>
      <c r="AF65" s="88"/>
    </row>
    <row r="66" spans="1:32">
      <c r="A66" s="516"/>
      <c r="B66" s="622"/>
      <c r="C66" s="43"/>
      <c r="D66" s="337"/>
      <c r="E66" s="337"/>
      <c r="F66" s="337"/>
      <c r="G66" s="337"/>
      <c r="H66" s="337"/>
      <c r="I66" s="337"/>
      <c r="J66" s="337"/>
      <c r="K66" s="337"/>
      <c r="L66" s="337"/>
      <c r="M66" s="337"/>
      <c r="N66" s="337"/>
      <c r="S66" s="516"/>
      <c r="T66" s="43"/>
      <c r="U66" s="43"/>
      <c r="V66" s="378"/>
      <c r="W66" s="378"/>
      <c r="X66" s="378"/>
      <c r="Y66" s="378"/>
      <c r="Z66" s="378"/>
      <c r="AA66" s="378"/>
      <c r="AB66" s="378"/>
      <c r="AC66" s="378"/>
      <c r="AD66" s="378"/>
      <c r="AE66" s="378"/>
      <c r="AF66" s="378"/>
    </row>
    <row r="67" spans="1:32">
      <c r="A67" s="516"/>
      <c r="B67" s="43"/>
      <c r="C67" s="43"/>
      <c r="D67" s="378"/>
      <c r="E67" s="378"/>
      <c r="F67" s="378"/>
      <c r="G67" s="378"/>
      <c r="H67" s="378"/>
      <c r="I67" s="378"/>
      <c r="J67" s="378"/>
      <c r="K67" s="378"/>
      <c r="L67" s="378"/>
      <c r="M67" s="378"/>
      <c r="N67" s="378"/>
      <c r="S67" s="516"/>
      <c r="T67" s="43"/>
      <c r="U67" s="43"/>
      <c r="V67" s="378"/>
      <c r="W67" s="378"/>
      <c r="X67" s="378"/>
      <c r="Y67" s="378"/>
      <c r="Z67" s="378"/>
      <c r="AA67" s="378"/>
      <c r="AB67" s="378"/>
      <c r="AC67" s="378"/>
      <c r="AD67" s="378"/>
      <c r="AE67" s="378"/>
      <c r="AF67" s="378"/>
    </row>
    <row r="68" spans="1:32">
      <c r="A68" s="516"/>
      <c r="B68" s="43"/>
      <c r="C68" s="43"/>
      <c r="D68" s="378"/>
      <c r="E68" s="378"/>
      <c r="F68" s="378"/>
      <c r="G68" s="378"/>
      <c r="H68" s="378"/>
      <c r="I68" s="378"/>
      <c r="J68" s="378"/>
      <c r="K68" s="378"/>
      <c r="L68" s="378"/>
      <c r="M68" s="378"/>
      <c r="N68" s="378"/>
      <c r="S68" s="516"/>
      <c r="T68" s="43"/>
      <c r="U68" s="43"/>
      <c r="V68" s="378"/>
      <c r="W68" s="378"/>
      <c r="X68" s="378"/>
      <c r="Y68" s="378"/>
      <c r="Z68" s="378"/>
      <c r="AA68" s="378"/>
      <c r="AB68" s="378"/>
      <c r="AC68" s="378"/>
      <c r="AD68" s="378"/>
      <c r="AE68" s="378"/>
      <c r="AF68" s="378"/>
    </row>
    <row r="69" spans="1:32">
      <c r="A69" s="516"/>
      <c r="B69" s="43"/>
      <c r="C69" s="43"/>
      <c r="D69" s="378"/>
      <c r="E69" s="378"/>
      <c r="F69" s="378"/>
      <c r="G69" s="378"/>
      <c r="H69" s="378"/>
      <c r="I69" s="378"/>
      <c r="J69" s="378"/>
      <c r="K69" s="378"/>
      <c r="L69" s="378"/>
      <c r="M69" s="378"/>
      <c r="N69" s="378"/>
      <c r="S69" s="516"/>
      <c r="T69" s="43"/>
      <c r="U69" s="43"/>
      <c r="V69" s="378"/>
      <c r="W69" s="378"/>
      <c r="X69" s="378"/>
      <c r="Y69" s="378"/>
      <c r="Z69" s="378"/>
      <c r="AA69" s="378"/>
      <c r="AB69" s="378"/>
      <c r="AC69" s="378"/>
      <c r="AD69" s="378"/>
      <c r="AE69" s="378"/>
      <c r="AF69" s="378"/>
    </row>
    <row r="70" spans="1:32">
      <c r="A70" s="516"/>
      <c r="B70" s="43"/>
      <c r="C70" s="43"/>
      <c r="D70" s="378"/>
      <c r="E70" s="378"/>
      <c r="F70" s="378"/>
      <c r="G70" s="378"/>
      <c r="H70" s="378"/>
      <c r="I70" s="378"/>
      <c r="J70" s="378"/>
      <c r="K70" s="378"/>
      <c r="L70" s="378"/>
      <c r="M70" s="378"/>
      <c r="N70" s="378"/>
      <c r="S70" s="516"/>
      <c r="T70" s="43"/>
      <c r="U70" s="43"/>
      <c r="V70" s="378"/>
      <c r="W70" s="378"/>
      <c r="X70" s="378"/>
      <c r="Y70" s="378"/>
      <c r="Z70" s="378"/>
      <c r="AA70" s="378"/>
      <c r="AB70" s="378"/>
      <c r="AC70" s="378"/>
      <c r="AD70" s="378"/>
      <c r="AE70" s="378"/>
      <c r="AF70" s="378"/>
    </row>
    <row r="71" spans="1:32">
      <c r="A71" s="611"/>
      <c r="B71" s="623"/>
      <c r="C71" s="623"/>
      <c r="D71" s="338"/>
      <c r="E71" s="338"/>
      <c r="F71" s="338"/>
      <c r="G71" s="338"/>
      <c r="H71" s="338"/>
      <c r="I71" s="338"/>
      <c r="J71" s="338"/>
      <c r="K71" s="338"/>
      <c r="L71" s="338"/>
      <c r="M71" s="338"/>
      <c r="N71" s="338"/>
      <c r="S71" s="516"/>
      <c r="T71" s="40"/>
      <c r="U71" s="630"/>
      <c r="V71" s="631"/>
      <c r="W71" s="631"/>
      <c r="X71" s="631"/>
      <c r="Y71" s="631"/>
      <c r="Z71" s="631"/>
      <c r="AA71" s="631"/>
      <c r="AB71" s="631"/>
      <c r="AC71" s="631"/>
      <c r="AD71" s="631"/>
      <c r="AE71" s="631"/>
      <c r="AF71" s="631"/>
    </row>
    <row r="72" spans="1:32">
      <c r="A72" s="611"/>
      <c r="B72" s="623"/>
      <c r="C72" s="623"/>
      <c r="D72" s="338"/>
      <c r="E72" s="338"/>
      <c r="F72" s="338"/>
      <c r="G72" s="338"/>
      <c r="H72" s="338"/>
      <c r="I72" s="338"/>
      <c r="J72" s="338"/>
      <c r="K72" s="338"/>
      <c r="L72" s="338"/>
      <c r="M72" s="338"/>
      <c r="N72" s="671"/>
      <c r="S72" s="516"/>
      <c r="T72" s="40"/>
      <c r="U72" s="630"/>
      <c r="V72" s="631"/>
      <c r="W72" s="631"/>
      <c r="X72" s="631"/>
      <c r="Y72" s="631"/>
      <c r="Z72" s="631"/>
      <c r="AA72" s="631"/>
      <c r="AB72" s="631"/>
      <c r="AC72" s="631"/>
      <c r="AD72" s="631"/>
      <c r="AE72" s="631"/>
      <c r="AF72" s="631"/>
    </row>
    <row r="73" spans="1:32" ht="15" customHeight="1">
      <c r="A73" s="671"/>
      <c r="B73" s="623"/>
      <c r="C73" s="623"/>
      <c r="D73" s="338"/>
      <c r="E73" s="338"/>
      <c r="F73" s="338"/>
      <c r="G73" s="338"/>
      <c r="H73" s="338"/>
      <c r="I73" s="338"/>
      <c r="J73" s="338"/>
      <c r="K73" s="338"/>
      <c r="L73" s="338"/>
      <c r="M73" s="338"/>
      <c r="N73" s="338"/>
      <c r="S73" s="629"/>
      <c r="T73" s="43"/>
      <c r="U73" s="43"/>
      <c r="V73" s="88"/>
      <c r="W73" s="88"/>
      <c r="X73" s="88"/>
      <c r="Y73" s="88"/>
      <c r="Z73" s="88"/>
      <c r="AA73" s="88"/>
      <c r="AB73" s="88"/>
      <c r="AC73" s="88"/>
      <c r="AD73" s="88"/>
      <c r="AE73" s="88"/>
      <c r="AF73" s="88"/>
    </row>
    <row r="74" spans="1:32">
      <c r="B74" s="564"/>
      <c r="C74" s="564"/>
      <c r="D74" s="564"/>
      <c r="E74" s="564"/>
      <c r="F74" s="564"/>
      <c r="G74" s="564"/>
      <c r="H74" s="564"/>
      <c r="I74" s="564"/>
      <c r="J74" s="564"/>
      <c r="K74" s="564"/>
      <c r="L74" s="564"/>
      <c r="M74" s="564"/>
      <c r="N74" s="564"/>
      <c r="S74" s="516"/>
      <c r="T74" s="40"/>
      <c r="U74" s="40"/>
      <c r="V74" s="338"/>
      <c r="W74" s="338"/>
      <c r="X74" s="338"/>
      <c r="Y74" s="338"/>
      <c r="Z74" s="338"/>
      <c r="AA74" s="338"/>
      <c r="AB74" s="338"/>
      <c r="AC74" s="338"/>
      <c r="AD74" s="338"/>
      <c r="AE74" s="338"/>
      <c r="AF74" s="338"/>
    </row>
    <row r="75" spans="1:32">
      <c r="S75" s="516"/>
      <c r="T75" s="40"/>
      <c r="U75" s="40"/>
      <c r="V75" s="338"/>
      <c r="W75" s="338"/>
      <c r="X75" s="338"/>
      <c r="Y75" s="338"/>
      <c r="Z75" s="338"/>
      <c r="AA75" s="338"/>
      <c r="AB75" s="338"/>
      <c r="AC75" s="338"/>
      <c r="AD75" s="338"/>
      <c r="AE75" s="338"/>
      <c r="AF75" s="338"/>
    </row>
    <row r="76" spans="1:32">
      <c r="S76" s="516"/>
      <c r="T76" s="40"/>
      <c r="U76" s="40"/>
      <c r="V76" s="338"/>
      <c r="W76" s="338"/>
      <c r="X76" s="338"/>
      <c r="Y76" s="338"/>
      <c r="Z76" s="338"/>
      <c r="AA76" s="338"/>
      <c r="AB76" s="338"/>
      <c r="AC76" s="338"/>
      <c r="AD76" s="338"/>
      <c r="AE76" s="338"/>
      <c r="AF76" s="338"/>
    </row>
    <row r="77" spans="1:32">
      <c r="S77" s="516"/>
      <c r="T77" s="40"/>
      <c r="U77" s="40"/>
      <c r="V77" s="338"/>
      <c r="W77" s="338"/>
      <c r="X77" s="338"/>
      <c r="Y77" s="338"/>
      <c r="Z77" s="338"/>
      <c r="AA77" s="338"/>
      <c r="AB77" s="338"/>
      <c r="AC77" s="338"/>
      <c r="AD77" s="338"/>
      <c r="AE77" s="338"/>
      <c r="AF77" s="338"/>
    </row>
    <row r="78" spans="1:32">
      <c r="S78" s="516"/>
      <c r="T78" s="40"/>
      <c r="U78" s="40"/>
      <c r="V78" s="338"/>
      <c r="W78" s="338"/>
      <c r="X78" s="338"/>
      <c r="Y78" s="338"/>
      <c r="Z78" s="338"/>
      <c r="AA78" s="338"/>
      <c r="AB78" s="338"/>
      <c r="AC78" s="338"/>
      <c r="AD78" s="338"/>
      <c r="AE78" s="338"/>
      <c r="AF78" s="338"/>
    </row>
    <row r="79" spans="1:32">
      <c r="S79" s="516"/>
      <c r="T79" s="40"/>
      <c r="U79" s="40"/>
      <c r="V79" s="338"/>
      <c r="W79" s="338"/>
      <c r="X79" s="338"/>
      <c r="Y79" s="338"/>
      <c r="Z79" s="338"/>
      <c r="AA79" s="338"/>
      <c r="AB79" s="338"/>
      <c r="AC79" s="338"/>
      <c r="AD79" s="338"/>
      <c r="AE79" s="338"/>
      <c r="AF79" s="338"/>
    </row>
    <row r="80" spans="1:32">
      <c r="S80" s="516"/>
      <c r="T80" s="40"/>
      <c r="U80" s="40"/>
      <c r="V80" s="338"/>
      <c r="W80" s="338"/>
      <c r="X80" s="338"/>
      <c r="Y80" s="338"/>
      <c r="Z80" s="338"/>
      <c r="AA80" s="338"/>
      <c r="AB80" s="338"/>
      <c r="AC80" s="338"/>
      <c r="AD80" s="338"/>
      <c r="AE80" s="338"/>
      <c r="AF80" s="338"/>
    </row>
    <row r="81" spans="1:32">
      <c r="S81" s="516"/>
      <c r="T81" s="40"/>
      <c r="U81" s="630"/>
      <c r="V81" s="631"/>
      <c r="W81" s="631"/>
      <c r="X81" s="631"/>
      <c r="Y81" s="631"/>
      <c r="Z81" s="631"/>
      <c r="AA81" s="631"/>
      <c r="AB81" s="631"/>
      <c r="AC81" s="631"/>
      <c r="AD81" s="631"/>
      <c r="AE81" s="631"/>
      <c r="AF81" s="631"/>
    </row>
    <row r="82" spans="1:32">
      <c r="S82" s="516"/>
      <c r="T82" s="40"/>
      <c r="U82" s="630"/>
      <c r="V82" s="631"/>
      <c r="W82" s="631"/>
      <c r="X82" s="631"/>
      <c r="Y82" s="631"/>
      <c r="Z82" s="631"/>
      <c r="AA82" s="631"/>
      <c r="AB82" s="631"/>
      <c r="AC82" s="631"/>
      <c r="AD82" s="631"/>
      <c r="AE82" s="631"/>
      <c r="AF82" s="631"/>
    </row>
    <row r="83" spans="1:32">
      <c r="S83" s="516"/>
      <c r="T83" s="40"/>
      <c r="U83" s="630"/>
      <c r="V83" s="631"/>
      <c r="W83" s="631"/>
      <c r="X83" s="631"/>
      <c r="Y83" s="631"/>
      <c r="Z83" s="631"/>
      <c r="AA83" s="631"/>
      <c r="AB83" s="631"/>
      <c r="AC83" s="631"/>
      <c r="AD83" s="631"/>
      <c r="AE83" s="631"/>
      <c r="AF83" s="631"/>
    </row>
    <row r="84" spans="1:32">
      <c r="S84" s="516"/>
      <c r="T84" s="40"/>
      <c r="U84" s="630"/>
      <c r="V84" s="631"/>
      <c r="W84" s="631"/>
      <c r="X84" s="631"/>
      <c r="Y84" s="631"/>
      <c r="Z84" s="631"/>
      <c r="AA84" s="631"/>
      <c r="AB84" s="631"/>
      <c r="AC84" s="631"/>
      <c r="AD84" s="631"/>
      <c r="AE84" s="631"/>
      <c r="AF84" s="631"/>
    </row>
    <row r="85" spans="1:32" ht="15" customHeight="1">
      <c r="S85" s="629"/>
      <c r="T85" s="43"/>
      <c r="U85" s="43"/>
      <c r="V85" s="88"/>
      <c r="W85" s="88"/>
      <c r="X85" s="88"/>
      <c r="Y85" s="88"/>
      <c r="Z85" s="88"/>
      <c r="AA85" s="88"/>
      <c r="AB85" s="88"/>
      <c r="AC85" s="88"/>
      <c r="AD85" s="88"/>
      <c r="AE85" s="88"/>
      <c r="AF85" s="88"/>
    </row>
    <row r="86" spans="1:32">
      <c r="S86" s="516"/>
      <c r="T86" s="40"/>
      <c r="U86" s="630"/>
      <c r="V86" s="631"/>
      <c r="W86" s="631"/>
      <c r="X86" s="631"/>
      <c r="Y86" s="631"/>
      <c r="Z86" s="631"/>
      <c r="AA86" s="631"/>
      <c r="AB86" s="631"/>
      <c r="AC86" s="631"/>
      <c r="AD86" s="631"/>
      <c r="AE86" s="631"/>
      <c r="AF86" s="631"/>
    </row>
    <row r="87" spans="1:32">
      <c r="S87" s="516"/>
      <c r="T87" s="40"/>
      <c r="U87" s="630"/>
      <c r="V87" s="631"/>
      <c r="W87" s="631"/>
      <c r="X87" s="631"/>
      <c r="Y87" s="631"/>
      <c r="Z87" s="631"/>
      <c r="AA87" s="631"/>
      <c r="AB87" s="631"/>
      <c r="AC87" s="631"/>
      <c r="AD87" s="631"/>
      <c r="AE87" s="631"/>
      <c r="AF87" s="631"/>
    </row>
    <row r="88" spans="1:32">
      <c r="S88" s="516"/>
      <c r="T88" s="40"/>
      <c r="U88" s="630"/>
      <c r="V88" s="631"/>
      <c r="W88" s="631"/>
      <c r="X88" s="631"/>
      <c r="Y88" s="631"/>
      <c r="Z88" s="631"/>
      <c r="AA88" s="631"/>
      <c r="AB88" s="631"/>
      <c r="AC88" s="631"/>
      <c r="AD88" s="631"/>
      <c r="AE88" s="631"/>
      <c r="AF88" s="631"/>
    </row>
    <row r="89" spans="1:32">
      <c r="S89" s="516"/>
      <c r="T89" s="40"/>
      <c r="U89" s="630"/>
      <c r="V89" s="631"/>
      <c r="W89" s="631"/>
      <c r="X89" s="631"/>
      <c r="Y89" s="631"/>
      <c r="Z89" s="631"/>
      <c r="AA89" s="631"/>
      <c r="AB89" s="631"/>
      <c r="AC89" s="631"/>
      <c r="AD89" s="631"/>
      <c r="AE89" s="631"/>
      <c r="AF89" s="631"/>
    </row>
    <row r="90" spans="1:32">
      <c r="S90" s="611"/>
      <c r="T90" s="40"/>
      <c r="U90" s="40"/>
      <c r="V90" s="338"/>
      <c r="W90" s="338"/>
      <c r="X90" s="338"/>
      <c r="Y90" s="338"/>
      <c r="Z90" s="338"/>
      <c r="AA90" s="338"/>
      <c r="AB90" s="338"/>
      <c r="AC90" s="338"/>
      <c r="AD90" s="338"/>
      <c r="AE90" s="338"/>
      <c r="AF90" s="338"/>
    </row>
    <row r="91" spans="1:32">
      <c r="S91" s="624"/>
      <c r="T91" s="625"/>
      <c r="U91" s="625"/>
      <c r="V91" s="592"/>
      <c r="W91" s="592"/>
      <c r="X91" s="592"/>
      <c r="Y91" s="592"/>
      <c r="Z91" s="592"/>
      <c r="AA91" s="592"/>
      <c r="AB91" s="592"/>
      <c r="AC91" s="592"/>
      <c r="AD91" s="592"/>
      <c r="AE91" s="592"/>
      <c r="AF91" s="592"/>
    </row>
    <row r="92" spans="1:32">
      <c r="A92" s="724" t="s">
        <v>515</v>
      </c>
      <c r="B92" s="725"/>
      <c r="C92" s="725"/>
      <c r="D92" s="725"/>
      <c r="E92" s="725"/>
      <c r="F92" s="725"/>
      <c r="G92" s="725"/>
      <c r="H92" s="725"/>
      <c r="I92" s="725"/>
      <c r="J92" s="725"/>
      <c r="K92" s="725"/>
      <c r="L92" s="725"/>
      <c r="M92" s="725"/>
      <c r="N92" s="725"/>
      <c r="S92" s="724" t="s">
        <v>515</v>
      </c>
      <c r="T92" s="725"/>
      <c r="U92" s="725"/>
      <c r="V92" s="725"/>
      <c r="W92" s="725"/>
      <c r="X92" s="725"/>
      <c r="Y92" s="725"/>
      <c r="Z92" s="725"/>
      <c r="AA92" s="725"/>
      <c r="AB92" s="725"/>
      <c r="AC92" s="725"/>
      <c r="AD92" s="725"/>
      <c r="AE92" s="725"/>
      <c r="AF92" s="725"/>
    </row>
    <row r="93" spans="1:32">
      <c r="A93" s="634"/>
      <c r="B93" s="652" t="s">
        <v>563</v>
      </c>
      <c r="C93" s="652" t="s">
        <v>551</v>
      </c>
      <c r="D93" s="652" t="s">
        <v>552</v>
      </c>
      <c r="E93" s="652" t="s">
        <v>553</v>
      </c>
      <c r="F93" s="652" t="s">
        <v>554</v>
      </c>
      <c r="G93" s="652" t="s">
        <v>555</v>
      </c>
      <c r="H93" s="652" t="s">
        <v>556</v>
      </c>
      <c r="I93" s="652" t="s">
        <v>557</v>
      </c>
      <c r="J93" s="652" t="s">
        <v>558</v>
      </c>
      <c r="K93" s="652" t="s">
        <v>559</v>
      </c>
      <c r="L93" s="652" t="s">
        <v>560</v>
      </c>
      <c r="M93" s="652" t="s">
        <v>561</v>
      </c>
      <c r="N93" s="652" t="s">
        <v>562</v>
      </c>
      <c r="S93" s="634"/>
      <c r="T93" s="652" t="s">
        <v>563</v>
      </c>
      <c r="U93" s="652" t="s">
        <v>551</v>
      </c>
      <c r="V93" s="652" t="s">
        <v>552</v>
      </c>
      <c r="W93" s="652" t="s">
        <v>553</v>
      </c>
      <c r="X93" s="652" t="s">
        <v>554</v>
      </c>
      <c r="Y93" s="652" t="s">
        <v>555</v>
      </c>
      <c r="Z93" s="652" t="s">
        <v>556</v>
      </c>
      <c r="AA93" s="652" t="s">
        <v>557</v>
      </c>
      <c r="AB93" s="652" t="s">
        <v>558</v>
      </c>
      <c r="AC93" s="652" t="s">
        <v>559</v>
      </c>
      <c r="AD93" s="652" t="s">
        <v>560</v>
      </c>
      <c r="AE93" s="652" t="s">
        <v>561</v>
      </c>
      <c r="AF93" s="652" t="s">
        <v>562</v>
      </c>
    </row>
    <row r="94" spans="1:32">
      <c r="A94" s="516" t="s">
        <v>497</v>
      </c>
      <c r="B94" s="620">
        <v>7056.42</v>
      </c>
      <c r="C94" s="365">
        <v>6770</v>
      </c>
      <c r="D94" s="88">
        <v>6790</v>
      </c>
      <c r="E94" s="88">
        <v>6792</v>
      </c>
      <c r="F94" s="88">
        <v>6806</v>
      </c>
      <c r="G94" s="88">
        <v>6858</v>
      </c>
      <c r="H94" s="88">
        <v>6895</v>
      </c>
      <c r="I94" s="88">
        <v>6938</v>
      </c>
      <c r="J94" s="88">
        <v>6984</v>
      </c>
      <c r="K94" s="88">
        <v>7305</v>
      </c>
      <c r="L94" s="88">
        <v>7416</v>
      </c>
      <c r="M94" s="88">
        <v>7492</v>
      </c>
      <c r="N94" s="88">
        <v>7631</v>
      </c>
      <c r="S94" s="516" t="s">
        <v>497</v>
      </c>
      <c r="T94" s="620">
        <v>7056.42</v>
      </c>
      <c r="U94" s="365">
        <v>6770</v>
      </c>
      <c r="V94" s="88">
        <v>6790</v>
      </c>
      <c r="W94" s="88">
        <v>6792</v>
      </c>
      <c r="X94" s="88">
        <v>6806</v>
      </c>
      <c r="Y94" s="88">
        <v>6858</v>
      </c>
      <c r="Z94" s="88">
        <v>6895</v>
      </c>
      <c r="AA94" s="88">
        <v>6938</v>
      </c>
      <c r="AB94" s="88">
        <v>6984</v>
      </c>
      <c r="AC94" s="88">
        <v>7305</v>
      </c>
      <c r="AD94" s="88">
        <v>7416</v>
      </c>
      <c r="AE94" s="88">
        <v>7492</v>
      </c>
      <c r="AF94" s="88">
        <v>7631</v>
      </c>
    </row>
    <row r="95" spans="1:32">
      <c r="A95" s="516" t="s">
        <v>496</v>
      </c>
      <c r="B95" s="620">
        <v>13829.5</v>
      </c>
      <c r="C95" s="365">
        <v>13264</v>
      </c>
      <c r="D95" s="88">
        <v>13298</v>
      </c>
      <c r="E95" s="88">
        <v>13302</v>
      </c>
      <c r="F95" s="88">
        <v>13343</v>
      </c>
      <c r="G95" s="88">
        <v>13435</v>
      </c>
      <c r="H95" s="88">
        <v>13503</v>
      </c>
      <c r="I95" s="88">
        <v>13600</v>
      </c>
      <c r="J95" s="88">
        <v>13697</v>
      </c>
      <c r="K95" s="88">
        <v>14326</v>
      </c>
      <c r="L95" s="88">
        <v>14526</v>
      </c>
      <c r="M95" s="88">
        <v>14678</v>
      </c>
      <c r="N95" s="88">
        <v>14982</v>
      </c>
      <c r="S95" s="516" t="s">
        <v>496</v>
      </c>
      <c r="T95" s="620">
        <v>13829.5</v>
      </c>
      <c r="U95" s="365">
        <v>13264</v>
      </c>
      <c r="V95" s="88">
        <v>13298</v>
      </c>
      <c r="W95" s="88">
        <v>13302</v>
      </c>
      <c r="X95" s="88">
        <v>13343</v>
      </c>
      <c r="Y95" s="88">
        <v>13435</v>
      </c>
      <c r="Z95" s="88">
        <v>13503</v>
      </c>
      <c r="AA95" s="88">
        <v>13600</v>
      </c>
      <c r="AB95" s="88">
        <v>13697</v>
      </c>
      <c r="AC95" s="88">
        <v>14326</v>
      </c>
      <c r="AD95" s="88">
        <v>14526</v>
      </c>
      <c r="AE95" s="88">
        <v>14678</v>
      </c>
      <c r="AF95" s="88">
        <v>14982</v>
      </c>
    </row>
    <row r="96" spans="1:32">
      <c r="A96" s="516" t="s">
        <v>494</v>
      </c>
      <c r="B96" s="620">
        <v>38.65</v>
      </c>
      <c r="C96" s="365">
        <v>39.06</v>
      </c>
      <c r="D96" s="88">
        <v>39.04</v>
      </c>
      <c r="E96" s="88">
        <v>38.979999999999997</v>
      </c>
      <c r="F96" s="88">
        <v>38.93</v>
      </c>
      <c r="G96" s="88">
        <v>38.85</v>
      </c>
      <c r="H96" s="88">
        <v>38.799999999999997</v>
      </c>
      <c r="I96" s="88">
        <v>38.74</v>
      </c>
      <c r="J96" s="88">
        <v>38.700000000000003</v>
      </c>
      <c r="K96" s="88">
        <v>38.33</v>
      </c>
      <c r="L96" s="88">
        <v>38.26</v>
      </c>
      <c r="M96" s="88">
        <v>38.21</v>
      </c>
      <c r="N96" s="88">
        <v>38.06</v>
      </c>
      <c r="S96" s="516" t="s">
        <v>494</v>
      </c>
      <c r="T96" s="620">
        <v>38.65</v>
      </c>
      <c r="U96" s="365">
        <v>39.06</v>
      </c>
      <c r="V96" s="88">
        <v>39.04</v>
      </c>
      <c r="W96" s="88">
        <v>38.979999999999997</v>
      </c>
      <c r="X96" s="88">
        <v>38.93</v>
      </c>
      <c r="Y96" s="88">
        <v>38.85</v>
      </c>
      <c r="Z96" s="88">
        <v>38.799999999999997</v>
      </c>
      <c r="AA96" s="88">
        <v>38.74</v>
      </c>
      <c r="AB96" s="88">
        <v>38.700000000000003</v>
      </c>
      <c r="AC96" s="88">
        <v>38.33</v>
      </c>
      <c r="AD96" s="88">
        <v>38.26</v>
      </c>
      <c r="AE96" s="88">
        <v>38.21</v>
      </c>
      <c r="AF96" s="88">
        <v>38.06</v>
      </c>
    </row>
    <row r="97" spans="1:32">
      <c r="A97" s="516" t="s">
        <v>493</v>
      </c>
      <c r="B97" s="620">
        <v>1.96</v>
      </c>
      <c r="C97" s="168">
        <v>1.96</v>
      </c>
      <c r="D97" s="88">
        <v>1.96</v>
      </c>
      <c r="E97" s="88">
        <v>1.96</v>
      </c>
      <c r="F97" s="88">
        <v>1.96</v>
      </c>
      <c r="G97" s="88">
        <v>1.96</v>
      </c>
      <c r="H97" s="88">
        <v>1.96</v>
      </c>
      <c r="I97" s="88">
        <v>1.96</v>
      </c>
      <c r="J97" s="88">
        <v>1.96</v>
      </c>
      <c r="K97" s="88">
        <v>1.96</v>
      </c>
      <c r="L97" s="88">
        <v>1.96</v>
      </c>
      <c r="M97" s="88">
        <v>1.96</v>
      </c>
      <c r="N97" s="88">
        <v>1.96</v>
      </c>
      <c r="S97" s="516" t="s">
        <v>493</v>
      </c>
      <c r="T97" s="620">
        <v>1.96</v>
      </c>
      <c r="U97" s="168">
        <v>1.96</v>
      </c>
      <c r="V97" s="88">
        <v>1.96</v>
      </c>
      <c r="W97" s="88">
        <v>1.96</v>
      </c>
      <c r="X97" s="88">
        <v>1.96</v>
      </c>
      <c r="Y97" s="88">
        <v>1.96</v>
      </c>
      <c r="Z97" s="88">
        <v>1.96</v>
      </c>
      <c r="AA97" s="88">
        <v>1.96</v>
      </c>
      <c r="AB97" s="88">
        <v>1.96</v>
      </c>
      <c r="AC97" s="88">
        <v>1.96</v>
      </c>
      <c r="AD97" s="88">
        <v>1.96</v>
      </c>
      <c r="AE97" s="88">
        <v>1.96</v>
      </c>
      <c r="AF97" s="88">
        <v>1.96</v>
      </c>
    </row>
    <row r="98" spans="1:32">
      <c r="A98" s="516" t="s">
        <v>492</v>
      </c>
      <c r="B98" s="621">
        <v>0.5585</v>
      </c>
      <c r="C98" s="168">
        <v>0.55910000000000004</v>
      </c>
      <c r="D98" s="88">
        <v>0.55889999999999995</v>
      </c>
      <c r="E98" s="88">
        <v>0.55889999999999995</v>
      </c>
      <c r="F98" s="88">
        <v>0.55889999999999995</v>
      </c>
      <c r="G98" s="88">
        <v>0.5575</v>
      </c>
      <c r="H98" s="88">
        <v>0.55720000000000003</v>
      </c>
      <c r="I98" s="88">
        <v>0.55700000000000005</v>
      </c>
      <c r="J98" s="88">
        <v>0.55730000000000002</v>
      </c>
      <c r="K98" s="88">
        <v>0.55859999999999999</v>
      </c>
      <c r="L98" s="88">
        <v>0.55930000000000002</v>
      </c>
      <c r="M98" s="88">
        <v>0.56000000000000005</v>
      </c>
      <c r="N98" s="88">
        <v>0.5595</v>
      </c>
      <c r="S98" s="516" t="s">
        <v>492</v>
      </c>
      <c r="T98" s="621">
        <v>0.5585</v>
      </c>
      <c r="U98" s="168">
        <v>0.55910000000000004</v>
      </c>
      <c r="V98" s="88">
        <v>0.55889999999999995</v>
      </c>
      <c r="W98" s="88">
        <v>0.55889999999999995</v>
      </c>
      <c r="X98" s="88">
        <v>0.55889999999999995</v>
      </c>
      <c r="Y98" s="88">
        <v>0.5575</v>
      </c>
      <c r="Z98" s="88">
        <v>0.55720000000000003</v>
      </c>
      <c r="AA98" s="88">
        <v>0.55700000000000005</v>
      </c>
      <c r="AB98" s="88">
        <v>0.55730000000000002</v>
      </c>
      <c r="AC98" s="88">
        <v>0.55859999999999999</v>
      </c>
      <c r="AD98" s="88">
        <v>0.55930000000000002</v>
      </c>
      <c r="AE98" s="88">
        <v>0.56000000000000005</v>
      </c>
      <c r="AF98" s="88">
        <v>0.5595</v>
      </c>
    </row>
    <row r="99" spans="1:32">
      <c r="A99" s="516" t="s">
        <v>491</v>
      </c>
      <c r="B99" s="621">
        <v>5368.67</v>
      </c>
      <c r="C99" s="618">
        <v>5557</v>
      </c>
      <c r="D99" s="88">
        <v>5253</v>
      </c>
      <c r="E99" s="88">
        <v>5346</v>
      </c>
      <c r="F99" s="88">
        <v>5157</v>
      </c>
      <c r="G99" s="88">
        <v>5350</v>
      </c>
      <c r="H99" s="88">
        <v>5433</v>
      </c>
      <c r="I99" s="88">
        <v>5332</v>
      </c>
      <c r="J99" s="88">
        <v>5181</v>
      </c>
      <c r="K99" s="88">
        <v>5710</v>
      </c>
      <c r="L99" s="88">
        <v>4949</v>
      </c>
      <c r="M99" s="88">
        <v>5668</v>
      </c>
      <c r="N99" s="88">
        <v>5488</v>
      </c>
      <c r="S99" s="516" t="s">
        <v>491</v>
      </c>
      <c r="T99" s="621">
        <v>5198.08</v>
      </c>
      <c r="U99" s="618">
        <v>4968</v>
      </c>
      <c r="V99" s="340">
        <v>5248</v>
      </c>
      <c r="W99" s="340">
        <v>5315</v>
      </c>
      <c r="X99" s="340">
        <v>5083</v>
      </c>
      <c r="Y99" s="340">
        <v>5066</v>
      </c>
      <c r="Z99" s="340">
        <v>5070</v>
      </c>
      <c r="AA99" s="340">
        <v>4908</v>
      </c>
      <c r="AB99" s="340">
        <v>5065</v>
      </c>
      <c r="AC99" s="340">
        <v>5833</v>
      </c>
      <c r="AD99" s="340">
        <v>5182</v>
      </c>
      <c r="AE99" s="340">
        <v>5476</v>
      </c>
      <c r="AF99" s="88">
        <v>5163</v>
      </c>
    </row>
    <row r="100" spans="1:32">
      <c r="A100" s="516" t="s">
        <v>490</v>
      </c>
      <c r="B100" s="620">
        <v>15686.2</v>
      </c>
      <c r="C100" s="168">
        <v>16689</v>
      </c>
      <c r="D100" s="88">
        <v>14835</v>
      </c>
      <c r="E100" s="88">
        <v>16032</v>
      </c>
      <c r="F100" s="88">
        <v>14623</v>
      </c>
      <c r="G100" s="88">
        <v>15596</v>
      </c>
      <c r="H100" s="88">
        <v>16282</v>
      </c>
      <c r="I100" s="88">
        <v>15620</v>
      </c>
      <c r="J100" s="88">
        <v>15475</v>
      </c>
      <c r="K100" s="88">
        <v>17648</v>
      </c>
      <c r="L100" s="88">
        <v>12951</v>
      </c>
      <c r="M100" s="88">
        <v>16845</v>
      </c>
      <c r="N100" s="88">
        <v>15638</v>
      </c>
      <c r="S100" s="516" t="s">
        <v>516</v>
      </c>
      <c r="T100" s="168">
        <v>13286.92</v>
      </c>
      <c r="U100" s="168">
        <v>12171</v>
      </c>
      <c r="V100" s="340">
        <v>13253</v>
      </c>
      <c r="W100" s="340">
        <v>14249</v>
      </c>
      <c r="X100" s="340">
        <v>12894</v>
      </c>
      <c r="Y100" s="340">
        <v>12597</v>
      </c>
      <c r="Z100" s="340">
        <v>13653</v>
      </c>
      <c r="AA100" s="340">
        <v>12286</v>
      </c>
      <c r="AB100" s="340">
        <v>12778</v>
      </c>
      <c r="AC100" s="340">
        <v>15125</v>
      </c>
      <c r="AD100" s="340">
        <v>12810</v>
      </c>
      <c r="AE100" s="340">
        <v>14721</v>
      </c>
      <c r="AF100" s="88">
        <v>12906</v>
      </c>
    </row>
    <row r="101" spans="1:32">
      <c r="A101" s="516" t="s">
        <v>489</v>
      </c>
      <c r="B101" s="43">
        <v>3732.12</v>
      </c>
      <c r="C101" s="43">
        <v>3299.39</v>
      </c>
      <c r="D101" s="378">
        <v>3380.16</v>
      </c>
      <c r="E101" s="378">
        <v>3604.4</v>
      </c>
      <c r="F101" s="378">
        <v>3147.61</v>
      </c>
      <c r="G101" s="378">
        <v>3984.17</v>
      </c>
      <c r="H101" s="378">
        <v>3834.92</v>
      </c>
      <c r="I101" s="378">
        <v>3969.4</v>
      </c>
      <c r="J101" s="378">
        <v>3600.09</v>
      </c>
      <c r="K101" s="378">
        <v>3530.12</v>
      </c>
      <c r="L101" s="378">
        <v>4220.0200000000004</v>
      </c>
      <c r="M101" s="378">
        <v>4370.25</v>
      </c>
      <c r="N101" s="378">
        <v>3844.93</v>
      </c>
      <c r="S101" s="516" t="s">
        <v>489</v>
      </c>
      <c r="T101" s="43">
        <v>1451.44</v>
      </c>
      <c r="U101" s="43">
        <v>1122.31</v>
      </c>
      <c r="V101" s="378">
        <v>1441.78</v>
      </c>
      <c r="W101" s="378">
        <v>1572.82</v>
      </c>
      <c r="X101" s="378">
        <v>1498.97</v>
      </c>
      <c r="Y101" s="378">
        <v>1595.09</v>
      </c>
      <c r="Z101" s="378">
        <v>1549.74</v>
      </c>
      <c r="AA101" s="378">
        <v>1382.51</v>
      </c>
      <c r="AB101" s="378">
        <v>1410.65</v>
      </c>
      <c r="AC101" s="378">
        <v>1456.2</v>
      </c>
      <c r="AD101" s="378">
        <v>1392.03</v>
      </c>
      <c r="AE101" s="378">
        <v>1591.77</v>
      </c>
      <c r="AF101" s="378">
        <v>1403.46</v>
      </c>
    </row>
    <row r="102" spans="1:32">
      <c r="A102" s="516" t="s">
        <v>513</v>
      </c>
      <c r="B102" s="43">
        <v>528.89800000000002</v>
      </c>
      <c r="C102" s="43">
        <v>487.35399999999998</v>
      </c>
      <c r="D102" s="378">
        <v>497.81400000000002</v>
      </c>
      <c r="E102" s="378">
        <v>530.68299999999999</v>
      </c>
      <c r="F102" s="378">
        <v>462.476</v>
      </c>
      <c r="G102" s="378">
        <v>580.952</v>
      </c>
      <c r="H102" s="378">
        <v>556.18799999999999</v>
      </c>
      <c r="I102" s="378">
        <v>572.125</v>
      </c>
      <c r="J102" s="378">
        <v>515.47699999999998</v>
      </c>
      <c r="K102" s="378">
        <v>483.24700000000001</v>
      </c>
      <c r="L102" s="378">
        <v>569.04300000000001</v>
      </c>
      <c r="M102" s="378">
        <v>583.322</v>
      </c>
      <c r="N102" s="378">
        <v>503.85700000000003</v>
      </c>
      <c r="S102" s="516" t="s">
        <v>513</v>
      </c>
      <c r="T102" s="614">
        <v>205.691</v>
      </c>
      <c r="U102" s="43">
        <v>165.77699999999999</v>
      </c>
      <c r="V102" s="378">
        <v>212.339</v>
      </c>
      <c r="W102" s="378">
        <v>231.57</v>
      </c>
      <c r="X102" s="378">
        <v>220.24199999999999</v>
      </c>
      <c r="Y102" s="378">
        <v>232.58799999999999</v>
      </c>
      <c r="Z102" s="378">
        <v>224.76300000000001</v>
      </c>
      <c r="AA102" s="378">
        <v>199.26599999999999</v>
      </c>
      <c r="AB102" s="378">
        <v>201.983</v>
      </c>
      <c r="AC102" s="378">
        <v>199.34299999999999</v>
      </c>
      <c r="AD102" s="378">
        <v>187.70599999999999</v>
      </c>
      <c r="AE102" s="378">
        <v>212.46299999999999</v>
      </c>
      <c r="AF102" s="378">
        <v>183.916</v>
      </c>
    </row>
    <row r="103" spans="1:32">
      <c r="A103" s="516" t="s">
        <v>514</v>
      </c>
      <c r="B103" s="43">
        <v>269.87</v>
      </c>
      <c r="C103" s="43">
        <v>248.75</v>
      </c>
      <c r="D103" s="378">
        <v>254.19</v>
      </c>
      <c r="E103" s="378">
        <v>270.97000000000003</v>
      </c>
      <c r="F103" s="378">
        <v>235.9</v>
      </c>
      <c r="G103" s="378">
        <v>296.55</v>
      </c>
      <c r="H103" s="378">
        <v>284.01</v>
      </c>
      <c r="I103" s="378">
        <v>291.87</v>
      </c>
      <c r="J103" s="378">
        <v>262.83999999999997</v>
      </c>
      <c r="K103" s="378">
        <v>246.41</v>
      </c>
      <c r="L103" s="378">
        <v>290.51</v>
      </c>
      <c r="M103" s="378">
        <v>297.74</v>
      </c>
      <c r="N103" s="378">
        <v>256.64</v>
      </c>
      <c r="S103" s="516" t="s">
        <v>514</v>
      </c>
      <c r="T103" s="614">
        <v>104.95</v>
      </c>
      <c r="U103" s="43">
        <v>84.61</v>
      </c>
      <c r="V103" s="378">
        <v>108.42</v>
      </c>
      <c r="W103" s="378">
        <v>118.24</v>
      </c>
      <c r="X103" s="378">
        <v>112.34</v>
      </c>
      <c r="Y103" s="378">
        <v>118.73</v>
      </c>
      <c r="Z103" s="378">
        <v>114.77</v>
      </c>
      <c r="AA103" s="378">
        <v>101.66</v>
      </c>
      <c r="AB103" s="378">
        <v>102.99</v>
      </c>
      <c r="AC103" s="378">
        <v>101.65</v>
      </c>
      <c r="AD103" s="378">
        <v>95.83</v>
      </c>
      <c r="AE103" s="378">
        <v>108.45</v>
      </c>
      <c r="AF103" s="378">
        <v>93.68</v>
      </c>
    </row>
    <row r="104" spans="1:32">
      <c r="A104" s="516" t="s">
        <v>487</v>
      </c>
      <c r="B104" s="614">
        <v>1.1299999999999999</v>
      </c>
      <c r="C104" s="43">
        <v>1.26</v>
      </c>
      <c r="D104" s="88">
        <v>1.1200000000000001</v>
      </c>
      <c r="E104" s="88">
        <v>1.21</v>
      </c>
      <c r="F104" s="88">
        <v>1.1000000000000001</v>
      </c>
      <c r="G104" s="88">
        <v>1.1599999999999999</v>
      </c>
      <c r="H104" s="88">
        <v>1.21</v>
      </c>
      <c r="I104" s="88">
        <v>1.1499999999999999</v>
      </c>
      <c r="J104" s="88">
        <v>1.1299999999999999</v>
      </c>
      <c r="K104" s="88">
        <v>1.23</v>
      </c>
      <c r="L104" s="88">
        <v>0.89</v>
      </c>
      <c r="M104" s="88">
        <v>1.1499999999999999</v>
      </c>
      <c r="N104" s="88">
        <v>1.04</v>
      </c>
      <c r="S104" s="516" t="s">
        <v>546</v>
      </c>
      <c r="T104" s="614">
        <v>0.96</v>
      </c>
      <c r="U104" s="43">
        <v>1.1100000000000001</v>
      </c>
      <c r="V104" s="88">
        <v>0.96</v>
      </c>
      <c r="W104" s="88">
        <v>1.1399999999999999</v>
      </c>
      <c r="X104" s="88">
        <v>0.96</v>
      </c>
      <c r="Y104" s="88">
        <v>0.91</v>
      </c>
      <c r="Z104" s="88">
        <v>1.01</v>
      </c>
      <c r="AA104" s="88">
        <v>0.93</v>
      </c>
      <c r="AB104" s="88">
        <v>0.94</v>
      </c>
      <c r="AC104" s="88">
        <v>0.99</v>
      </c>
      <c r="AD104" s="88">
        <v>0.91</v>
      </c>
      <c r="AE104" s="88">
        <v>0.83</v>
      </c>
      <c r="AF104" s="88">
        <v>0.86</v>
      </c>
    </row>
    <row r="105" spans="1:32">
      <c r="A105" s="516" t="s">
        <v>595</v>
      </c>
      <c r="B105" s="614">
        <v>2.8</v>
      </c>
      <c r="C105" s="43">
        <v>2.92</v>
      </c>
      <c r="D105" s="88">
        <v>2.6</v>
      </c>
      <c r="E105" s="88">
        <v>2.96</v>
      </c>
      <c r="F105" s="88">
        <v>2.57</v>
      </c>
      <c r="G105" s="88">
        <v>2.92</v>
      </c>
      <c r="H105" s="88">
        <v>2.98</v>
      </c>
      <c r="I105" s="88">
        <v>3.01</v>
      </c>
      <c r="J105" s="88">
        <v>2.84</v>
      </c>
      <c r="K105" s="88">
        <v>3.14</v>
      </c>
      <c r="L105" s="88">
        <v>2.2799999999999998</v>
      </c>
      <c r="M105" s="88">
        <v>2.88</v>
      </c>
      <c r="N105" s="88">
        <v>2.57</v>
      </c>
      <c r="S105" s="516" t="s">
        <v>484</v>
      </c>
      <c r="T105" s="40">
        <v>0.37590000000000001</v>
      </c>
      <c r="U105" s="40">
        <v>0.4128</v>
      </c>
      <c r="V105" s="338">
        <v>0.38969999999999999</v>
      </c>
      <c r="W105" s="338">
        <v>0.4385</v>
      </c>
      <c r="X105" s="338">
        <v>0.37959999999999999</v>
      </c>
      <c r="Y105" s="338">
        <v>0.36530000000000001</v>
      </c>
      <c r="Z105" s="338">
        <v>0.3755</v>
      </c>
      <c r="AA105" s="338">
        <v>0.3725</v>
      </c>
      <c r="AB105" s="338">
        <v>0.37109999999999999</v>
      </c>
      <c r="AC105" s="338">
        <v>0.371</v>
      </c>
      <c r="AD105" s="338">
        <v>0.36130000000000001</v>
      </c>
      <c r="AE105" s="338">
        <v>0.33850000000000002</v>
      </c>
      <c r="AF105" s="338">
        <v>0.34460000000000002</v>
      </c>
    </row>
    <row r="106" spans="1:32">
      <c r="A106" s="516" t="s">
        <v>484</v>
      </c>
      <c r="B106" s="614">
        <v>0.38819999999999999</v>
      </c>
      <c r="C106" s="43">
        <v>0.41899999999999998</v>
      </c>
      <c r="D106" s="88">
        <v>0.39500000000000002</v>
      </c>
      <c r="E106" s="88">
        <v>0.40189999999999998</v>
      </c>
      <c r="F106" s="88">
        <v>0.38650000000000001</v>
      </c>
      <c r="G106" s="88">
        <v>0.3982</v>
      </c>
      <c r="H106" s="88">
        <v>0.40239999999999998</v>
      </c>
      <c r="I106" s="88">
        <v>0.3921</v>
      </c>
      <c r="J106" s="88">
        <v>0.37830000000000003</v>
      </c>
      <c r="K106" s="88">
        <v>0.39860000000000001</v>
      </c>
      <c r="L106" s="88">
        <v>0.3407</v>
      </c>
      <c r="M106" s="88">
        <v>0.38619999999999999</v>
      </c>
      <c r="N106" s="88">
        <v>0.36630000000000001</v>
      </c>
      <c r="S106" s="516" t="s">
        <v>518</v>
      </c>
      <c r="T106" s="614">
        <v>109.24</v>
      </c>
      <c r="U106" s="43">
        <v>92.21</v>
      </c>
      <c r="V106" s="378">
        <v>108.79</v>
      </c>
      <c r="W106" s="378">
        <v>110.38</v>
      </c>
      <c r="X106" s="378">
        <v>116.25</v>
      </c>
      <c r="Y106" s="378">
        <v>126.62</v>
      </c>
      <c r="Z106" s="378">
        <v>113.51</v>
      </c>
      <c r="AA106" s="378">
        <v>112.53</v>
      </c>
      <c r="AB106" s="378">
        <v>110.4</v>
      </c>
      <c r="AC106" s="378">
        <v>96.28</v>
      </c>
      <c r="AD106" s="378">
        <v>108.67</v>
      </c>
      <c r="AE106" s="378">
        <v>108.13</v>
      </c>
      <c r="AF106" s="378">
        <v>108.74</v>
      </c>
    </row>
    <row r="107" spans="1:32">
      <c r="A107" s="516" t="s">
        <v>483</v>
      </c>
      <c r="B107" s="43">
        <v>112.11</v>
      </c>
      <c r="C107" s="43">
        <v>101.44</v>
      </c>
      <c r="D107" s="88">
        <v>104.22</v>
      </c>
      <c r="E107" s="88">
        <v>139.93</v>
      </c>
      <c r="F107" s="88">
        <v>114.04</v>
      </c>
      <c r="G107" s="88">
        <v>115.91</v>
      </c>
      <c r="H107" s="88">
        <v>109.25</v>
      </c>
      <c r="I107" s="88">
        <v>103</v>
      </c>
      <c r="J107" s="88">
        <v>147.01</v>
      </c>
      <c r="K107" s="88">
        <v>114.06</v>
      </c>
      <c r="L107" s="88">
        <v>108.58</v>
      </c>
      <c r="M107" s="88">
        <v>82.34</v>
      </c>
      <c r="N107" s="88">
        <v>114.47</v>
      </c>
      <c r="S107" s="516" t="s">
        <v>519</v>
      </c>
      <c r="T107" s="43">
        <v>2.56</v>
      </c>
      <c r="U107" s="43">
        <v>2.4500000000000002</v>
      </c>
      <c r="V107" s="88">
        <v>2.5299999999999998</v>
      </c>
      <c r="W107" s="88">
        <v>2.68</v>
      </c>
      <c r="X107" s="88">
        <v>2.54</v>
      </c>
      <c r="Y107" s="88">
        <v>2.4900000000000002</v>
      </c>
      <c r="Z107" s="88">
        <v>2.69</v>
      </c>
      <c r="AA107" s="88">
        <v>2.5</v>
      </c>
      <c r="AB107" s="88">
        <v>2.52</v>
      </c>
      <c r="AC107" s="88">
        <v>2.59</v>
      </c>
      <c r="AD107" s="88">
        <v>2.4700000000000002</v>
      </c>
      <c r="AE107" s="88">
        <v>2.69</v>
      </c>
      <c r="AF107" s="88">
        <v>2.5</v>
      </c>
    </row>
    <row r="108" spans="1:32">
      <c r="A108" s="516" t="s">
        <v>482</v>
      </c>
      <c r="B108" s="622">
        <v>1134.26</v>
      </c>
      <c r="C108" s="43">
        <v>1258.22</v>
      </c>
      <c r="D108" s="337">
        <v>1115.58</v>
      </c>
      <c r="E108" s="337">
        <v>1205.23</v>
      </c>
      <c r="F108" s="337">
        <v>1095.93</v>
      </c>
      <c r="G108" s="337">
        <v>1160.8499999999999</v>
      </c>
      <c r="H108" s="337">
        <v>1205.81</v>
      </c>
      <c r="I108" s="337">
        <v>1148.53</v>
      </c>
      <c r="J108" s="337">
        <v>1129.81</v>
      </c>
      <c r="K108" s="337">
        <v>1231.8900000000001</v>
      </c>
      <c r="L108" s="337">
        <v>891.57</v>
      </c>
      <c r="M108" s="337">
        <v>1147.6400000000001</v>
      </c>
      <c r="N108" s="337">
        <v>1043.79</v>
      </c>
      <c r="S108" s="516" t="s">
        <v>520</v>
      </c>
      <c r="T108" s="614">
        <v>0.96</v>
      </c>
      <c r="U108" s="43">
        <v>0.92</v>
      </c>
      <c r="V108" s="88">
        <v>1</v>
      </c>
      <c r="W108" s="88">
        <v>1.07</v>
      </c>
      <c r="X108" s="88">
        <v>0.97</v>
      </c>
      <c r="Y108" s="88">
        <v>0.94</v>
      </c>
      <c r="Z108" s="88">
        <v>1.01</v>
      </c>
      <c r="AA108" s="88">
        <v>0.9</v>
      </c>
      <c r="AB108" s="88">
        <v>0.93</v>
      </c>
      <c r="AC108" s="88">
        <v>1.06</v>
      </c>
      <c r="AD108" s="88">
        <v>0.88</v>
      </c>
      <c r="AE108" s="88">
        <v>1</v>
      </c>
      <c r="AF108" s="88">
        <v>0.86</v>
      </c>
    </row>
    <row r="109" spans="1:32">
      <c r="A109" s="516" t="s">
        <v>596</v>
      </c>
      <c r="B109" s="622">
        <v>3228.75</v>
      </c>
      <c r="C109" s="43">
        <v>257.16000000000003</v>
      </c>
      <c r="D109" s="337">
        <v>242.44</v>
      </c>
      <c r="E109" s="337">
        <v>289.81</v>
      </c>
      <c r="F109" s="337">
        <v>232.86</v>
      </c>
      <c r="G109" s="337">
        <v>277.19</v>
      </c>
      <c r="H109" s="337">
        <v>302.45</v>
      </c>
      <c r="I109" s="337">
        <v>278.68</v>
      </c>
      <c r="J109" s="337">
        <v>264.88</v>
      </c>
      <c r="K109" s="337">
        <v>273.27999999999997</v>
      </c>
      <c r="L109" s="337">
        <v>247.07</v>
      </c>
      <c r="M109" s="337">
        <v>311.55</v>
      </c>
      <c r="N109" s="337">
        <v>250.43</v>
      </c>
      <c r="S109" s="629" t="s">
        <v>517</v>
      </c>
      <c r="T109" s="614">
        <v>1451.44</v>
      </c>
      <c r="U109" s="43">
        <v>1122.31</v>
      </c>
      <c r="V109" s="88">
        <v>1441.78</v>
      </c>
      <c r="W109" s="88">
        <v>1572.82</v>
      </c>
      <c r="X109" s="88">
        <v>1498.97</v>
      </c>
      <c r="Y109" s="88">
        <v>1595.09</v>
      </c>
      <c r="Z109" s="88">
        <v>1549.74</v>
      </c>
      <c r="AA109" s="88">
        <v>1382.51</v>
      </c>
      <c r="AB109" s="88">
        <v>1410.65</v>
      </c>
      <c r="AC109" s="88">
        <v>1456.2</v>
      </c>
      <c r="AD109" s="88">
        <v>1392.03</v>
      </c>
      <c r="AE109" s="88">
        <v>1591.77</v>
      </c>
      <c r="AF109" s="88">
        <v>1403.46</v>
      </c>
    </row>
    <row r="110" spans="1:32">
      <c r="A110" s="516" t="s">
        <v>597</v>
      </c>
      <c r="B110" s="614">
        <v>577.35900000000004</v>
      </c>
      <c r="C110" s="43">
        <v>550.74900000000002</v>
      </c>
      <c r="D110" s="88">
        <v>505.48200000000003</v>
      </c>
      <c r="E110" s="88">
        <v>526.06299999999999</v>
      </c>
      <c r="F110" s="88">
        <v>640.80600000000004</v>
      </c>
      <c r="G110" s="88">
        <v>626.86599999999999</v>
      </c>
      <c r="H110" s="88">
        <v>622.53899999999999</v>
      </c>
      <c r="I110" s="88">
        <v>644.16700000000003</v>
      </c>
      <c r="J110" s="88">
        <v>543.74599999999998</v>
      </c>
      <c r="K110" s="337">
        <v>597.61</v>
      </c>
      <c r="L110" s="88">
        <v>530.69200000000001</v>
      </c>
      <c r="M110" s="88">
        <v>605.27200000000005</v>
      </c>
      <c r="N110" s="88">
        <v>534.31100000000004</v>
      </c>
      <c r="S110" s="516" t="s">
        <v>522</v>
      </c>
      <c r="T110" s="43">
        <v>89.05</v>
      </c>
      <c r="U110" s="43">
        <v>79.38</v>
      </c>
      <c r="V110" s="378">
        <v>91.96</v>
      </c>
      <c r="W110" s="378">
        <v>90.56</v>
      </c>
      <c r="X110" s="378">
        <v>87.86</v>
      </c>
      <c r="Y110" s="378">
        <v>89.3</v>
      </c>
      <c r="Z110" s="378">
        <v>87.27</v>
      </c>
      <c r="AA110" s="378">
        <v>89.26</v>
      </c>
      <c r="AB110" s="378">
        <v>93.49</v>
      </c>
      <c r="AC110" s="378">
        <v>86.66</v>
      </c>
      <c r="AD110" s="378">
        <v>83.95</v>
      </c>
      <c r="AE110" s="378">
        <v>97.23</v>
      </c>
      <c r="AF110" s="378">
        <v>91.73</v>
      </c>
    </row>
    <row r="111" spans="1:32">
      <c r="A111" s="516" t="s">
        <v>478</v>
      </c>
      <c r="B111" s="43">
        <v>237.92</v>
      </c>
      <c r="C111" s="43">
        <v>197.7</v>
      </c>
      <c r="D111" s="378">
        <v>227.85</v>
      </c>
      <c r="E111" s="378">
        <v>224.83</v>
      </c>
      <c r="F111" s="378">
        <v>215.25</v>
      </c>
      <c r="G111" s="378">
        <v>255.46</v>
      </c>
      <c r="H111" s="378">
        <v>235.53</v>
      </c>
      <c r="I111" s="378">
        <v>254.12</v>
      </c>
      <c r="J111" s="378">
        <v>232.64</v>
      </c>
      <c r="K111" s="378">
        <v>200.03</v>
      </c>
      <c r="L111" s="378">
        <v>325.85000000000002</v>
      </c>
      <c r="M111" s="378">
        <v>259.44</v>
      </c>
      <c r="N111" s="378">
        <v>245.87</v>
      </c>
      <c r="S111" s="516" t="s">
        <v>523</v>
      </c>
      <c r="T111" s="43">
        <v>0</v>
      </c>
      <c r="U111" s="43">
        <v>0</v>
      </c>
      <c r="V111" s="378">
        <v>0</v>
      </c>
      <c r="W111" s="378">
        <v>0</v>
      </c>
      <c r="X111" s="378">
        <v>0</v>
      </c>
      <c r="Y111" s="378">
        <v>0</v>
      </c>
      <c r="Z111" s="378">
        <v>0</v>
      </c>
      <c r="AA111" s="378">
        <v>0</v>
      </c>
      <c r="AB111" s="378">
        <v>0</v>
      </c>
      <c r="AC111" s="378">
        <v>0</v>
      </c>
      <c r="AD111" s="378">
        <v>0</v>
      </c>
      <c r="AE111" s="378">
        <v>0</v>
      </c>
      <c r="AF111" s="378">
        <v>0</v>
      </c>
    </row>
    <row r="112" spans="1:32">
      <c r="A112" s="516" t="s">
        <v>477</v>
      </c>
      <c r="B112" s="43">
        <v>695.17</v>
      </c>
      <c r="C112" s="43">
        <v>593.74</v>
      </c>
      <c r="D112" s="378">
        <v>643.47</v>
      </c>
      <c r="E112" s="378">
        <v>674.22</v>
      </c>
      <c r="F112" s="378">
        <v>610.36</v>
      </c>
      <c r="G112" s="378">
        <v>744.7</v>
      </c>
      <c r="H112" s="378">
        <v>705.86</v>
      </c>
      <c r="I112" s="378">
        <v>744.45</v>
      </c>
      <c r="J112" s="378">
        <v>694.86</v>
      </c>
      <c r="K112" s="378">
        <v>618.23</v>
      </c>
      <c r="L112" s="378">
        <v>852.7</v>
      </c>
      <c r="M112" s="378">
        <v>771.04</v>
      </c>
      <c r="N112" s="378">
        <v>700.61</v>
      </c>
      <c r="S112" s="516" t="s">
        <v>524</v>
      </c>
      <c r="T112" s="40">
        <v>0</v>
      </c>
      <c r="U112" s="43">
        <v>0</v>
      </c>
      <c r="V112" s="378">
        <v>0</v>
      </c>
      <c r="W112" s="378">
        <v>0</v>
      </c>
      <c r="X112" s="378">
        <v>0</v>
      </c>
      <c r="Y112" s="378">
        <v>0</v>
      </c>
      <c r="Z112" s="378">
        <v>0</v>
      </c>
      <c r="AA112" s="378">
        <v>0</v>
      </c>
      <c r="AB112" s="378">
        <v>0</v>
      </c>
      <c r="AC112" s="378">
        <v>0</v>
      </c>
      <c r="AD112" s="378">
        <v>0</v>
      </c>
      <c r="AE112" s="378">
        <v>0</v>
      </c>
      <c r="AF112" s="378">
        <v>0</v>
      </c>
    </row>
    <row r="113" spans="1:32">
      <c r="A113" s="516" t="s">
        <v>476</v>
      </c>
      <c r="B113" s="43">
        <v>7.22</v>
      </c>
      <c r="C113" s="43">
        <v>6.96</v>
      </c>
      <c r="D113" s="88">
        <v>6.57</v>
      </c>
      <c r="E113" s="88">
        <v>7.36</v>
      </c>
      <c r="F113" s="88">
        <v>6.66</v>
      </c>
      <c r="G113" s="88">
        <v>7.33</v>
      </c>
      <c r="H113" s="88">
        <v>7.41</v>
      </c>
      <c r="I113" s="88">
        <v>7.69</v>
      </c>
      <c r="J113" s="88">
        <v>7.51</v>
      </c>
      <c r="K113" s="88">
        <v>7.88</v>
      </c>
      <c r="L113" s="88">
        <v>6.68</v>
      </c>
      <c r="M113" s="88">
        <v>7.45</v>
      </c>
      <c r="N113" s="88">
        <v>7.01</v>
      </c>
      <c r="S113" s="516" t="s">
        <v>525</v>
      </c>
      <c r="T113" s="623">
        <v>1540.49</v>
      </c>
      <c r="U113" s="43">
        <v>1201.69</v>
      </c>
      <c r="V113" s="378">
        <v>1533.74</v>
      </c>
      <c r="W113" s="378">
        <v>1663.38</v>
      </c>
      <c r="X113" s="378">
        <v>1586.83</v>
      </c>
      <c r="Y113" s="378">
        <v>1684.39</v>
      </c>
      <c r="Z113" s="378">
        <v>1637.01</v>
      </c>
      <c r="AA113" s="378">
        <v>1471.77</v>
      </c>
      <c r="AB113" s="378">
        <v>1504.14</v>
      </c>
      <c r="AC113" s="378">
        <v>1542.86</v>
      </c>
      <c r="AD113" s="378">
        <v>1475.98</v>
      </c>
      <c r="AE113" s="378">
        <v>1689</v>
      </c>
      <c r="AF113" s="378">
        <v>1495.19</v>
      </c>
    </row>
    <row r="114" spans="1:32">
      <c r="A114" s="516" t="s">
        <v>473</v>
      </c>
      <c r="B114" s="40">
        <v>0.99719999999999998</v>
      </c>
      <c r="C114" s="40">
        <v>0.94330000000000003</v>
      </c>
      <c r="D114" s="40">
        <v>1.0042</v>
      </c>
      <c r="E114" s="40">
        <v>1.0410999999999999</v>
      </c>
      <c r="F114" s="40">
        <v>1.0109999999999999</v>
      </c>
      <c r="G114" s="40">
        <v>0.99299999999999999</v>
      </c>
      <c r="H114" s="40">
        <v>0.99629999999999996</v>
      </c>
      <c r="I114" s="40">
        <v>0.99570000000000003</v>
      </c>
      <c r="J114" s="40">
        <v>0.99650000000000005</v>
      </c>
      <c r="K114" s="40">
        <v>0.99460000000000004</v>
      </c>
      <c r="L114" s="40">
        <v>0.99539999999999995</v>
      </c>
      <c r="M114" s="40">
        <v>0.99450000000000005</v>
      </c>
      <c r="N114" s="40">
        <v>0.99550000000000005</v>
      </c>
      <c r="S114" s="516" t="s">
        <v>526</v>
      </c>
      <c r="T114" s="623">
        <v>5.7799999999999997E-2</v>
      </c>
      <c r="U114" s="43">
        <v>6.6100000000000006E-2</v>
      </c>
      <c r="V114" s="378">
        <v>0.06</v>
      </c>
      <c r="W114" s="378">
        <v>5.4399999999999997E-2</v>
      </c>
      <c r="X114" s="378">
        <v>5.8599999999999999E-2</v>
      </c>
      <c r="Y114" s="378">
        <v>5.2999999999999999E-2</v>
      </c>
      <c r="Z114" s="378">
        <v>5.33E-2</v>
      </c>
      <c r="AA114" s="378">
        <v>6.0600000000000001E-2</v>
      </c>
      <c r="AB114" s="378">
        <v>6.2199999999999998E-2</v>
      </c>
      <c r="AC114" s="378">
        <v>5.62E-2</v>
      </c>
      <c r="AD114" s="378">
        <v>5.6899999999999999E-2</v>
      </c>
      <c r="AE114" s="378">
        <v>0.06</v>
      </c>
      <c r="AF114" s="378">
        <v>6.1400000000000003E-2</v>
      </c>
    </row>
    <row r="115" spans="1:32">
      <c r="A115" s="611" t="s">
        <v>598</v>
      </c>
      <c r="B115" s="623">
        <v>0.93440000000000001</v>
      </c>
      <c r="C115" s="623">
        <v>0.95399999999999996</v>
      </c>
      <c r="D115" s="338">
        <v>0.96379999999999999</v>
      </c>
      <c r="E115" s="338">
        <v>0.95209999999999995</v>
      </c>
      <c r="F115" s="338">
        <v>0.9496</v>
      </c>
      <c r="G115" s="338">
        <v>0.93020000000000003</v>
      </c>
      <c r="H115" s="338">
        <v>0.93369999999999997</v>
      </c>
      <c r="I115" s="338">
        <v>0.91459999999999997</v>
      </c>
      <c r="J115" s="338">
        <v>0.91930000000000001</v>
      </c>
      <c r="K115" s="338">
        <v>0.9103</v>
      </c>
      <c r="L115" s="338">
        <v>0.94640000000000002</v>
      </c>
      <c r="M115" s="338">
        <v>0.92849999999999999</v>
      </c>
      <c r="N115" s="338">
        <v>0.92059999999999997</v>
      </c>
      <c r="S115" s="516" t="s">
        <v>527</v>
      </c>
      <c r="T115" s="623">
        <v>0.94220000000000004</v>
      </c>
      <c r="U115" s="630">
        <v>0.93389999999999995</v>
      </c>
      <c r="V115" s="631">
        <v>0.94</v>
      </c>
      <c r="W115" s="631">
        <v>0.9456</v>
      </c>
      <c r="X115" s="631">
        <v>0.9446</v>
      </c>
      <c r="Y115" s="631">
        <v>0.94699999999999995</v>
      </c>
      <c r="Z115" s="631">
        <v>0.94669999999999999</v>
      </c>
      <c r="AA115" s="631">
        <v>0.93940000000000001</v>
      </c>
      <c r="AB115" s="631">
        <v>0.93779999999999997</v>
      </c>
      <c r="AC115" s="631">
        <v>0.94379999999999997</v>
      </c>
      <c r="AD115" s="631">
        <v>0.94310000000000005</v>
      </c>
      <c r="AE115" s="631">
        <v>0.94240000000000002</v>
      </c>
      <c r="AF115" s="631">
        <v>0.93859999999999999</v>
      </c>
    </row>
    <row r="116" spans="1:32">
      <c r="A116" s="611" t="s">
        <v>471</v>
      </c>
      <c r="B116" s="623">
        <v>0.96860000000000002</v>
      </c>
      <c r="C116" s="623">
        <v>0.94869999999999999</v>
      </c>
      <c r="D116" s="338">
        <v>0.98480000000000001</v>
      </c>
      <c r="E116" s="338">
        <v>1.0022</v>
      </c>
      <c r="F116" s="338">
        <v>0.98170000000000002</v>
      </c>
      <c r="G116" s="338">
        <v>0.96430000000000005</v>
      </c>
      <c r="H116" s="338">
        <v>0.96719999999999995</v>
      </c>
      <c r="I116" s="338">
        <v>0.95909999999999995</v>
      </c>
      <c r="J116" s="338">
        <v>0.95909999999999995</v>
      </c>
      <c r="K116" s="338">
        <v>0.95340000000000003</v>
      </c>
      <c r="L116" s="338">
        <v>0.97819999999999996</v>
      </c>
      <c r="M116" s="338">
        <v>0.9657</v>
      </c>
      <c r="N116" s="338">
        <v>0.96079999999999999</v>
      </c>
      <c r="S116" s="516" t="s">
        <v>582</v>
      </c>
      <c r="T116" s="623">
        <v>0.75819999999999999</v>
      </c>
      <c r="U116" s="630">
        <v>0.78349999999999997</v>
      </c>
      <c r="V116" s="631">
        <v>0.75160000000000005</v>
      </c>
      <c r="W116" s="631">
        <v>0.76880000000000004</v>
      </c>
      <c r="X116" s="631">
        <v>0.74619999999999997</v>
      </c>
      <c r="Y116" s="631">
        <v>0.73719999999999997</v>
      </c>
      <c r="Z116" s="631">
        <v>0.76490000000000002</v>
      </c>
      <c r="AA116" s="631">
        <v>0.73950000000000005</v>
      </c>
      <c r="AB116" s="631">
        <v>0.73819999999999997</v>
      </c>
      <c r="AC116" s="631">
        <v>0.79169999999999996</v>
      </c>
      <c r="AD116" s="631">
        <v>0.76519999999999999</v>
      </c>
      <c r="AE116" s="631">
        <v>0.75949999999999995</v>
      </c>
      <c r="AF116" s="631">
        <v>0.74450000000000005</v>
      </c>
    </row>
    <row r="117" spans="1:32">
      <c r="S117" s="629" t="s">
        <v>583</v>
      </c>
      <c r="T117" s="623">
        <v>0.12970000000000001</v>
      </c>
      <c r="U117" s="623">
        <v>0.112</v>
      </c>
      <c r="V117" s="88">
        <v>0.1305</v>
      </c>
      <c r="W117" s="88">
        <v>0.12230000000000001</v>
      </c>
      <c r="X117" s="88">
        <v>0.13769999999999999</v>
      </c>
      <c r="Y117" s="88">
        <v>0.14299999999999999</v>
      </c>
      <c r="Z117" s="88">
        <v>0.127</v>
      </c>
      <c r="AA117" s="88">
        <v>0.1396</v>
      </c>
      <c r="AB117" s="88">
        <v>0.14199999999999999</v>
      </c>
      <c r="AC117" s="88">
        <v>0.112</v>
      </c>
      <c r="AD117" s="88">
        <v>0.1263</v>
      </c>
      <c r="AE117" s="88">
        <v>0.12659999999999999</v>
      </c>
      <c r="AF117" s="88">
        <v>0.14199999999999999</v>
      </c>
    </row>
    <row r="118" spans="1:32">
      <c r="S118" s="516" t="s">
        <v>584</v>
      </c>
      <c r="T118" s="623">
        <v>7.0000000000000001E-3</v>
      </c>
      <c r="U118" s="40">
        <v>3.8999999999999998E-3</v>
      </c>
      <c r="V118" s="338">
        <v>7.4999999999999997E-3</v>
      </c>
      <c r="W118" s="338">
        <v>6.1999999999999998E-3</v>
      </c>
      <c r="X118" s="338">
        <v>7.1000000000000004E-3</v>
      </c>
      <c r="Y118" s="338">
        <v>8.5000000000000006E-3</v>
      </c>
      <c r="Z118" s="338">
        <v>7.4000000000000003E-3</v>
      </c>
      <c r="AA118" s="338">
        <v>8.0000000000000002E-3</v>
      </c>
      <c r="AB118" s="338">
        <v>7.7000000000000002E-3</v>
      </c>
      <c r="AC118" s="338">
        <v>6.1000000000000004E-3</v>
      </c>
      <c r="AD118" s="338">
        <v>5.8999999999999999E-3</v>
      </c>
      <c r="AE118" s="338">
        <v>7.7000000000000002E-3</v>
      </c>
      <c r="AF118" s="338">
        <v>7.7000000000000002E-3</v>
      </c>
    </row>
    <row r="119" spans="1:32">
      <c r="S119" s="516" t="s">
        <v>585</v>
      </c>
      <c r="T119" s="623">
        <v>3.8999999999999998E-3</v>
      </c>
      <c r="U119" s="40">
        <v>2.2000000000000001E-3</v>
      </c>
      <c r="V119" s="338">
        <v>4.1000000000000003E-3</v>
      </c>
      <c r="W119" s="338">
        <v>4.1999999999999997E-3</v>
      </c>
      <c r="X119" s="338">
        <v>4.5999999999999999E-3</v>
      </c>
      <c r="Y119" s="338">
        <v>3.7000000000000002E-3</v>
      </c>
      <c r="Z119" s="338">
        <v>4.0000000000000001E-3</v>
      </c>
      <c r="AA119" s="338">
        <v>4.5999999999999999E-3</v>
      </c>
      <c r="AB119" s="338">
        <v>4.7999999999999996E-3</v>
      </c>
      <c r="AC119" s="338">
        <v>3.8E-3</v>
      </c>
      <c r="AD119" s="338">
        <v>3.7000000000000002E-3</v>
      </c>
      <c r="AE119" s="338">
        <v>4.4000000000000003E-3</v>
      </c>
      <c r="AF119" s="338">
        <v>3.0000000000000001E-3</v>
      </c>
    </row>
    <row r="120" spans="1:32">
      <c r="S120" s="516" t="s">
        <v>586</v>
      </c>
      <c r="T120" s="623">
        <v>4.58E-2</v>
      </c>
      <c r="U120" s="40">
        <v>4.4299999999999999E-2</v>
      </c>
      <c r="V120" s="338">
        <v>4.8399999999999999E-2</v>
      </c>
      <c r="W120" s="338">
        <v>4.5199999999999997E-2</v>
      </c>
      <c r="X120" s="338">
        <v>4.65E-2</v>
      </c>
      <c r="Y120" s="338">
        <v>4.7100000000000003E-2</v>
      </c>
      <c r="Z120" s="338">
        <v>4.3799999999999999E-2</v>
      </c>
      <c r="AA120" s="338">
        <v>4.7399999999999998E-2</v>
      </c>
      <c r="AB120" s="338">
        <v>4.5999999999999999E-2</v>
      </c>
      <c r="AC120" s="338">
        <v>3.9100000000000003E-2</v>
      </c>
      <c r="AD120" s="338">
        <v>4.4600000000000001E-2</v>
      </c>
      <c r="AE120" s="338">
        <v>4.9000000000000002E-2</v>
      </c>
      <c r="AF120" s="338">
        <v>4.87E-2</v>
      </c>
    </row>
    <row r="121" spans="1:32">
      <c r="S121" s="516" t="s">
        <v>599</v>
      </c>
      <c r="T121" s="623">
        <v>3.5999999999999999E-3</v>
      </c>
      <c r="U121" s="40">
        <v>1.8E-3</v>
      </c>
      <c r="V121" s="338">
        <v>3.8E-3</v>
      </c>
      <c r="W121" s="338">
        <v>3.3999999999999998E-3</v>
      </c>
      <c r="X121" s="338">
        <v>3.8999999999999998E-3</v>
      </c>
      <c r="Y121" s="338">
        <v>3.5999999999999999E-3</v>
      </c>
      <c r="Z121" s="338">
        <v>3.7000000000000002E-3</v>
      </c>
      <c r="AA121" s="338">
        <v>3.8E-3</v>
      </c>
      <c r="AB121" s="338">
        <v>4.1000000000000003E-3</v>
      </c>
      <c r="AC121" s="338">
        <v>3.5999999999999999E-3</v>
      </c>
      <c r="AD121" s="338">
        <v>3.7000000000000002E-3</v>
      </c>
      <c r="AE121" s="338">
        <v>4.4999999999999997E-3</v>
      </c>
      <c r="AF121" s="338">
        <v>3.2000000000000002E-3</v>
      </c>
    </row>
    <row r="122" spans="1:32">
      <c r="S122" s="516" t="s">
        <v>535</v>
      </c>
      <c r="T122" s="623">
        <v>5.1799999999999999E-2</v>
      </c>
      <c r="U122" s="40">
        <v>5.2299999999999999E-2</v>
      </c>
      <c r="V122" s="338">
        <v>5.4100000000000002E-2</v>
      </c>
      <c r="W122" s="338">
        <v>4.9799999999999997E-2</v>
      </c>
      <c r="X122" s="338">
        <v>5.4100000000000002E-2</v>
      </c>
      <c r="Y122" s="338">
        <v>5.7099999999999998E-2</v>
      </c>
      <c r="Z122" s="338">
        <v>4.9200000000000001E-2</v>
      </c>
      <c r="AA122" s="338">
        <v>5.7200000000000001E-2</v>
      </c>
      <c r="AB122" s="338">
        <v>5.7200000000000001E-2</v>
      </c>
      <c r="AC122" s="338">
        <v>4.36E-2</v>
      </c>
      <c r="AD122" s="338">
        <v>5.0599999999999999E-2</v>
      </c>
      <c r="AE122" s="338">
        <v>4.8300000000000003E-2</v>
      </c>
      <c r="AF122" s="338">
        <v>5.0900000000000001E-2</v>
      </c>
    </row>
    <row r="123" spans="1:32">
      <c r="S123" s="516" t="s">
        <v>536</v>
      </c>
      <c r="T123" s="623">
        <v>0.21460000000000001</v>
      </c>
      <c r="U123" s="40">
        <v>0.27189999999999998</v>
      </c>
      <c r="V123" s="338">
        <v>0.20250000000000001</v>
      </c>
      <c r="W123" s="338">
        <v>0.19739999999999999</v>
      </c>
      <c r="X123" s="338">
        <v>0.19270000000000001</v>
      </c>
      <c r="Y123" s="338">
        <v>0.19839999999999999</v>
      </c>
      <c r="Z123" s="338">
        <v>0.1986</v>
      </c>
      <c r="AA123" s="338">
        <v>0.21709999999999999</v>
      </c>
      <c r="AB123" s="338">
        <v>0.21429999999999999</v>
      </c>
      <c r="AC123" s="338">
        <v>0.21920000000000001</v>
      </c>
      <c r="AD123" s="338">
        <v>0.22009999999999999</v>
      </c>
      <c r="AE123" s="338">
        <v>0.22589999999999999</v>
      </c>
      <c r="AF123" s="338">
        <v>0.23280000000000001</v>
      </c>
    </row>
    <row r="124" spans="1:32">
      <c r="S124" s="516" t="s">
        <v>589</v>
      </c>
      <c r="T124" s="623">
        <v>0.78539999999999999</v>
      </c>
      <c r="U124" s="40">
        <v>0.72809999999999997</v>
      </c>
      <c r="V124" s="338">
        <v>0.79749999999999999</v>
      </c>
      <c r="W124" s="338">
        <v>0.80259999999999998</v>
      </c>
      <c r="X124" s="338">
        <v>0.80730000000000002</v>
      </c>
      <c r="Y124" s="338">
        <v>0.80159999999999998</v>
      </c>
      <c r="Z124" s="338">
        <v>0.8014</v>
      </c>
      <c r="AA124" s="338">
        <v>0.78290000000000004</v>
      </c>
      <c r="AB124" s="338">
        <v>0.78569999999999995</v>
      </c>
      <c r="AC124" s="338">
        <v>0.78080000000000005</v>
      </c>
      <c r="AD124" s="338">
        <v>0.77990000000000004</v>
      </c>
      <c r="AE124" s="338">
        <v>0.77410000000000001</v>
      </c>
      <c r="AF124" s="338">
        <v>0.76719999999999999</v>
      </c>
    </row>
    <row r="125" spans="1:32">
      <c r="S125" s="516" t="s">
        <v>538</v>
      </c>
      <c r="T125" s="623">
        <v>0.71970000000000001</v>
      </c>
      <c r="U125" s="630">
        <v>0.72430000000000005</v>
      </c>
      <c r="V125" s="631">
        <v>0.73040000000000005</v>
      </c>
      <c r="W125" s="631">
        <v>0.72350000000000003</v>
      </c>
      <c r="X125" s="631">
        <v>0.73299999999999998</v>
      </c>
      <c r="Y125" s="631">
        <v>0.73540000000000005</v>
      </c>
      <c r="Z125" s="631">
        <v>0.72260000000000002</v>
      </c>
      <c r="AA125" s="631">
        <v>0.72060000000000002</v>
      </c>
      <c r="AB125" s="631">
        <v>0.7157</v>
      </c>
      <c r="AC125" s="631">
        <v>0.6583</v>
      </c>
      <c r="AD125" s="631">
        <v>0.71399999999999997</v>
      </c>
      <c r="AE125" s="631">
        <v>0.7288</v>
      </c>
      <c r="AF125" s="631">
        <v>0.65069999999999995</v>
      </c>
    </row>
    <row r="126" spans="1:32">
      <c r="S126" s="516" t="s">
        <v>539</v>
      </c>
      <c r="T126" s="623">
        <v>0.28029999999999999</v>
      </c>
      <c r="U126" s="630">
        <v>0.2757</v>
      </c>
      <c r="V126" s="631">
        <v>0.26960000000000001</v>
      </c>
      <c r="W126" s="631">
        <v>0.27650000000000002</v>
      </c>
      <c r="X126" s="631">
        <v>0.26700000000000002</v>
      </c>
      <c r="Y126" s="631">
        <v>0.2646</v>
      </c>
      <c r="Z126" s="631">
        <v>0.27739999999999998</v>
      </c>
      <c r="AA126" s="631">
        <v>0.27939999999999998</v>
      </c>
      <c r="AB126" s="631">
        <v>0.2843</v>
      </c>
      <c r="AC126" s="631">
        <v>0.3417</v>
      </c>
      <c r="AD126" s="631">
        <v>0.28599999999999998</v>
      </c>
      <c r="AE126" s="631">
        <v>0.2712</v>
      </c>
      <c r="AF126" s="631">
        <v>0.26119999999999999</v>
      </c>
    </row>
    <row r="127" spans="1:32">
      <c r="S127" s="516" t="s">
        <v>590</v>
      </c>
      <c r="T127" s="623">
        <v>0.99470000000000003</v>
      </c>
      <c r="U127" s="630">
        <v>0.99419999999999997</v>
      </c>
      <c r="V127" s="631">
        <v>0.99439999999999995</v>
      </c>
      <c r="W127" s="631">
        <v>0.99490000000000001</v>
      </c>
      <c r="X127" s="631">
        <v>0.995</v>
      </c>
      <c r="Y127" s="631">
        <v>0.99570000000000003</v>
      </c>
      <c r="Z127" s="631">
        <v>0.99509999999999998</v>
      </c>
      <c r="AA127" s="631">
        <v>0.99490000000000001</v>
      </c>
      <c r="AB127" s="631">
        <v>0.99490000000000001</v>
      </c>
      <c r="AC127" s="631">
        <v>0.99339999999999995</v>
      </c>
      <c r="AD127" s="631">
        <v>0.99480000000000002</v>
      </c>
      <c r="AE127" s="631">
        <v>0.99460000000000004</v>
      </c>
      <c r="AF127" s="631">
        <v>0.99460000000000004</v>
      </c>
    </row>
    <row r="128" spans="1:32">
      <c r="S128" s="516" t="s">
        <v>591</v>
      </c>
      <c r="T128" s="623">
        <v>5.3E-3</v>
      </c>
      <c r="U128" s="630">
        <v>5.7999999999999996E-3</v>
      </c>
      <c r="V128" s="631">
        <v>5.5999999999999999E-3</v>
      </c>
      <c r="W128" s="631">
        <v>5.1000000000000004E-3</v>
      </c>
      <c r="X128" s="631">
        <v>5.0000000000000001E-3</v>
      </c>
      <c r="Y128" s="631">
        <v>4.3E-3</v>
      </c>
      <c r="Z128" s="631">
        <v>4.8999999999999998E-3</v>
      </c>
      <c r="AA128" s="631">
        <v>5.1000000000000004E-3</v>
      </c>
      <c r="AB128" s="631">
        <v>5.1000000000000004E-3</v>
      </c>
      <c r="AC128" s="631">
        <v>6.6E-3</v>
      </c>
      <c r="AD128" s="631">
        <v>5.1999999999999998E-3</v>
      </c>
      <c r="AE128" s="631">
        <v>5.4000000000000003E-3</v>
      </c>
      <c r="AF128" s="631">
        <v>5.4000000000000003E-3</v>
      </c>
    </row>
    <row r="129" spans="1:34">
      <c r="S129" s="629" t="s">
        <v>592</v>
      </c>
      <c r="T129" s="623">
        <v>6.9999999999999999E-4</v>
      </c>
      <c r="U129" s="623">
        <v>0</v>
      </c>
      <c r="V129" s="88">
        <v>5.0000000000000001E-4</v>
      </c>
      <c r="W129" s="88">
        <v>8.0000000000000004E-4</v>
      </c>
      <c r="X129" s="88">
        <v>5.0000000000000001E-4</v>
      </c>
      <c r="Y129" s="88">
        <v>4.0000000000000002E-4</v>
      </c>
      <c r="Z129" s="88">
        <v>4.0000000000000002E-4</v>
      </c>
      <c r="AA129" s="88">
        <v>4.0000000000000002E-4</v>
      </c>
      <c r="AB129" s="88">
        <v>3.5999999999999999E-3</v>
      </c>
      <c r="AC129" s="88">
        <v>0</v>
      </c>
      <c r="AD129" s="88">
        <v>0</v>
      </c>
      <c r="AE129" s="88">
        <v>5.0000000000000001E-4</v>
      </c>
      <c r="AF129" s="88">
        <v>1.1000000000000001E-3</v>
      </c>
    </row>
    <row r="130" spans="1:34">
      <c r="S130" s="516" t="s">
        <v>593</v>
      </c>
      <c r="T130" s="623">
        <v>0</v>
      </c>
      <c r="U130" s="630">
        <v>2.0000000000000001E-4</v>
      </c>
      <c r="V130" s="631">
        <v>0</v>
      </c>
      <c r="W130" s="631">
        <v>0</v>
      </c>
      <c r="X130" s="631">
        <v>0</v>
      </c>
      <c r="Y130" s="631">
        <v>0</v>
      </c>
      <c r="Z130" s="631">
        <v>0</v>
      </c>
      <c r="AA130" s="631">
        <v>0</v>
      </c>
      <c r="AB130" s="631">
        <v>0</v>
      </c>
      <c r="AC130" s="631">
        <v>0</v>
      </c>
      <c r="AD130" s="631">
        <v>0</v>
      </c>
      <c r="AE130" s="631">
        <v>0</v>
      </c>
      <c r="AF130" s="631">
        <v>0</v>
      </c>
    </row>
    <row r="131" spans="1:34">
      <c r="S131" s="516"/>
      <c r="T131" s="623"/>
      <c r="U131" s="630"/>
      <c r="V131" s="631"/>
      <c r="W131" s="631"/>
      <c r="X131" s="631"/>
      <c r="Y131" s="631"/>
      <c r="Z131" s="631"/>
      <c r="AA131" s="631"/>
      <c r="AB131" s="631"/>
      <c r="AC131" s="631"/>
      <c r="AD131" s="631"/>
      <c r="AE131" s="631"/>
      <c r="AF131" s="631"/>
    </row>
    <row r="132" spans="1:34">
      <c r="S132" s="516"/>
      <c r="T132" s="40"/>
      <c r="U132" s="630"/>
      <c r="V132" s="631"/>
      <c r="W132" s="631"/>
      <c r="X132" s="631"/>
      <c r="Y132" s="631"/>
      <c r="Z132" s="631"/>
      <c r="AA132" s="631"/>
      <c r="AB132" s="631"/>
      <c r="AC132" s="631"/>
      <c r="AD132" s="631"/>
      <c r="AE132" s="631"/>
      <c r="AF132" s="631"/>
    </row>
    <row r="133" spans="1:34">
      <c r="S133" s="516"/>
      <c r="T133" s="40"/>
      <c r="U133" s="630"/>
      <c r="V133" s="631"/>
      <c r="W133" s="631"/>
      <c r="X133" s="631"/>
      <c r="Y133" s="631"/>
      <c r="Z133" s="631"/>
      <c r="AA133" s="631"/>
      <c r="AB133" s="631"/>
      <c r="AC133" s="631"/>
      <c r="AD133" s="631"/>
      <c r="AE133" s="631"/>
      <c r="AF133" s="631"/>
    </row>
    <row r="134" spans="1:34">
      <c r="S134" s="611"/>
      <c r="T134" s="40"/>
      <c r="U134" s="40"/>
      <c r="V134" s="338"/>
      <c r="W134" s="338"/>
      <c r="X134" s="338"/>
      <c r="Y134" s="338"/>
      <c r="Z134" s="338"/>
      <c r="AA134" s="338"/>
      <c r="AB134" s="338"/>
      <c r="AC134" s="338"/>
      <c r="AD134" s="338"/>
      <c r="AE134" s="338"/>
      <c r="AF134" s="338"/>
    </row>
    <row r="135" spans="1:34">
      <c r="S135" s="624"/>
      <c r="T135" s="625"/>
      <c r="U135" s="625"/>
      <c r="V135" s="592"/>
      <c r="W135" s="592"/>
      <c r="X135" s="592"/>
      <c r="Y135" s="592"/>
      <c r="Z135" s="592"/>
      <c r="AA135" s="592"/>
      <c r="AB135" s="592"/>
      <c r="AC135" s="592"/>
      <c r="AD135" s="592"/>
      <c r="AE135" s="592"/>
      <c r="AF135" s="592"/>
    </row>
    <row r="136" spans="1:34">
      <c r="A136" s="649" t="s">
        <v>356</v>
      </c>
      <c r="B136" s="650"/>
      <c r="C136" s="650"/>
      <c r="D136" s="650"/>
      <c r="E136" s="650"/>
      <c r="F136" s="650"/>
      <c r="G136" s="650"/>
      <c r="H136" s="650"/>
      <c r="I136" s="650"/>
      <c r="J136" s="650"/>
      <c r="K136" s="650"/>
      <c r="L136" s="650"/>
      <c r="M136" s="650"/>
      <c r="N136" s="650"/>
      <c r="O136" s="651"/>
      <c r="S136" s="762" t="s">
        <v>356</v>
      </c>
      <c r="T136" s="762"/>
      <c r="U136" s="762"/>
      <c r="V136" s="762"/>
      <c r="W136" s="762"/>
      <c r="X136" s="762"/>
      <c r="Y136" s="762"/>
      <c r="Z136" s="762"/>
      <c r="AA136" s="762"/>
      <c r="AB136" s="762"/>
      <c r="AC136" s="762"/>
      <c r="AD136" s="762"/>
      <c r="AE136" s="762"/>
      <c r="AF136" s="762"/>
      <c r="AG136" s="762"/>
      <c r="AH136" s="762"/>
    </row>
    <row r="137" spans="1:34">
      <c r="A137" s="634"/>
      <c r="B137" s="652" t="s">
        <v>500</v>
      </c>
      <c r="C137" s="652" t="s">
        <v>503</v>
      </c>
      <c r="D137" s="652" t="s">
        <v>504</v>
      </c>
      <c r="E137" s="652" t="s">
        <v>505</v>
      </c>
      <c r="F137" s="652" t="s">
        <v>506</v>
      </c>
      <c r="G137" s="652" t="s">
        <v>507</v>
      </c>
      <c r="H137" s="652" t="s">
        <v>508</v>
      </c>
      <c r="I137" s="652" t="s">
        <v>509</v>
      </c>
      <c r="J137" s="652" t="s">
        <v>510</v>
      </c>
      <c r="K137" s="652" t="s">
        <v>511</v>
      </c>
      <c r="L137" s="652" t="s">
        <v>512</v>
      </c>
      <c r="M137" s="652" t="s">
        <v>501</v>
      </c>
      <c r="N137" s="652" t="s">
        <v>502</v>
      </c>
      <c r="O137" s="652" t="s">
        <v>29</v>
      </c>
      <c r="S137" s="634"/>
      <c r="T137" s="634" t="s">
        <v>500</v>
      </c>
      <c r="U137" s="634" t="s">
        <v>501</v>
      </c>
      <c r="V137" s="634" t="s">
        <v>502</v>
      </c>
      <c r="W137" s="634" t="s">
        <v>503</v>
      </c>
      <c r="X137" s="634" t="s">
        <v>504</v>
      </c>
      <c r="Y137" s="634" t="s">
        <v>505</v>
      </c>
      <c r="Z137" s="634" t="s">
        <v>506</v>
      </c>
      <c r="AA137" s="634" t="s">
        <v>507</v>
      </c>
      <c r="AB137" s="634" t="s">
        <v>508</v>
      </c>
      <c r="AC137" s="634" t="s">
        <v>509</v>
      </c>
      <c r="AD137" s="634" t="s">
        <v>510</v>
      </c>
      <c r="AE137" s="634" t="s">
        <v>511</v>
      </c>
      <c r="AF137" s="634" t="s">
        <v>512</v>
      </c>
      <c r="AG137" s="634" t="s">
        <v>35</v>
      </c>
      <c r="AH137" s="634" t="s">
        <v>29</v>
      </c>
    </row>
    <row r="138" spans="1:34">
      <c r="A138" s="626" t="s">
        <v>497</v>
      </c>
      <c r="B138" s="627">
        <f t="shared" ref="B138:N138" si="0">B50-B94</f>
        <v>-7056.42</v>
      </c>
      <c r="C138" s="627">
        <f t="shared" si="0"/>
        <v>-6770</v>
      </c>
      <c r="D138" s="627">
        <f t="shared" si="0"/>
        <v>-6790</v>
      </c>
      <c r="E138" s="627">
        <f t="shared" si="0"/>
        <v>-6792</v>
      </c>
      <c r="F138" s="627">
        <f t="shared" si="0"/>
        <v>-6806</v>
      </c>
      <c r="G138" s="627">
        <f t="shared" si="0"/>
        <v>-6858</v>
      </c>
      <c r="H138" s="627">
        <f t="shared" si="0"/>
        <v>-6895</v>
      </c>
      <c r="I138" s="627">
        <f t="shared" si="0"/>
        <v>-6938</v>
      </c>
      <c r="J138" s="627">
        <f t="shared" si="0"/>
        <v>-6984</v>
      </c>
      <c r="K138" s="627">
        <f t="shared" si="0"/>
        <v>-7305</v>
      </c>
      <c r="L138" s="627">
        <f t="shared" si="0"/>
        <v>-7416</v>
      </c>
      <c r="M138" s="627">
        <f t="shared" si="0"/>
        <v>-7492</v>
      </c>
      <c r="N138" s="627">
        <f t="shared" si="0"/>
        <v>-7631</v>
      </c>
      <c r="O138" s="345" t="str">
        <f>IF(AND(ROUNDDOWN(B138,0)=0,ROUNDDOWN(C138,0)=0,ROUNDDOWN(D138,0)=0,ROUNDDOWN(E138,0)=0,ROUNDDOWN(F138,0)=0,ROUNDDOWN(G138,0)=0,ROUNDDOWN(H138,0)=0,ROUNDDOWN(I138,0)=0,ROUNDDOWN(J138,0)=0,ROUNDDOWN(K138,0)=0,ROUNDDOWN(L138,0)=0,ROUNDDOWN(M138,0)=0,ROUNDDOWN(N138,0)=0),"PASS","FAIL")</f>
        <v>FAIL</v>
      </c>
      <c r="S138" s="633" t="s">
        <v>497</v>
      </c>
      <c r="T138" s="627">
        <f t="shared" ref="T138:AF153" si="1">T50-T94</f>
        <v>-7056.42</v>
      </c>
      <c r="U138" s="627">
        <f t="shared" si="1"/>
        <v>-6770</v>
      </c>
      <c r="V138" s="627">
        <f t="shared" si="1"/>
        <v>-6790</v>
      </c>
      <c r="W138" s="627">
        <f t="shared" si="1"/>
        <v>-6792</v>
      </c>
      <c r="X138" s="627">
        <f t="shared" si="1"/>
        <v>-6806</v>
      </c>
      <c r="Y138" s="627">
        <f t="shared" si="1"/>
        <v>-6858</v>
      </c>
      <c r="Z138" s="627">
        <f t="shared" si="1"/>
        <v>-6895</v>
      </c>
      <c r="AA138" s="627">
        <f t="shared" si="1"/>
        <v>-6938</v>
      </c>
      <c r="AB138" s="627">
        <f t="shared" si="1"/>
        <v>-6984</v>
      </c>
      <c r="AC138" s="627">
        <f t="shared" si="1"/>
        <v>-7305</v>
      </c>
      <c r="AD138" s="627">
        <f t="shared" si="1"/>
        <v>-7416</v>
      </c>
      <c r="AE138" s="627">
        <f t="shared" si="1"/>
        <v>-7492</v>
      </c>
      <c r="AF138" s="627">
        <f t="shared" si="1"/>
        <v>-7631</v>
      </c>
      <c r="AG138" s="627">
        <f>AG6-AG58</f>
        <v>0</v>
      </c>
      <c r="AH138" s="345" t="str">
        <f>IF(AND(ROUNDDOWN(T138,0)=0,ROUNDDOWN(U138,0)=0,ROUNDDOWN(V138,0)=0,ROUNDDOWN(W138,0)=0,ROUNDDOWN(X138,0)=0,ROUNDDOWN(Y138,0)=0,ROUNDDOWN(Z138,0)=0,ROUNDDOWN(AA138,0)=0,ROUNDDOWN(AB138,0)=0,ROUNDDOWN(AC138,0)=0,ROUNDDOWN(AD138,0)=0,ROUNDDOWN(AE138,0)=0,ROUNDDOWN(AF138,0)=0,ROUNDDOWN(AG138,0)=0),"PASS","FAIL")</f>
        <v>FAIL</v>
      </c>
    </row>
    <row r="139" spans="1:34">
      <c r="A139" s="626" t="s">
        <v>496</v>
      </c>
      <c r="B139" s="627">
        <f t="shared" ref="B139:N139" si="2">B51-B95</f>
        <v>-13829.5</v>
      </c>
      <c r="C139" s="627">
        <f t="shared" si="2"/>
        <v>-13264</v>
      </c>
      <c r="D139" s="627">
        <f t="shared" si="2"/>
        <v>-13298</v>
      </c>
      <c r="E139" s="627">
        <f t="shared" si="2"/>
        <v>-13302</v>
      </c>
      <c r="F139" s="627">
        <f t="shared" si="2"/>
        <v>-13343</v>
      </c>
      <c r="G139" s="627">
        <f t="shared" si="2"/>
        <v>-13435</v>
      </c>
      <c r="H139" s="627">
        <f t="shared" si="2"/>
        <v>-13503</v>
      </c>
      <c r="I139" s="627">
        <f t="shared" si="2"/>
        <v>-13600</v>
      </c>
      <c r="J139" s="627">
        <f t="shared" si="2"/>
        <v>-13697</v>
      </c>
      <c r="K139" s="627">
        <f t="shared" si="2"/>
        <v>-14326</v>
      </c>
      <c r="L139" s="627">
        <f t="shared" si="2"/>
        <v>-14526</v>
      </c>
      <c r="M139" s="627">
        <f t="shared" si="2"/>
        <v>-14678</v>
      </c>
      <c r="N139" s="627">
        <f t="shared" si="2"/>
        <v>-14982</v>
      </c>
      <c r="O139" s="345" t="str">
        <f t="shared" ref="O139:O160" si="3">IF(AND(ROUNDDOWN(B139,0)=0,ROUNDDOWN(C139,0)=0,ROUNDDOWN(D139,0)=0,ROUNDDOWN(E139,0)=0,ROUNDDOWN(F139,0)=0,ROUNDDOWN(G139,0)=0,ROUNDDOWN(H139,0)=0,ROUNDDOWN(I139,0)=0,ROUNDDOWN(J139,0)=0,ROUNDDOWN(K139,0)=0,ROUNDDOWN(L139,0)=0,ROUNDDOWN(M139,0)=0,ROUNDDOWN(N139,0)=0),"PASS","FAIL")</f>
        <v>FAIL</v>
      </c>
      <c r="S139" s="633" t="s">
        <v>496</v>
      </c>
      <c r="T139" s="627">
        <f t="shared" si="1"/>
        <v>-13829.5</v>
      </c>
      <c r="U139" s="627">
        <f t="shared" si="1"/>
        <v>-13264</v>
      </c>
      <c r="V139" s="627">
        <f t="shared" si="1"/>
        <v>-13298</v>
      </c>
      <c r="W139" s="627">
        <f t="shared" si="1"/>
        <v>-13302</v>
      </c>
      <c r="X139" s="627">
        <f t="shared" si="1"/>
        <v>-13343</v>
      </c>
      <c r="Y139" s="627">
        <f t="shared" si="1"/>
        <v>-13435</v>
      </c>
      <c r="Z139" s="627">
        <f t="shared" si="1"/>
        <v>-13503</v>
      </c>
      <c r="AA139" s="627">
        <f t="shared" si="1"/>
        <v>-13600</v>
      </c>
      <c r="AB139" s="627">
        <f t="shared" si="1"/>
        <v>-13697</v>
      </c>
      <c r="AC139" s="627">
        <f t="shared" si="1"/>
        <v>-14326</v>
      </c>
      <c r="AD139" s="627">
        <f t="shared" si="1"/>
        <v>-14526</v>
      </c>
      <c r="AE139" s="627">
        <f t="shared" si="1"/>
        <v>-14678</v>
      </c>
      <c r="AF139" s="627">
        <f t="shared" si="1"/>
        <v>-14982</v>
      </c>
      <c r="AG139" s="627">
        <v>0</v>
      </c>
      <c r="AH139" s="345" t="str">
        <f t="shared" ref="AH139:AH178" si="4">IF(AND(ROUNDDOWN(T139,0)=0,ROUNDDOWN(U139,0)=0,ROUNDDOWN(V139,0)=0,ROUNDDOWN(W139,0)=0,ROUNDDOWN(X139,0)=0,ROUNDDOWN(Y139,0)=0,ROUNDDOWN(Z139,0)=0,ROUNDDOWN(AA139,0)=0,ROUNDDOWN(AB139,0)=0,ROUNDDOWN(AC139,0)=0,ROUNDDOWN(AD139,0)=0,ROUNDDOWN(AE139,0)=0,ROUNDDOWN(AF139,0)=0,ROUNDDOWN(AG139,0)=0),"PASS","FAIL")</f>
        <v>FAIL</v>
      </c>
    </row>
    <row r="140" spans="1:34">
      <c r="A140" s="626" t="s">
        <v>495</v>
      </c>
      <c r="B140" s="627">
        <f t="shared" ref="B140:N140" si="5">B52-B96</f>
        <v>-38.65</v>
      </c>
      <c r="C140" s="627">
        <f t="shared" si="5"/>
        <v>-39.06</v>
      </c>
      <c r="D140" s="627">
        <f t="shared" si="5"/>
        <v>-39.04</v>
      </c>
      <c r="E140" s="627">
        <f t="shared" si="5"/>
        <v>-38.979999999999997</v>
      </c>
      <c r="F140" s="627">
        <f t="shared" si="5"/>
        <v>-38.93</v>
      </c>
      <c r="G140" s="627">
        <f t="shared" si="5"/>
        <v>-38.85</v>
      </c>
      <c r="H140" s="627">
        <f t="shared" si="5"/>
        <v>-38.799999999999997</v>
      </c>
      <c r="I140" s="627">
        <f t="shared" si="5"/>
        <v>-38.74</v>
      </c>
      <c r="J140" s="627">
        <f t="shared" si="5"/>
        <v>-38.700000000000003</v>
      </c>
      <c r="K140" s="627">
        <f t="shared" si="5"/>
        <v>-38.33</v>
      </c>
      <c r="L140" s="627">
        <f t="shared" si="5"/>
        <v>-38.26</v>
      </c>
      <c r="M140" s="627">
        <f t="shared" si="5"/>
        <v>-38.21</v>
      </c>
      <c r="N140" s="627">
        <f t="shared" si="5"/>
        <v>-38.06</v>
      </c>
      <c r="O140" s="345" t="str">
        <f t="shared" si="3"/>
        <v>FAIL</v>
      </c>
      <c r="S140" s="633" t="s">
        <v>495</v>
      </c>
      <c r="T140" s="627">
        <f t="shared" si="1"/>
        <v>-38.65</v>
      </c>
      <c r="U140" s="627">
        <f t="shared" si="1"/>
        <v>-39.06</v>
      </c>
      <c r="V140" s="627">
        <f t="shared" si="1"/>
        <v>-39.04</v>
      </c>
      <c r="W140" s="627">
        <f t="shared" si="1"/>
        <v>-38.979999999999997</v>
      </c>
      <c r="X140" s="627">
        <f t="shared" si="1"/>
        <v>-38.93</v>
      </c>
      <c r="Y140" s="627">
        <f t="shared" si="1"/>
        <v>-38.85</v>
      </c>
      <c r="Z140" s="627">
        <f t="shared" si="1"/>
        <v>-38.799999999999997</v>
      </c>
      <c r="AA140" s="627">
        <f t="shared" si="1"/>
        <v>-38.74</v>
      </c>
      <c r="AB140" s="627">
        <f t="shared" si="1"/>
        <v>-38.700000000000003</v>
      </c>
      <c r="AC140" s="627">
        <f t="shared" si="1"/>
        <v>-38.33</v>
      </c>
      <c r="AD140" s="627">
        <f t="shared" si="1"/>
        <v>-38.26</v>
      </c>
      <c r="AE140" s="627">
        <f t="shared" si="1"/>
        <v>-38.21</v>
      </c>
      <c r="AF140" s="627">
        <f t="shared" si="1"/>
        <v>-38.06</v>
      </c>
      <c r="AG140" s="627">
        <f t="shared" ref="AG140:AG160" si="6">AG8-AG60</f>
        <v>0</v>
      </c>
      <c r="AH140" s="345" t="str">
        <f t="shared" si="4"/>
        <v>FAIL</v>
      </c>
    </row>
    <row r="141" spans="1:34">
      <c r="A141" s="626" t="s">
        <v>493</v>
      </c>
      <c r="B141" s="627">
        <f t="shared" ref="B141:N141" si="7">B53-B97</f>
        <v>-1.96</v>
      </c>
      <c r="C141" s="627">
        <f t="shared" si="7"/>
        <v>-1.96</v>
      </c>
      <c r="D141" s="627">
        <f t="shared" si="7"/>
        <v>-1.96</v>
      </c>
      <c r="E141" s="627">
        <f t="shared" si="7"/>
        <v>-1.96</v>
      </c>
      <c r="F141" s="627">
        <f t="shared" si="7"/>
        <v>-1.96</v>
      </c>
      <c r="G141" s="627">
        <f t="shared" si="7"/>
        <v>-1.96</v>
      </c>
      <c r="H141" s="627">
        <f t="shared" si="7"/>
        <v>-1.96</v>
      </c>
      <c r="I141" s="627">
        <f t="shared" si="7"/>
        <v>-1.96</v>
      </c>
      <c r="J141" s="627">
        <f t="shared" si="7"/>
        <v>-1.96</v>
      </c>
      <c r="K141" s="627">
        <f t="shared" si="7"/>
        <v>-1.96</v>
      </c>
      <c r="L141" s="627">
        <f t="shared" si="7"/>
        <v>-1.96</v>
      </c>
      <c r="M141" s="627">
        <f t="shared" si="7"/>
        <v>-1.96</v>
      </c>
      <c r="N141" s="627">
        <f t="shared" si="7"/>
        <v>-1.96</v>
      </c>
      <c r="O141" s="345" t="str">
        <f t="shared" si="3"/>
        <v>FAIL</v>
      </c>
      <c r="S141" s="633" t="s">
        <v>493</v>
      </c>
      <c r="T141" s="627">
        <f t="shared" si="1"/>
        <v>-1.96</v>
      </c>
      <c r="U141" s="627">
        <f t="shared" si="1"/>
        <v>-1.96</v>
      </c>
      <c r="V141" s="627">
        <f t="shared" si="1"/>
        <v>-1.96</v>
      </c>
      <c r="W141" s="627">
        <f t="shared" si="1"/>
        <v>-1.96</v>
      </c>
      <c r="X141" s="627">
        <f t="shared" si="1"/>
        <v>-1.96</v>
      </c>
      <c r="Y141" s="627">
        <f t="shared" si="1"/>
        <v>-1.96</v>
      </c>
      <c r="Z141" s="627">
        <f t="shared" si="1"/>
        <v>-1.96</v>
      </c>
      <c r="AA141" s="627">
        <f t="shared" si="1"/>
        <v>-1.96</v>
      </c>
      <c r="AB141" s="627">
        <f t="shared" si="1"/>
        <v>-1.96</v>
      </c>
      <c r="AC141" s="627">
        <f t="shared" si="1"/>
        <v>-1.96</v>
      </c>
      <c r="AD141" s="627">
        <f t="shared" si="1"/>
        <v>-1.96</v>
      </c>
      <c r="AE141" s="627">
        <f t="shared" si="1"/>
        <v>-1.96</v>
      </c>
      <c r="AF141" s="627">
        <f t="shared" si="1"/>
        <v>-1.96</v>
      </c>
      <c r="AG141" s="627">
        <f t="shared" si="6"/>
        <v>0</v>
      </c>
      <c r="AH141" s="345" t="str">
        <f t="shared" si="4"/>
        <v>FAIL</v>
      </c>
    </row>
    <row r="142" spans="1:34">
      <c r="A142" s="626" t="s">
        <v>492</v>
      </c>
      <c r="B142" s="627">
        <f t="shared" ref="B142:N142" si="8">B54-B98</f>
        <v>-0.5585</v>
      </c>
      <c r="C142" s="627">
        <f t="shared" si="8"/>
        <v>-0.55910000000000004</v>
      </c>
      <c r="D142" s="627">
        <f t="shared" si="8"/>
        <v>-0.55889999999999995</v>
      </c>
      <c r="E142" s="627">
        <f t="shared" si="8"/>
        <v>-0.55889999999999995</v>
      </c>
      <c r="F142" s="627">
        <f t="shared" si="8"/>
        <v>-0.55889999999999995</v>
      </c>
      <c r="G142" s="627">
        <f t="shared" si="8"/>
        <v>-0.5575</v>
      </c>
      <c r="H142" s="627">
        <f t="shared" si="8"/>
        <v>-0.55720000000000003</v>
      </c>
      <c r="I142" s="627">
        <f t="shared" si="8"/>
        <v>-0.55700000000000005</v>
      </c>
      <c r="J142" s="627">
        <f t="shared" si="8"/>
        <v>-0.55730000000000002</v>
      </c>
      <c r="K142" s="627">
        <f t="shared" si="8"/>
        <v>-0.55859999999999999</v>
      </c>
      <c r="L142" s="627">
        <f t="shared" si="8"/>
        <v>-0.55930000000000002</v>
      </c>
      <c r="M142" s="627">
        <f t="shared" si="8"/>
        <v>-0.56000000000000005</v>
      </c>
      <c r="N142" s="627">
        <f t="shared" si="8"/>
        <v>-0.5595</v>
      </c>
      <c r="O142" s="345" t="str">
        <f t="shared" si="3"/>
        <v>PASS</v>
      </c>
      <c r="S142" s="633" t="s">
        <v>492</v>
      </c>
      <c r="T142" s="627">
        <f t="shared" si="1"/>
        <v>-0.5585</v>
      </c>
      <c r="U142" s="627">
        <f t="shared" si="1"/>
        <v>-0.55910000000000004</v>
      </c>
      <c r="V142" s="627">
        <f t="shared" si="1"/>
        <v>-0.55889999999999995</v>
      </c>
      <c r="W142" s="627">
        <f t="shared" si="1"/>
        <v>-0.55889999999999995</v>
      </c>
      <c r="X142" s="627">
        <f t="shared" si="1"/>
        <v>-0.55889999999999995</v>
      </c>
      <c r="Y142" s="627">
        <f t="shared" si="1"/>
        <v>-0.5575</v>
      </c>
      <c r="Z142" s="627">
        <f t="shared" si="1"/>
        <v>-0.55720000000000003</v>
      </c>
      <c r="AA142" s="627">
        <f t="shared" si="1"/>
        <v>-0.55700000000000005</v>
      </c>
      <c r="AB142" s="627">
        <f t="shared" si="1"/>
        <v>-0.55730000000000002</v>
      </c>
      <c r="AC142" s="627">
        <f t="shared" si="1"/>
        <v>-0.55859999999999999</v>
      </c>
      <c r="AD142" s="627">
        <f t="shared" si="1"/>
        <v>-0.55930000000000002</v>
      </c>
      <c r="AE142" s="627">
        <f t="shared" si="1"/>
        <v>-0.56000000000000005</v>
      </c>
      <c r="AF142" s="627">
        <f t="shared" si="1"/>
        <v>-0.5595</v>
      </c>
      <c r="AG142" s="627">
        <f t="shared" si="6"/>
        <v>0</v>
      </c>
      <c r="AH142" s="345" t="str">
        <f t="shared" si="4"/>
        <v>PASS</v>
      </c>
    </row>
    <row r="143" spans="1:34">
      <c r="A143" s="626" t="s">
        <v>491</v>
      </c>
      <c r="B143" s="627">
        <f t="shared" ref="B143:N143" si="9">B55-B99</f>
        <v>-5368.67</v>
      </c>
      <c r="C143" s="627">
        <f t="shared" si="9"/>
        <v>-5557</v>
      </c>
      <c r="D143" s="627">
        <f t="shared" si="9"/>
        <v>-5253</v>
      </c>
      <c r="E143" s="627">
        <f t="shared" si="9"/>
        <v>-5346</v>
      </c>
      <c r="F143" s="627">
        <f t="shared" si="9"/>
        <v>-5157</v>
      </c>
      <c r="G143" s="627">
        <f t="shared" si="9"/>
        <v>-5350</v>
      </c>
      <c r="H143" s="627">
        <f t="shared" si="9"/>
        <v>-5433</v>
      </c>
      <c r="I143" s="627">
        <f t="shared" si="9"/>
        <v>-5332</v>
      </c>
      <c r="J143" s="627">
        <f t="shared" si="9"/>
        <v>-5181</v>
      </c>
      <c r="K143" s="627">
        <f t="shared" si="9"/>
        <v>-5710</v>
      </c>
      <c r="L143" s="627">
        <f t="shared" si="9"/>
        <v>-4949</v>
      </c>
      <c r="M143" s="627">
        <f t="shared" si="9"/>
        <v>-5668</v>
      </c>
      <c r="N143" s="627">
        <f t="shared" si="9"/>
        <v>-5488</v>
      </c>
      <c r="O143" s="345" t="str">
        <f t="shared" si="3"/>
        <v>FAIL</v>
      </c>
      <c r="S143" s="633" t="s">
        <v>491</v>
      </c>
      <c r="T143" s="627">
        <f t="shared" si="1"/>
        <v>-5198.08</v>
      </c>
      <c r="U143" s="627">
        <f t="shared" si="1"/>
        <v>-4968</v>
      </c>
      <c r="V143" s="627">
        <f t="shared" si="1"/>
        <v>-5248</v>
      </c>
      <c r="W143" s="627">
        <f t="shared" si="1"/>
        <v>-5315</v>
      </c>
      <c r="X143" s="627">
        <f t="shared" si="1"/>
        <v>-5083</v>
      </c>
      <c r="Y143" s="627">
        <f t="shared" si="1"/>
        <v>-5066</v>
      </c>
      <c r="Z143" s="627">
        <f t="shared" si="1"/>
        <v>-5070</v>
      </c>
      <c r="AA143" s="627">
        <f t="shared" si="1"/>
        <v>-4908</v>
      </c>
      <c r="AB143" s="627">
        <f t="shared" si="1"/>
        <v>-5065</v>
      </c>
      <c r="AC143" s="627">
        <f t="shared" si="1"/>
        <v>-5833</v>
      </c>
      <c r="AD143" s="627">
        <f t="shared" si="1"/>
        <v>-5182</v>
      </c>
      <c r="AE143" s="627">
        <f t="shared" si="1"/>
        <v>-5476</v>
      </c>
      <c r="AF143" s="627">
        <f t="shared" si="1"/>
        <v>-5163</v>
      </c>
      <c r="AG143" s="627">
        <f t="shared" si="6"/>
        <v>0</v>
      </c>
      <c r="AH143" s="345" t="str">
        <f t="shared" si="4"/>
        <v>FAIL</v>
      </c>
    </row>
    <row r="144" spans="1:34">
      <c r="A144" s="626" t="s">
        <v>490</v>
      </c>
      <c r="B144" s="627">
        <f t="shared" ref="B144:N144" si="10">B56-B100</f>
        <v>-15686.2</v>
      </c>
      <c r="C144" s="627">
        <f t="shared" si="10"/>
        <v>-16689</v>
      </c>
      <c r="D144" s="627">
        <f t="shared" si="10"/>
        <v>-14835</v>
      </c>
      <c r="E144" s="627">
        <f t="shared" si="10"/>
        <v>-16032</v>
      </c>
      <c r="F144" s="627">
        <f t="shared" si="10"/>
        <v>-14623</v>
      </c>
      <c r="G144" s="627">
        <f t="shared" si="10"/>
        <v>-15596</v>
      </c>
      <c r="H144" s="627">
        <f t="shared" si="10"/>
        <v>-16282</v>
      </c>
      <c r="I144" s="627">
        <f t="shared" si="10"/>
        <v>-15620</v>
      </c>
      <c r="J144" s="627">
        <f t="shared" si="10"/>
        <v>-15475</v>
      </c>
      <c r="K144" s="627">
        <f t="shared" si="10"/>
        <v>-17648</v>
      </c>
      <c r="L144" s="627">
        <f t="shared" si="10"/>
        <v>-12951</v>
      </c>
      <c r="M144" s="627">
        <f t="shared" si="10"/>
        <v>-16845</v>
      </c>
      <c r="N144" s="627">
        <f t="shared" si="10"/>
        <v>-15638</v>
      </c>
      <c r="O144" s="345" t="str">
        <f t="shared" si="3"/>
        <v>FAIL</v>
      </c>
      <c r="S144" s="633" t="s">
        <v>516</v>
      </c>
      <c r="T144" s="627">
        <f t="shared" si="1"/>
        <v>-13286.92</v>
      </c>
      <c r="U144" s="627">
        <f t="shared" si="1"/>
        <v>-12171</v>
      </c>
      <c r="V144" s="627">
        <f t="shared" si="1"/>
        <v>-13253</v>
      </c>
      <c r="W144" s="627">
        <f t="shared" si="1"/>
        <v>-14249</v>
      </c>
      <c r="X144" s="627">
        <f t="shared" si="1"/>
        <v>-12894</v>
      </c>
      <c r="Y144" s="627">
        <f t="shared" si="1"/>
        <v>-12597</v>
      </c>
      <c r="Z144" s="627">
        <f t="shared" si="1"/>
        <v>-13653</v>
      </c>
      <c r="AA144" s="627">
        <f t="shared" si="1"/>
        <v>-12286</v>
      </c>
      <c r="AB144" s="627">
        <f t="shared" si="1"/>
        <v>-12778</v>
      </c>
      <c r="AC144" s="627">
        <f t="shared" si="1"/>
        <v>-15125</v>
      </c>
      <c r="AD144" s="627">
        <f t="shared" si="1"/>
        <v>-12810</v>
      </c>
      <c r="AE144" s="627">
        <f t="shared" si="1"/>
        <v>-14721</v>
      </c>
      <c r="AF144" s="627">
        <f t="shared" si="1"/>
        <v>-12906</v>
      </c>
      <c r="AG144" s="627">
        <f t="shared" si="6"/>
        <v>0</v>
      </c>
      <c r="AH144" s="345" t="str">
        <f t="shared" si="4"/>
        <v>FAIL</v>
      </c>
    </row>
    <row r="145" spans="1:34">
      <c r="A145" s="626" t="s">
        <v>489</v>
      </c>
      <c r="B145" s="627">
        <f t="shared" ref="B145:N145" si="11">B57-B101</f>
        <v>-3732.12</v>
      </c>
      <c r="C145" s="627">
        <f t="shared" si="11"/>
        <v>-3299.39</v>
      </c>
      <c r="D145" s="627">
        <f t="shared" si="11"/>
        <v>-3380.16</v>
      </c>
      <c r="E145" s="627">
        <f t="shared" si="11"/>
        <v>-3604.4</v>
      </c>
      <c r="F145" s="627">
        <f t="shared" si="11"/>
        <v>-3147.61</v>
      </c>
      <c r="G145" s="627">
        <f t="shared" si="11"/>
        <v>-3984.17</v>
      </c>
      <c r="H145" s="627">
        <f t="shared" si="11"/>
        <v>-3834.92</v>
      </c>
      <c r="I145" s="627">
        <f t="shared" si="11"/>
        <v>-3969.4</v>
      </c>
      <c r="J145" s="627">
        <f t="shared" si="11"/>
        <v>-3600.09</v>
      </c>
      <c r="K145" s="627">
        <f t="shared" si="11"/>
        <v>-3530.12</v>
      </c>
      <c r="L145" s="627">
        <f t="shared" si="11"/>
        <v>-4220.0200000000004</v>
      </c>
      <c r="M145" s="627">
        <f t="shared" si="11"/>
        <v>-4370.25</v>
      </c>
      <c r="N145" s="627">
        <f t="shared" si="11"/>
        <v>-3844.93</v>
      </c>
      <c r="O145" s="345" t="str">
        <f t="shared" si="3"/>
        <v>FAIL</v>
      </c>
      <c r="S145" s="633" t="s">
        <v>517</v>
      </c>
      <c r="T145" s="627">
        <f t="shared" si="1"/>
        <v>-1451.44</v>
      </c>
      <c r="U145" s="627">
        <f t="shared" si="1"/>
        <v>-1122.31</v>
      </c>
      <c r="V145" s="627">
        <f t="shared" si="1"/>
        <v>-1441.78</v>
      </c>
      <c r="W145" s="627">
        <f t="shared" si="1"/>
        <v>-1572.82</v>
      </c>
      <c r="X145" s="627">
        <f t="shared" si="1"/>
        <v>-1498.97</v>
      </c>
      <c r="Y145" s="627">
        <f t="shared" si="1"/>
        <v>-1595.09</v>
      </c>
      <c r="Z145" s="627">
        <f t="shared" si="1"/>
        <v>-1549.74</v>
      </c>
      <c r="AA145" s="627">
        <f t="shared" si="1"/>
        <v>-1382.51</v>
      </c>
      <c r="AB145" s="627">
        <f t="shared" si="1"/>
        <v>-1410.65</v>
      </c>
      <c r="AC145" s="627">
        <f t="shared" si="1"/>
        <v>-1456.2</v>
      </c>
      <c r="AD145" s="627">
        <f t="shared" si="1"/>
        <v>-1392.03</v>
      </c>
      <c r="AE145" s="627">
        <f t="shared" si="1"/>
        <v>-1591.77</v>
      </c>
      <c r="AF145" s="627">
        <f t="shared" si="1"/>
        <v>-1403.46</v>
      </c>
      <c r="AG145" s="627">
        <f t="shared" si="6"/>
        <v>0</v>
      </c>
      <c r="AH145" s="345" t="str">
        <f t="shared" si="4"/>
        <v>FAIL</v>
      </c>
    </row>
    <row r="146" spans="1:34">
      <c r="A146" s="626" t="s">
        <v>513</v>
      </c>
      <c r="B146" s="627">
        <f t="shared" ref="B146:N146" si="12">B58-B102</f>
        <v>-528.89800000000002</v>
      </c>
      <c r="C146" s="627">
        <f t="shared" si="12"/>
        <v>-487.35399999999998</v>
      </c>
      <c r="D146" s="627">
        <f t="shared" si="12"/>
        <v>-497.81400000000002</v>
      </c>
      <c r="E146" s="627">
        <f t="shared" si="12"/>
        <v>-530.68299999999999</v>
      </c>
      <c r="F146" s="627">
        <f t="shared" si="12"/>
        <v>-462.476</v>
      </c>
      <c r="G146" s="627">
        <f t="shared" si="12"/>
        <v>-580.952</v>
      </c>
      <c r="H146" s="627">
        <f t="shared" si="12"/>
        <v>-556.18799999999999</v>
      </c>
      <c r="I146" s="627">
        <f t="shared" si="12"/>
        <v>-572.125</v>
      </c>
      <c r="J146" s="627">
        <f t="shared" si="12"/>
        <v>-515.47699999999998</v>
      </c>
      <c r="K146" s="627">
        <f t="shared" si="12"/>
        <v>-483.24700000000001</v>
      </c>
      <c r="L146" s="627">
        <f t="shared" si="12"/>
        <v>-569.04300000000001</v>
      </c>
      <c r="M146" s="627">
        <f t="shared" si="12"/>
        <v>-583.322</v>
      </c>
      <c r="N146" s="627">
        <f t="shared" si="12"/>
        <v>-503.85700000000003</v>
      </c>
      <c r="O146" s="345" t="str">
        <f t="shared" si="3"/>
        <v>FAIL</v>
      </c>
      <c r="S146" s="633" t="s">
        <v>513</v>
      </c>
      <c r="T146" s="627">
        <f t="shared" si="1"/>
        <v>-205.691</v>
      </c>
      <c r="U146" s="627">
        <f t="shared" si="1"/>
        <v>-165.77699999999999</v>
      </c>
      <c r="V146" s="627">
        <f t="shared" si="1"/>
        <v>-212.339</v>
      </c>
      <c r="W146" s="627">
        <f t="shared" si="1"/>
        <v>-231.57</v>
      </c>
      <c r="X146" s="627">
        <f t="shared" si="1"/>
        <v>-220.24199999999999</v>
      </c>
      <c r="Y146" s="627">
        <f t="shared" si="1"/>
        <v>-232.58799999999999</v>
      </c>
      <c r="Z146" s="627">
        <f t="shared" si="1"/>
        <v>-224.76300000000001</v>
      </c>
      <c r="AA146" s="627">
        <f t="shared" si="1"/>
        <v>-199.26599999999999</v>
      </c>
      <c r="AB146" s="627">
        <f t="shared" si="1"/>
        <v>-201.983</v>
      </c>
      <c r="AC146" s="627">
        <f t="shared" si="1"/>
        <v>-199.34299999999999</v>
      </c>
      <c r="AD146" s="627">
        <f t="shared" si="1"/>
        <v>-187.70599999999999</v>
      </c>
      <c r="AE146" s="627">
        <f t="shared" si="1"/>
        <v>-212.46299999999999</v>
      </c>
      <c r="AF146" s="627">
        <f t="shared" si="1"/>
        <v>-183.916</v>
      </c>
      <c r="AG146" s="627">
        <f t="shared" si="6"/>
        <v>0</v>
      </c>
      <c r="AH146" s="345" t="str">
        <f t="shared" si="4"/>
        <v>FAIL</v>
      </c>
    </row>
    <row r="147" spans="1:34">
      <c r="A147" s="626" t="s">
        <v>514</v>
      </c>
      <c r="B147" s="627">
        <f t="shared" ref="B147:N147" si="13">B59-B103</f>
        <v>-269.87</v>
      </c>
      <c r="C147" s="627">
        <f t="shared" si="13"/>
        <v>-248.75</v>
      </c>
      <c r="D147" s="627">
        <f t="shared" si="13"/>
        <v>-254.19</v>
      </c>
      <c r="E147" s="627">
        <f t="shared" si="13"/>
        <v>-270.97000000000003</v>
      </c>
      <c r="F147" s="627">
        <f t="shared" si="13"/>
        <v>-235.9</v>
      </c>
      <c r="G147" s="627">
        <f t="shared" si="13"/>
        <v>-296.55</v>
      </c>
      <c r="H147" s="627">
        <f t="shared" si="13"/>
        <v>-284.01</v>
      </c>
      <c r="I147" s="627">
        <f t="shared" si="13"/>
        <v>-291.87</v>
      </c>
      <c r="J147" s="627">
        <f t="shared" si="13"/>
        <v>-262.83999999999997</v>
      </c>
      <c r="K147" s="627">
        <f t="shared" si="13"/>
        <v>-246.41</v>
      </c>
      <c r="L147" s="627">
        <f t="shared" si="13"/>
        <v>-290.51</v>
      </c>
      <c r="M147" s="627">
        <f t="shared" si="13"/>
        <v>-297.74</v>
      </c>
      <c r="N147" s="627">
        <f t="shared" si="13"/>
        <v>-256.64</v>
      </c>
      <c r="O147" s="345" t="str">
        <f t="shared" si="3"/>
        <v>FAIL</v>
      </c>
      <c r="S147" s="633" t="s">
        <v>514</v>
      </c>
      <c r="T147" s="627">
        <f t="shared" si="1"/>
        <v>-104.95</v>
      </c>
      <c r="U147" s="627">
        <f t="shared" si="1"/>
        <v>-84.61</v>
      </c>
      <c r="V147" s="627">
        <f t="shared" si="1"/>
        <v>-108.42</v>
      </c>
      <c r="W147" s="627">
        <f t="shared" si="1"/>
        <v>-118.24</v>
      </c>
      <c r="X147" s="627">
        <f t="shared" si="1"/>
        <v>-112.34</v>
      </c>
      <c r="Y147" s="627">
        <f t="shared" si="1"/>
        <v>-118.73</v>
      </c>
      <c r="Z147" s="627">
        <f t="shared" si="1"/>
        <v>-114.77</v>
      </c>
      <c r="AA147" s="627">
        <f t="shared" si="1"/>
        <v>-101.66</v>
      </c>
      <c r="AB147" s="627">
        <f t="shared" si="1"/>
        <v>-102.99</v>
      </c>
      <c r="AC147" s="627">
        <f t="shared" si="1"/>
        <v>-101.65</v>
      </c>
      <c r="AD147" s="627">
        <f t="shared" si="1"/>
        <v>-95.83</v>
      </c>
      <c r="AE147" s="627">
        <f t="shared" si="1"/>
        <v>-108.45</v>
      </c>
      <c r="AF147" s="627">
        <f t="shared" si="1"/>
        <v>-93.68</v>
      </c>
      <c r="AG147" s="627">
        <f t="shared" si="6"/>
        <v>0</v>
      </c>
      <c r="AH147" s="345" t="str">
        <f t="shared" si="4"/>
        <v>FAIL</v>
      </c>
    </row>
    <row r="148" spans="1:34">
      <c r="A148" s="626" t="s">
        <v>487</v>
      </c>
      <c r="B148" s="627">
        <f t="shared" ref="B148:N148" si="14">B60-B104</f>
        <v>-1.1299999999999999</v>
      </c>
      <c r="C148" s="627">
        <f t="shared" si="14"/>
        <v>-1.26</v>
      </c>
      <c r="D148" s="627">
        <f t="shared" si="14"/>
        <v>-1.1200000000000001</v>
      </c>
      <c r="E148" s="627">
        <f t="shared" si="14"/>
        <v>-1.21</v>
      </c>
      <c r="F148" s="627">
        <f t="shared" si="14"/>
        <v>-1.1000000000000001</v>
      </c>
      <c r="G148" s="627">
        <f t="shared" si="14"/>
        <v>-1.1599999999999999</v>
      </c>
      <c r="H148" s="627">
        <f t="shared" si="14"/>
        <v>-1.21</v>
      </c>
      <c r="I148" s="627">
        <f t="shared" si="14"/>
        <v>-1.1499999999999999</v>
      </c>
      <c r="J148" s="627">
        <f t="shared" si="14"/>
        <v>-1.1299999999999999</v>
      </c>
      <c r="K148" s="627">
        <f t="shared" si="14"/>
        <v>-1.23</v>
      </c>
      <c r="L148" s="627">
        <f t="shared" si="14"/>
        <v>-0.89</v>
      </c>
      <c r="M148" s="627">
        <f t="shared" si="14"/>
        <v>-1.1499999999999999</v>
      </c>
      <c r="N148" s="627">
        <f t="shared" si="14"/>
        <v>-1.04</v>
      </c>
      <c r="O148" s="345" t="str">
        <f t="shared" si="3"/>
        <v>FAIL</v>
      </c>
      <c r="S148" s="633" t="s">
        <v>546</v>
      </c>
      <c r="T148" s="627">
        <f t="shared" si="1"/>
        <v>-0.96</v>
      </c>
      <c r="U148" s="627">
        <f t="shared" si="1"/>
        <v>-1.1100000000000001</v>
      </c>
      <c r="V148" s="627">
        <f t="shared" si="1"/>
        <v>-0.96</v>
      </c>
      <c r="W148" s="627">
        <f t="shared" si="1"/>
        <v>-1.1399999999999999</v>
      </c>
      <c r="X148" s="627">
        <f t="shared" si="1"/>
        <v>-0.96</v>
      </c>
      <c r="Y148" s="627">
        <f t="shared" si="1"/>
        <v>-0.91</v>
      </c>
      <c r="Z148" s="627">
        <f t="shared" si="1"/>
        <v>-1.01</v>
      </c>
      <c r="AA148" s="627">
        <f t="shared" si="1"/>
        <v>-0.93</v>
      </c>
      <c r="AB148" s="627">
        <f t="shared" si="1"/>
        <v>-0.94</v>
      </c>
      <c r="AC148" s="627">
        <f t="shared" si="1"/>
        <v>-0.99</v>
      </c>
      <c r="AD148" s="627">
        <f t="shared" si="1"/>
        <v>-0.91</v>
      </c>
      <c r="AE148" s="627">
        <f t="shared" si="1"/>
        <v>-0.83</v>
      </c>
      <c r="AF148" s="627">
        <f t="shared" si="1"/>
        <v>-0.86</v>
      </c>
      <c r="AG148" s="627">
        <f t="shared" si="6"/>
        <v>0</v>
      </c>
      <c r="AH148" s="345" t="str">
        <f t="shared" si="4"/>
        <v>FAIL</v>
      </c>
    </row>
    <row r="149" spans="1:34">
      <c r="A149" s="626" t="s">
        <v>486</v>
      </c>
      <c r="B149" s="627">
        <f t="shared" ref="B149:N149" si="15">B61-B105</f>
        <v>-2.8</v>
      </c>
      <c r="C149" s="627">
        <f t="shared" si="15"/>
        <v>-2.92</v>
      </c>
      <c r="D149" s="627">
        <f t="shared" si="15"/>
        <v>-2.6</v>
      </c>
      <c r="E149" s="627">
        <f t="shared" si="15"/>
        <v>-2.96</v>
      </c>
      <c r="F149" s="627">
        <f t="shared" si="15"/>
        <v>-2.57</v>
      </c>
      <c r="G149" s="627">
        <f t="shared" si="15"/>
        <v>-2.92</v>
      </c>
      <c r="H149" s="627">
        <f t="shared" si="15"/>
        <v>-2.98</v>
      </c>
      <c r="I149" s="627">
        <f t="shared" si="15"/>
        <v>-3.01</v>
      </c>
      <c r="J149" s="627">
        <f t="shared" si="15"/>
        <v>-2.84</v>
      </c>
      <c r="K149" s="627">
        <f t="shared" si="15"/>
        <v>-3.14</v>
      </c>
      <c r="L149" s="627">
        <f t="shared" si="15"/>
        <v>-2.2799999999999998</v>
      </c>
      <c r="M149" s="627">
        <f t="shared" si="15"/>
        <v>-2.88</v>
      </c>
      <c r="N149" s="627">
        <f t="shared" si="15"/>
        <v>-2.57</v>
      </c>
      <c r="O149" s="345" t="str">
        <f t="shared" si="3"/>
        <v>FAIL</v>
      </c>
      <c r="S149" s="633" t="s">
        <v>484</v>
      </c>
      <c r="T149" s="627">
        <f t="shared" si="1"/>
        <v>-0.37590000000000001</v>
      </c>
      <c r="U149" s="627">
        <f t="shared" si="1"/>
        <v>-0.4128</v>
      </c>
      <c r="V149" s="627">
        <f t="shared" si="1"/>
        <v>-0.38969999999999999</v>
      </c>
      <c r="W149" s="627">
        <f t="shared" si="1"/>
        <v>-0.4385</v>
      </c>
      <c r="X149" s="627">
        <f t="shared" si="1"/>
        <v>-0.37959999999999999</v>
      </c>
      <c r="Y149" s="627">
        <f t="shared" si="1"/>
        <v>-0.36530000000000001</v>
      </c>
      <c r="Z149" s="627">
        <f t="shared" si="1"/>
        <v>-0.3755</v>
      </c>
      <c r="AA149" s="627">
        <f t="shared" si="1"/>
        <v>-0.3725</v>
      </c>
      <c r="AB149" s="627">
        <f t="shared" si="1"/>
        <v>-0.37109999999999999</v>
      </c>
      <c r="AC149" s="627">
        <f t="shared" si="1"/>
        <v>-0.371</v>
      </c>
      <c r="AD149" s="627">
        <f t="shared" si="1"/>
        <v>-0.36130000000000001</v>
      </c>
      <c r="AE149" s="627">
        <f t="shared" si="1"/>
        <v>-0.33850000000000002</v>
      </c>
      <c r="AF149" s="627">
        <f t="shared" si="1"/>
        <v>-0.34460000000000002</v>
      </c>
      <c r="AG149" s="627">
        <f t="shared" si="6"/>
        <v>0</v>
      </c>
      <c r="AH149" s="345" t="str">
        <f t="shared" si="4"/>
        <v>PASS</v>
      </c>
    </row>
    <row r="150" spans="1:34">
      <c r="A150" s="626" t="s">
        <v>484</v>
      </c>
      <c r="B150" s="627">
        <f t="shared" ref="B150:N150" si="16">B62-B106</f>
        <v>-0.38819999999999999</v>
      </c>
      <c r="C150" s="627">
        <f t="shared" si="16"/>
        <v>-0.41899999999999998</v>
      </c>
      <c r="D150" s="627">
        <f t="shared" si="16"/>
        <v>-0.39500000000000002</v>
      </c>
      <c r="E150" s="627">
        <f t="shared" si="16"/>
        <v>-0.40189999999999998</v>
      </c>
      <c r="F150" s="627">
        <f t="shared" si="16"/>
        <v>-0.38650000000000001</v>
      </c>
      <c r="G150" s="627">
        <f t="shared" si="16"/>
        <v>-0.3982</v>
      </c>
      <c r="H150" s="627">
        <f t="shared" si="16"/>
        <v>-0.40239999999999998</v>
      </c>
      <c r="I150" s="627">
        <f t="shared" si="16"/>
        <v>-0.3921</v>
      </c>
      <c r="J150" s="627">
        <f t="shared" si="16"/>
        <v>-0.37830000000000003</v>
      </c>
      <c r="K150" s="627">
        <f t="shared" si="16"/>
        <v>-0.39860000000000001</v>
      </c>
      <c r="L150" s="627">
        <f t="shared" si="16"/>
        <v>-0.3407</v>
      </c>
      <c r="M150" s="627">
        <f t="shared" si="16"/>
        <v>-0.38619999999999999</v>
      </c>
      <c r="N150" s="627">
        <f t="shared" si="16"/>
        <v>-0.36630000000000001</v>
      </c>
      <c r="O150" s="345" t="str">
        <f t="shared" si="3"/>
        <v>PASS</v>
      </c>
      <c r="S150" s="633" t="s">
        <v>518</v>
      </c>
      <c r="T150" s="627">
        <f t="shared" si="1"/>
        <v>-109.24</v>
      </c>
      <c r="U150" s="627">
        <f t="shared" si="1"/>
        <v>-92.21</v>
      </c>
      <c r="V150" s="627">
        <f t="shared" si="1"/>
        <v>-108.79</v>
      </c>
      <c r="W150" s="627">
        <f t="shared" si="1"/>
        <v>-110.38</v>
      </c>
      <c r="X150" s="627">
        <f t="shared" si="1"/>
        <v>-116.25</v>
      </c>
      <c r="Y150" s="627">
        <f t="shared" si="1"/>
        <v>-126.62</v>
      </c>
      <c r="Z150" s="627">
        <f t="shared" si="1"/>
        <v>-113.51</v>
      </c>
      <c r="AA150" s="627">
        <f t="shared" si="1"/>
        <v>-112.53</v>
      </c>
      <c r="AB150" s="627">
        <f t="shared" si="1"/>
        <v>-110.4</v>
      </c>
      <c r="AC150" s="627">
        <f t="shared" si="1"/>
        <v>-96.28</v>
      </c>
      <c r="AD150" s="627">
        <f t="shared" si="1"/>
        <v>-108.67</v>
      </c>
      <c r="AE150" s="627">
        <f t="shared" si="1"/>
        <v>-108.13</v>
      </c>
      <c r="AF150" s="627">
        <f t="shared" si="1"/>
        <v>-108.74</v>
      </c>
      <c r="AG150" s="627">
        <f t="shared" si="6"/>
        <v>0</v>
      </c>
      <c r="AH150" s="345" t="str">
        <f t="shared" si="4"/>
        <v>FAIL</v>
      </c>
    </row>
    <row r="151" spans="1:34">
      <c r="A151" s="626" t="s">
        <v>483</v>
      </c>
      <c r="B151" s="627">
        <f t="shared" ref="B151:N151" si="17">B63-B107</f>
        <v>-112.11</v>
      </c>
      <c r="C151" s="627">
        <f t="shared" si="17"/>
        <v>-101.44</v>
      </c>
      <c r="D151" s="627">
        <f t="shared" si="17"/>
        <v>-104.22</v>
      </c>
      <c r="E151" s="627">
        <f t="shared" si="17"/>
        <v>-139.93</v>
      </c>
      <c r="F151" s="627">
        <f t="shared" si="17"/>
        <v>-114.04</v>
      </c>
      <c r="G151" s="627">
        <f t="shared" si="17"/>
        <v>-115.91</v>
      </c>
      <c r="H151" s="627">
        <f t="shared" si="17"/>
        <v>-109.25</v>
      </c>
      <c r="I151" s="627">
        <f t="shared" si="17"/>
        <v>-103</v>
      </c>
      <c r="J151" s="627">
        <f t="shared" si="17"/>
        <v>-147.01</v>
      </c>
      <c r="K151" s="627">
        <f t="shared" si="17"/>
        <v>-114.06</v>
      </c>
      <c r="L151" s="627">
        <f t="shared" si="17"/>
        <v>-108.58</v>
      </c>
      <c r="M151" s="627">
        <f t="shared" si="17"/>
        <v>-82.34</v>
      </c>
      <c r="N151" s="627">
        <f t="shared" si="17"/>
        <v>-114.47</v>
      </c>
      <c r="O151" s="345" t="str">
        <f t="shared" si="3"/>
        <v>FAIL</v>
      </c>
      <c r="S151" s="633" t="s">
        <v>519</v>
      </c>
      <c r="T151" s="627">
        <f t="shared" si="1"/>
        <v>-2.56</v>
      </c>
      <c r="U151" s="627">
        <f t="shared" si="1"/>
        <v>-2.4500000000000002</v>
      </c>
      <c r="V151" s="627">
        <f t="shared" si="1"/>
        <v>-2.5299999999999998</v>
      </c>
      <c r="W151" s="627">
        <f t="shared" si="1"/>
        <v>-2.68</v>
      </c>
      <c r="X151" s="627">
        <f t="shared" si="1"/>
        <v>-2.54</v>
      </c>
      <c r="Y151" s="627">
        <f t="shared" si="1"/>
        <v>-2.4900000000000002</v>
      </c>
      <c r="Z151" s="627">
        <f t="shared" si="1"/>
        <v>-2.69</v>
      </c>
      <c r="AA151" s="627">
        <f t="shared" si="1"/>
        <v>-2.5</v>
      </c>
      <c r="AB151" s="627">
        <f t="shared" si="1"/>
        <v>-2.52</v>
      </c>
      <c r="AC151" s="627">
        <f t="shared" si="1"/>
        <v>-2.59</v>
      </c>
      <c r="AD151" s="627">
        <f t="shared" si="1"/>
        <v>-2.4700000000000002</v>
      </c>
      <c r="AE151" s="627">
        <f t="shared" si="1"/>
        <v>-2.69</v>
      </c>
      <c r="AF151" s="627">
        <f t="shared" si="1"/>
        <v>-2.5</v>
      </c>
      <c r="AG151" s="627">
        <f t="shared" si="6"/>
        <v>0</v>
      </c>
      <c r="AH151" s="345" t="str">
        <f t="shared" si="4"/>
        <v>FAIL</v>
      </c>
    </row>
    <row r="152" spans="1:34">
      <c r="A152" s="626" t="s">
        <v>482</v>
      </c>
      <c r="B152" s="627">
        <f t="shared" ref="B152:N152" si="18">B64-B108</f>
        <v>-1134.26</v>
      </c>
      <c r="C152" s="627">
        <f t="shared" si="18"/>
        <v>-1258.22</v>
      </c>
      <c r="D152" s="627">
        <f t="shared" si="18"/>
        <v>-1115.58</v>
      </c>
      <c r="E152" s="627">
        <f t="shared" si="18"/>
        <v>-1205.23</v>
      </c>
      <c r="F152" s="627">
        <f t="shared" si="18"/>
        <v>-1095.93</v>
      </c>
      <c r="G152" s="627">
        <f t="shared" si="18"/>
        <v>-1160.8499999999999</v>
      </c>
      <c r="H152" s="627">
        <f t="shared" si="18"/>
        <v>-1205.81</v>
      </c>
      <c r="I152" s="627">
        <f t="shared" si="18"/>
        <v>-1148.53</v>
      </c>
      <c r="J152" s="627">
        <f t="shared" si="18"/>
        <v>-1129.81</v>
      </c>
      <c r="K152" s="627">
        <f t="shared" si="18"/>
        <v>-1231.8900000000001</v>
      </c>
      <c r="L152" s="627">
        <f t="shared" si="18"/>
        <v>-891.57</v>
      </c>
      <c r="M152" s="627">
        <f t="shared" si="18"/>
        <v>-1147.6400000000001</v>
      </c>
      <c r="N152" s="627">
        <f t="shared" si="18"/>
        <v>-1043.79</v>
      </c>
      <c r="O152" s="345" t="str">
        <f t="shared" si="3"/>
        <v>FAIL</v>
      </c>
      <c r="S152" s="633" t="s">
        <v>520</v>
      </c>
      <c r="T152" s="627">
        <f t="shared" si="1"/>
        <v>-0.96</v>
      </c>
      <c r="U152" s="627">
        <f t="shared" si="1"/>
        <v>-0.92</v>
      </c>
      <c r="V152" s="627">
        <f t="shared" si="1"/>
        <v>-1</v>
      </c>
      <c r="W152" s="627">
        <f t="shared" si="1"/>
        <v>-1.07</v>
      </c>
      <c r="X152" s="627">
        <f t="shared" si="1"/>
        <v>-0.97</v>
      </c>
      <c r="Y152" s="627">
        <f t="shared" si="1"/>
        <v>-0.94</v>
      </c>
      <c r="Z152" s="627">
        <f t="shared" si="1"/>
        <v>-1.01</v>
      </c>
      <c r="AA152" s="627">
        <f t="shared" si="1"/>
        <v>-0.9</v>
      </c>
      <c r="AB152" s="627">
        <f t="shared" si="1"/>
        <v>-0.93</v>
      </c>
      <c r="AC152" s="627">
        <f t="shared" si="1"/>
        <v>-1.06</v>
      </c>
      <c r="AD152" s="627">
        <f t="shared" si="1"/>
        <v>-0.88</v>
      </c>
      <c r="AE152" s="627">
        <f t="shared" si="1"/>
        <v>-1</v>
      </c>
      <c r="AF152" s="627">
        <f t="shared" si="1"/>
        <v>-0.86</v>
      </c>
      <c r="AG152" s="627">
        <f t="shared" si="6"/>
        <v>0</v>
      </c>
      <c r="AH152" s="345" t="str">
        <f t="shared" si="4"/>
        <v>FAIL</v>
      </c>
    </row>
    <row r="153" spans="1:34">
      <c r="A153" s="626" t="s">
        <v>480</v>
      </c>
      <c r="B153" s="627">
        <f t="shared" ref="B153:N153" si="19">B65-B109</f>
        <v>-3228.75</v>
      </c>
      <c r="C153" s="627">
        <f t="shared" si="19"/>
        <v>-257.16000000000003</v>
      </c>
      <c r="D153" s="627">
        <f t="shared" si="19"/>
        <v>-242.44</v>
      </c>
      <c r="E153" s="627">
        <f t="shared" si="19"/>
        <v>-289.81</v>
      </c>
      <c r="F153" s="627">
        <f t="shared" si="19"/>
        <v>-232.86</v>
      </c>
      <c r="G153" s="627">
        <f t="shared" si="19"/>
        <v>-277.19</v>
      </c>
      <c r="H153" s="627">
        <f t="shared" si="19"/>
        <v>-302.45</v>
      </c>
      <c r="I153" s="627">
        <f t="shared" si="19"/>
        <v>-278.68</v>
      </c>
      <c r="J153" s="627">
        <f t="shared" si="19"/>
        <v>-264.88</v>
      </c>
      <c r="K153" s="627">
        <f t="shared" si="19"/>
        <v>-273.27999999999997</v>
      </c>
      <c r="L153" s="627">
        <f t="shared" si="19"/>
        <v>-247.07</v>
      </c>
      <c r="M153" s="627">
        <f t="shared" si="19"/>
        <v>-311.55</v>
      </c>
      <c r="N153" s="627">
        <f t="shared" si="19"/>
        <v>-250.43</v>
      </c>
      <c r="O153" s="345" t="str">
        <f t="shared" si="3"/>
        <v>FAIL</v>
      </c>
      <c r="S153" s="633" t="s">
        <v>521</v>
      </c>
      <c r="T153" s="627">
        <f t="shared" si="1"/>
        <v>-1451.44</v>
      </c>
      <c r="U153" s="627">
        <f t="shared" si="1"/>
        <v>-1122.31</v>
      </c>
      <c r="V153" s="627">
        <f t="shared" si="1"/>
        <v>-1441.78</v>
      </c>
      <c r="W153" s="627">
        <f t="shared" si="1"/>
        <v>-1572.82</v>
      </c>
      <c r="X153" s="627">
        <f t="shared" si="1"/>
        <v>-1498.97</v>
      </c>
      <c r="Y153" s="627">
        <f t="shared" si="1"/>
        <v>-1595.09</v>
      </c>
      <c r="Z153" s="627">
        <f t="shared" si="1"/>
        <v>-1549.74</v>
      </c>
      <c r="AA153" s="627">
        <f t="shared" si="1"/>
        <v>-1382.51</v>
      </c>
      <c r="AB153" s="627">
        <f t="shared" si="1"/>
        <v>-1410.65</v>
      </c>
      <c r="AC153" s="627">
        <f t="shared" si="1"/>
        <v>-1456.2</v>
      </c>
      <c r="AD153" s="627">
        <f t="shared" si="1"/>
        <v>-1392.03</v>
      </c>
      <c r="AE153" s="627">
        <f t="shared" si="1"/>
        <v>-1591.77</v>
      </c>
      <c r="AF153" s="627">
        <f t="shared" si="1"/>
        <v>-1403.46</v>
      </c>
      <c r="AG153" s="627">
        <f t="shared" si="6"/>
        <v>0</v>
      </c>
      <c r="AH153" s="345" t="str">
        <f t="shared" si="4"/>
        <v>FAIL</v>
      </c>
    </row>
    <row r="154" spans="1:34">
      <c r="A154" s="626" t="s">
        <v>667</v>
      </c>
      <c r="B154" s="627">
        <f t="shared" ref="B154:N154" si="20">B66-B110</f>
        <v>-577.35900000000004</v>
      </c>
      <c r="C154" s="627">
        <f t="shared" si="20"/>
        <v>-550.74900000000002</v>
      </c>
      <c r="D154" s="627">
        <f t="shared" si="20"/>
        <v>-505.48200000000003</v>
      </c>
      <c r="E154" s="627">
        <f t="shared" si="20"/>
        <v>-526.06299999999999</v>
      </c>
      <c r="F154" s="627">
        <f t="shared" si="20"/>
        <v>-640.80600000000004</v>
      </c>
      <c r="G154" s="627">
        <f t="shared" si="20"/>
        <v>-626.86599999999999</v>
      </c>
      <c r="H154" s="627">
        <f t="shared" si="20"/>
        <v>-622.53899999999999</v>
      </c>
      <c r="I154" s="627">
        <f t="shared" si="20"/>
        <v>-644.16700000000003</v>
      </c>
      <c r="J154" s="627">
        <f t="shared" si="20"/>
        <v>-543.74599999999998</v>
      </c>
      <c r="K154" s="627">
        <f t="shared" si="20"/>
        <v>-597.61</v>
      </c>
      <c r="L154" s="627">
        <f t="shared" si="20"/>
        <v>-530.69200000000001</v>
      </c>
      <c r="M154" s="627">
        <f t="shared" si="20"/>
        <v>-605.27200000000005</v>
      </c>
      <c r="N154" s="627">
        <f t="shared" si="20"/>
        <v>-534.31100000000004</v>
      </c>
      <c r="O154" s="345" t="str">
        <f t="shared" si="3"/>
        <v>FAIL</v>
      </c>
      <c r="S154" s="633" t="s">
        <v>517</v>
      </c>
      <c r="T154" s="627">
        <f t="shared" ref="T154:AF154" si="21">T66-T110</f>
        <v>-89.05</v>
      </c>
      <c r="U154" s="627">
        <f t="shared" si="21"/>
        <v>-79.38</v>
      </c>
      <c r="V154" s="627">
        <f t="shared" si="21"/>
        <v>-91.96</v>
      </c>
      <c r="W154" s="627">
        <f t="shared" si="21"/>
        <v>-90.56</v>
      </c>
      <c r="X154" s="627">
        <f t="shared" si="21"/>
        <v>-87.86</v>
      </c>
      <c r="Y154" s="627">
        <f t="shared" si="21"/>
        <v>-89.3</v>
      </c>
      <c r="Z154" s="627">
        <f t="shared" si="21"/>
        <v>-87.27</v>
      </c>
      <c r="AA154" s="627">
        <f t="shared" si="21"/>
        <v>-89.26</v>
      </c>
      <c r="AB154" s="627">
        <f t="shared" si="21"/>
        <v>-93.49</v>
      </c>
      <c r="AC154" s="627">
        <f t="shared" si="21"/>
        <v>-86.66</v>
      </c>
      <c r="AD154" s="627">
        <f t="shared" si="21"/>
        <v>-83.95</v>
      </c>
      <c r="AE154" s="627">
        <f t="shared" si="21"/>
        <v>-97.23</v>
      </c>
      <c r="AF154" s="627">
        <f t="shared" si="21"/>
        <v>-91.73</v>
      </c>
      <c r="AG154" s="627">
        <f t="shared" si="6"/>
        <v>0</v>
      </c>
      <c r="AH154" s="345" t="str">
        <f t="shared" si="4"/>
        <v>FAIL</v>
      </c>
    </row>
    <row r="155" spans="1:34">
      <c r="A155" s="626" t="s">
        <v>479</v>
      </c>
      <c r="B155" s="627">
        <f t="shared" ref="B155:N155" si="22">B67-B111</f>
        <v>-237.92</v>
      </c>
      <c r="C155" s="627">
        <f t="shared" si="22"/>
        <v>-197.7</v>
      </c>
      <c r="D155" s="627">
        <f t="shared" si="22"/>
        <v>-227.85</v>
      </c>
      <c r="E155" s="627">
        <f t="shared" si="22"/>
        <v>-224.83</v>
      </c>
      <c r="F155" s="627">
        <f t="shared" si="22"/>
        <v>-215.25</v>
      </c>
      <c r="G155" s="627">
        <f t="shared" si="22"/>
        <v>-255.46</v>
      </c>
      <c r="H155" s="627">
        <f t="shared" si="22"/>
        <v>-235.53</v>
      </c>
      <c r="I155" s="627">
        <f t="shared" si="22"/>
        <v>-254.12</v>
      </c>
      <c r="J155" s="627">
        <f t="shared" si="22"/>
        <v>-232.64</v>
      </c>
      <c r="K155" s="627">
        <f t="shared" si="22"/>
        <v>-200.03</v>
      </c>
      <c r="L155" s="627">
        <f t="shared" si="22"/>
        <v>-325.85000000000002</v>
      </c>
      <c r="M155" s="627">
        <f t="shared" si="22"/>
        <v>-259.44</v>
      </c>
      <c r="N155" s="627">
        <f t="shared" si="22"/>
        <v>-245.87</v>
      </c>
      <c r="O155" s="345" t="str">
        <f t="shared" si="3"/>
        <v>FAIL</v>
      </c>
      <c r="S155" s="633" t="s">
        <v>522</v>
      </c>
      <c r="T155" s="627">
        <f t="shared" ref="T155:AF155" si="23">T67-T111</f>
        <v>0</v>
      </c>
      <c r="U155" s="627">
        <f t="shared" si="23"/>
        <v>0</v>
      </c>
      <c r="V155" s="627">
        <f t="shared" si="23"/>
        <v>0</v>
      </c>
      <c r="W155" s="627">
        <f t="shared" si="23"/>
        <v>0</v>
      </c>
      <c r="X155" s="627">
        <f t="shared" si="23"/>
        <v>0</v>
      </c>
      <c r="Y155" s="627">
        <f t="shared" si="23"/>
        <v>0</v>
      </c>
      <c r="Z155" s="627">
        <f t="shared" si="23"/>
        <v>0</v>
      </c>
      <c r="AA155" s="627">
        <f t="shared" si="23"/>
        <v>0</v>
      </c>
      <c r="AB155" s="627">
        <f t="shared" si="23"/>
        <v>0</v>
      </c>
      <c r="AC155" s="627">
        <f t="shared" si="23"/>
        <v>0</v>
      </c>
      <c r="AD155" s="627">
        <f t="shared" si="23"/>
        <v>0</v>
      </c>
      <c r="AE155" s="627">
        <f t="shared" si="23"/>
        <v>0</v>
      </c>
      <c r="AF155" s="627">
        <f t="shared" si="23"/>
        <v>0</v>
      </c>
      <c r="AG155" s="627">
        <f t="shared" si="6"/>
        <v>0</v>
      </c>
      <c r="AH155" s="345" t="str">
        <f t="shared" si="4"/>
        <v>PASS</v>
      </c>
    </row>
    <row r="156" spans="1:34">
      <c r="A156" s="626" t="s">
        <v>478</v>
      </c>
      <c r="B156" s="627">
        <f t="shared" ref="B156:N156" si="24">B68-B112</f>
        <v>-695.17</v>
      </c>
      <c r="C156" s="627">
        <f t="shared" si="24"/>
        <v>-593.74</v>
      </c>
      <c r="D156" s="627">
        <f t="shared" si="24"/>
        <v>-643.47</v>
      </c>
      <c r="E156" s="627">
        <f t="shared" si="24"/>
        <v>-674.22</v>
      </c>
      <c r="F156" s="627">
        <f t="shared" si="24"/>
        <v>-610.36</v>
      </c>
      <c r="G156" s="627">
        <f t="shared" si="24"/>
        <v>-744.7</v>
      </c>
      <c r="H156" s="627">
        <f t="shared" si="24"/>
        <v>-705.86</v>
      </c>
      <c r="I156" s="627">
        <f t="shared" si="24"/>
        <v>-744.45</v>
      </c>
      <c r="J156" s="627">
        <f t="shared" si="24"/>
        <v>-694.86</v>
      </c>
      <c r="K156" s="627">
        <f t="shared" si="24"/>
        <v>-618.23</v>
      </c>
      <c r="L156" s="627">
        <f t="shared" si="24"/>
        <v>-852.7</v>
      </c>
      <c r="M156" s="627">
        <f t="shared" si="24"/>
        <v>-771.04</v>
      </c>
      <c r="N156" s="627">
        <f t="shared" si="24"/>
        <v>-700.61</v>
      </c>
      <c r="O156" s="345" t="str">
        <f t="shared" si="3"/>
        <v>FAIL</v>
      </c>
      <c r="S156" s="633" t="s">
        <v>523</v>
      </c>
      <c r="T156" s="627">
        <f t="shared" ref="T156:AF156" si="25">T68-T112</f>
        <v>0</v>
      </c>
      <c r="U156" s="627">
        <f t="shared" si="25"/>
        <v>0</v>
      </c>
      <c r="V156" s="627">
        <f t="shared" si="25"/>
        <v>0</v>
      </c>
      <c r="W156" s="627">
        <f t="shared" si="25"/>
        <v>0</v>
      </c>
      <c r="X156" s="627">
        <f t="shared" si="25"/>
        <v>0</v>
      </c>
      <c r="Y156" s="627">
        <f t="shared" si="25"/>
        <v>0</v>
      </c>
      <c r="Z156" s="627">
        <f t="shared" si="25"/>
        <v>0</v>
      </c>
      <c r="AA156" s="627">
        <f t="shared" si="25"/>
        <v>0</v>
      </c>
      <c r="AB156" s="627">
        <f t="shared" si="25"/>
        <v>0</v>
      </c>
      <c r="AC156" s="627">
        <f t="shared" si="25"/>
        <v>0</v>
      </c>
      <c r="AD156" s="627">
        <f t="shared" si="25"/>
        <v>0</v>
      </c>
      <c r="AE156" s="627">
        <f t="shared" si="25"/>
        <v>0</v>
      </c>
      <c r="AF156" s="627">
        <f t="shared" si="25"/>
        <v>0</v>
      </c>
      <c r="AG156" s="627">
        <f t="shared" si="6"/>
        <v>0</v>
      </c>
      <c r="AH156" s="345" t="str">
        <f t="shared" si="4"/>
        <v>PASS</v>
      </c>
    </row>
    <row r="157" spans="1:34">
      <c r="A157" s="626" t="s">
        <v>477</v>
      </c>
      <c r="B157" s="627">
        <f t="shared" ref="B157:N157" si="26">B69-B113</f>
        <v>-7.22</v>
      </c>
      <c r="C157" s="627">
        <f t="shared" si="26"/>
        <v>-6.96</v>
      </c>
      <c r="D157" s="627">
        <f t="shared" si="26"/>
        <v>-6.57</v>
      </c>
      <c r="E157" s="627">
        <f t="shared" si="26"/>
        <v>-7.36</v>
      </c>
      <c r="F157" s="627">
        <f t="shared" si="26"/>
        <v>-6.66</v>
      </c>
      <c r="G157" s="627">
        <f t="shared" si="26"/>
        <v>-7.33</v>
      </c>
      <c r="H157" s="627">
        <f t="shared" si="26"/>
        <v>-7.41</v>
      </c>
      <c r="I157" s="627">
        <f t="shared" si="26"/>
        <v>-7.69</v>
      </c>
      <c r="J157" s="627">
        <f t="shared" si="26"/>
        <v>-7.51</v>
      </c>
      <c r="K157" s="627">
        <f t="shared" si="26"/>
        <v>-7.88</v>
      </c>
      <c r="L157" s="627">
        <f t="shared" si="26"/>
        <v>-6.68</v>
      </c>
      <c r="M157" s="627">
        <f t="shared" si="26"/>
        <v>-7.45</v>
      </c>
      <c r="N157" s="627">
        <f t="shared" si="26"/>
        <v>-7.01</v>
      </c>
      <c r="O157" s="345" t="str">
        <f t="shared" si="3"/>
        <v>FAIL</v>
      </c>
      <c r="S157" s="633" t="s">
        <v>524</v>
      </c>
      <c r="T157" s="627">
        <f t="shared" ref="T157:AF157" si="27">T69-T113</f>
        <v>-1540.49</v>
      </c>
      <c r="U157" s="627">
        <f t="shared" si="27"/>
        <v>-1201.69</v>
      </c>
      <c r="V157" s="627">
        <f t="shared" si="27"/>
        <v>-1533.74</v>
      </c>
      <c r="W157" s="627">
        <f t="shared" si="27"/>
        <v>-1663.38</v>
      </c>
      <c r="X157" s="627">
        <f t="shared" si="27"/>
        <v>-1586.83</v>
      </c>
      <c r="Y157" s="627">
        <f t="shared" si="27"/>
        <v>-1684.39</v>
      </c>
      <c r="Z157" s="627">
        <f t="shared" si="27"/>
        <v>-1637.01</v>
      </c>
      <c r="AA157" s="627">
        <f t="shared" si="27"/>
        <v>-1471.77</v>
      </c>
      <c r="AB157" s="627">
        <f t="shared" si="27"/>
        <v>-1504.14</v>
      </c>
      <c r="AC157" s="627">
        <f t="shared" si="27"/>
        <v>-1542.86</v>
      </c>
      <c r="AD157" s="627">
        <f t="shared" si="27"/>
        <v>-1475.98</v>
      </c>
      <c r="AE157" s="627">
        <f t="shared" si="27"/>
        <v>-1689</v>
      </c>
      <c r="AF157" s="627">
        <f t="shared" si="27"/>
        <v>-1495.19</v>
      </c>
      <c r="AG157" s="627">
        <f t="shared" si="6"/>
        <v>0</v>
      </c>
      <c r="AH157" s="345" t="str">
        <f t="shared" si="4"/>
        <v>FAIL</v>
      </c>
    </row>
    <row r="158" spans="1:34">
      <c r="A158" s="626" t="s">
        <v>476</v>
      </c>
      <c r="B158" s="627">
        <f t="shared" ref="B158:N158" si="28">B70-B114</f>
        <v>-0.99719999999999998</v>
      </c>
      <c r="C158" s="627">
        <f t="shared" si="28"/>
        <v>-0.94330000000000003</v>
      </c>
      <c r="D158" s="627">
        <f t="shared" si="28"/>
        <v>-1.0042</v>
      </c>
      <c r="E158" s="627">
        <f t="shared" si="28"/>
        <v>-1.0410999999999999</v>
      </c>
      <c r="F158" s="627">
        <f t="shared" si="28"/>
        <v>-1.0109999999999999</v>
      </c>
      <c r="G158" s="627">
        <f t="shared" si="28"/>
        <v>-0.99299999999999999</v>
      </c>
      <c r="H158" s="627">
        <f t="shared" si="28"/>
        <v>-0.99629999999999996</v>
      </c>
      <c r="I158" s="627">
        <f t="shared" si="28"/>
        <v>-0.99570000000000003</v>
      </c>
      <c r="J158" s="627">
        <f t="shared" si="28"/>
        <v>-0.99650000000000005</v>
      </c>
      <c r="K158" s="627">
        <f t="shared" si="28"/>
        <v>-0.99460000000000004</v>
      </c>
      <c r="L158" s="627">
        <f t="shared" si="28"/>
        <v>-0.99539999999999995</v>
      </c>
      <c r="M158" s="627">
        <f t="shared" si="28"/>
        <v>-0.99450000000000005</v>
      </c>
      <c r="N158" s="627">
        <f t="shared" si="28"/>
        <v>-0.99550000000000005</v>
      </c>
      <c r="O158" s="345" t="str">
        <f t="shared" si="3"/>
        <v>FAIL</v>
      </c>
      <c r="S158" s="633" t="s">
        <v>525</v>
      </c>
      <c r="T158" s="627">
        <v>0</v>
      </c>
      <c r="U158" s="627">
        <f t="shared" ref="U158:AF158" si="29">U70-U114</f>
        <v>-6.6100000000000006E-2</v>
      </c>
      <c r="V158" s="627">
        <f t="shared" si="29"/>
        <v>-0.06</v>
      </c>
      <c r="W158" s="627">
        <f t="shared" si="29"/>
        <v>-5.4399999999999997E-2</v>
      </c>
      <c r="X158" s="627">
        <f t="shared" si="29"/>
        <v>-5.8599999999999999E-2</v>
      </c>
      <c r="Y158" s="627">
        <f t="shared" si="29"/>
        <v>-5.2999999999999999E-2</v>
      </c>
      <c r="Z158" s="627">
        <f t="shared" si="29"/>
        <v>-5.33E-2</v>
      </c>
      <c r="AA158" s="627">
        <f t="shared" si="29"/>
        <v>-6.0600000000000001E-2</v>
      </c>
      <c r="AB158" s="627">
        <f t="shared" si="29"/>
        <v>-6.2199999999999998E-2</v>
      </c>
      <c r="AC158" s="627">
        <f t="shared" si="29"/>
        <v>-5.62E-2</v>
      </c>
      <c r="AD158" s="627">
        <f t="shared" si="29"/>
        <v>-5.6899999999999999E-2</v>
      </c>
      <c r="AE158" s="627">
        <f t="shared" si="29"/>
        <v>-0.06</v>
      </c>
      <c r="AF158" s="627">
        <f t="shared" si="29"/>
        <v>-6.1400000000000003E-2</v>
      </c>
      <c r="AG158" s="627">
        <f t="shared" si="6"/>
        <v>0</v>
      </c>
      <c r="AH158" s="345" t="str">
        <f t="shared" si="4"/>
        <v>PASS</v>
      </c>
    </row>
    <row r="159" spans="1:34">
      <c r="A159" s="626" t="s">
        <v>474</v>
      </c>
      <c r="B159" s="627">
        <f t="shared" ref="B159:N159" si="30">B71-B115</f>
        <v>-0.93440000000000001</v>
      </c>
      <c r="C159" s="627">
        <f t="shared" si="30"/>
        <v>-0.95399999999999996</v>
      </c>
      <c r="D159" s="627">
        <f t="shared" si="30"/>
        <v>-0.96379999999999999</v>
      </c>
      <c r="E159" s="627">
        <f t="shared" si="30"/>
        <v>-0.95209999999999995</v>
      </c>
      <c r="F159" s="627">
        <f t="shared" si="30"/>
        <v>-0.9496</v>
      </c>
      <c r="G159" s="627">
        <f t="shared" si="30"/>
        <v>-0.93020000000000003</v>
      </c>
      <c r="H159" s="627">
        <f t="shared" si="30"/>
        <v>-0.93369999999999997</v>
      </c>
      <c r="I159" s="627">
        <f t="shared" si="30"/>
        <v>-0.91459999999999997</v>
      </c>
      <c r="J159" s="627">
        <f t="shared" si="30"/>
        <v>-0.91930000000000001</v>
      </c>
      <c r="K159" s="627">
        <f t="shared" si="30"/>
        <v>-0.9103</v>
      </c>
      <c r="L159" s="627">
        <f t="shared" si="30"/>
        <v>-0.94640000000000002</v>
      </c>
      <c r="M159" s="627">
        <f t="shared" si="30"/>
        <v>-0.92849999999999999</v>
      </c>
      <c r="N159" s="627">
        <f t="shared" si="30"/>
        <v>-0.92059999999999997</v>
      </c>
      <c r="O159" s="345" t="str">
        <f t="shared" si="3"/>
        <v>PASS</v>
      </c>
      <c r="S159" s="633" t="s">
        <v>526</v>
      </c>
      <c r="T159" s="627">
        <f>T71-T115</f>
        <v>-0.94220000000000004</v>
      </c>
      <c r="U159" s="627">
        <f t="shared" ref="U159:AF159" si="31">U71-U115</f>
        <v>-0.93389999999999995</v>
      </c>
      <c r="V159" s="627">
        <f t="shared" si="31"/>
        <v>-0.94</v>
      </c>
      <c r="W159" s="627">
        <f t="shared" si="31"/>
        <v>-0.9456</v>
      </c>
      <c r="X159" s="627">
        <f t="shared" si="31"/>
        <v>-0.9446</v>
      </c>
      <c r="Y159" s="627">
        <f t="shared" si="31"/>
        <v>-0.94699999999999995</v>
      </c>
      <c r="Z159" s="627">
        <f t="shared" si="31"/>
        <v>-0.94669999999999999</v>
      </c>
      <c r="AA159" s="627">
        <f t="shared" si="31"/>
        <v>-0.93940000000000001</v>
      </c>
      <c r="AB159" s="627">
        <f t="shared" si="31"/>
        <v>-0.93779999999999997</v>
      </c>
      <c r="AC159" s="627">
        <f t="shared" si="31"/>
        <v>-0.94379999999999997</v>
      </c>
      <c r="AD159" s="627">
        <f t="shared" si="31"/>
        <v>-0.94310000000000005</v>
      </c>
      <c r="AE159" s="627">
        <f t="shared" si="31"/>
        <v>-0.94240000000000002</v>
      </c>
      <c r="AF159" s="627">
        <f t="shared" si="31"/>
        <v>-0.93859999999999999</v>
      </c>
      <c r="AG159" s="627">
        <f t="shared" si="6"/>
        <v>0</v>
      </c>
      <c r="AH159" s="345" t="str">
        <f t="shared" si="4"/>
        <v>PASS</v>
      </c>
    </row>
    <row r="160" spans="1:34">
      <c r="A160" s="626" t="s">
        <v>472</v>
      </c>
      <c r="B160" s="627">
        <f t="shared" ref="B160:N161" si="32">B72-B116</f>
        <v>-0.96860000000000002</v>
      </c>
      <c r="C160" s="627">
        <f t="shared" si="32"/>
        <v>-0.94869999999999999</v>
      </c>
      <c r="D160" s="627">
        <f t="shared" si="32"/>
        <v>-0.98480000000000001</v>
      </c>
      <c r="E160" s="627">
        <f t="shared" si="32"/>
        <v>-1.0022</v>
      </c>
      <c r="F160" s="627">
        <f t="shared" si="32"/>
        <v>-0.98170000000000002</v>
      </c>
      <c r="G160" s="627">
        <f t="shared" si="32"/>
        <v>-0.96430000000000005</v>
      </c>
      <c r="H160" s="627">
        <f t="shared" si="32"/>
        <v>-0.96719999999999995</v>
      </c>
      <c r="I160" s="627">
        <f t="shared" si="32"/>
        <v>-0.95909999999999995</v>
      </c>
      <c r="J160" s="627">
        <f t="shared" si="32"/>
        <v>-0.95909999999999995</v>
      </c>
      <c r="K160" s="627">
        <f t="shared" si="32"/>
        <v>-0.95340000000000003</v>
      </c>
      <c r="L160" s="627">
        <f t="shared" si="32"/>
        <v>-0.97819999999999996</v>
      </c>
      <c r="M160" s="627">
        <f t="shared" si="32"/>
        <v>-0.9657</v>
      </c>
      <c r="N160" s="627">
        <f>N72-N116</f>
        <v>-0.96079999999999999</v>
      </c>
      <c r="O160" s="345" t="str">
        <f t="shared" si="3"/>
        <v>FAIL</v>
      </c>
      <c r="S160" s="633" t="s">
        <v>527</v>
      </c>
      <c r="T160" s="627">
        <f>T72-T116</f>
        <v>-0.75819999999999999</v>
      </c>
      <c r="U160" s="627">
        <f t="shared" ref="U160:AF160" si="33">U72-U116</f>
        <v>-0.78349999999999997</v>
      </c>
      <c r="V160" s="627">
        <f t="shared" si="33"/>
        <v>-0.75160000000000005</v>
      </c>
      <c r="W160" s="627">
        <f t="shared" si="33"/>
        <v>-0.76880000000000004</v>
      </c>
      <c r="X160" s="627">
        <f t="shared" si="33"/>
        <v>-0.74619999999999997</v>
      </c>
      <c r="Y160" s="627">
        <f t="shared" si="33"/>
        <v>-0.73719999999999997</v>
      </c>
      <c r="Z160" s="627">
        <f t="shared" si="33"/>
        <v>-0.76490000000000002</v>
      </c>
      <c r="AA160" s="627">
        <f t="shared" si="33"/>
        <v>-0.73950000000000005</v>
      </c>
      <c r="AB160" s="627">
        <f t="shared" si="33"/>
        <v>-0.73819999999999997</v>
      </c>
      <c r="AC160" s="627">
        <f t="shared" si="33"/>
        <v>-0.79169999999999996</v>
      </c>
      <c r="AD160" s="627">
        <f t="shared" si="33"/>
        <v>-0.76519999999999999</v>
      </c>
      <c r="AE160" s="627">
        <f t="shared" si="33"/>
        <v>-0.75949999999999995</v>
      </c>
      <c r="AF160" s="627">
        <f t="shared" si="33"/>
        <v>-0.74450000000000005</v>
      </c>
      <c r="AG160" s="627">
        <f t="shared" si="6"/>
        <v>0</v>
      </c>
      <c r="AH160" s="345" t="str">
        <f t="shared" si="4"/>
        <v>PASS</v>
      </c>
    </row>
    <row r="161" spans="1:34">
      <c r="A161" s="626" t="s">
        <v>594</v>
      </c>
      <c r="B161" s="627">
        <f t="shared" si="32"/>
        <v>0</v>
      </c>
      <c r="C161" s="627">
        <f t="shared" si="32"/>
        <v>0</v>
      </c>
      <c r="D161" s="627">
        <f t="shared" si="32"/>
        <v>0</v>
      </c>
      <c r="E161" s="627">
        <f t="shared" si="32"/>
        <v>0</v>
      </c>
      <c r="F161" s="627">
        <f t="shared" si="32"/>
        <v>0</v>
      </c>
      <c r="G161" s="627">
        <f t="shared" si="32"/>
        <v>0</v>
      </c>
      <c r="H161" s="627">
        <f t="shared" si="32"/>
        <v>0</v>
      </c>
      <c r="I161" s="627">
        <f t="shared" si="32"/>
        <v>0</v>
      </c>
      <c r="J161" s="627">
        <f t="shared" si="32"/>
        <v>0</v>
      </c>
      <c r="K161" s="627">
        <f t="shared" si="32"/>
        <v>0</v>
      </c>
      <c r="L161" s="627">
        <f t="shared" si="32"/>
        <v>0</v>
      </c>
      <c r="M161" s="627">
        <f t="shared" si="32"/>
        <v>0</v>
      </c>
      <c r="N161" s="627">
        <f t="shared" si="32"/>
        <v>0</v>
      </c>
      <c r="O161" s="345" t="str">
        <f t="shared" ref="O161" si="34">IF(AND(ROUNDDOWN(B161,0)=0,ROUNDDOWN(C161,0)=0,ROUNDDOWN(D161,0)=0,ROUNDDOWN(E161,0)=0,ROUNDDOWN(F161,0)=0,ROUNDDOWN(G161,0)=0,ROUNDDOWN(H161,0)=0,ROUNDDOWN(I161,0)=0,ROUNDDOWN(J161,0)=0,ROUNDDOWN(K161,0)=0,ROUNDDOWN(L161,0)=0,ROUNDDOWN(M161,0)=0,ROUNDDOWN(N161,0)=0),"PASS","FAIL")</f>
        <v>PASS</v>
      </c>
      <c r="S161" s="633" t="s">
        <v>528</v>
      </c>
      <c r="T161" s="627">
        <f t="shared" ref="T161:AF169" si="35">T73-T117</f>
        <v>-0.12970000000000001</v>
      </c>
      <c r="U161" s="627">
        <f t="shared" si="35"/>
        <v>-0.112</v>
      </c>
      <c r="V161" s="627">
        <f t="shared" si="35"/>
        <v>-0.1305</v>
      </c>
      <c r="W161" s="627">
        <f t="shared" si="35"/>
        <v>-0.12230000000000001</v>
      </c>
      <c r="X161" s="627">
        <f t="shared" si="35"/>
        <v>-0.13769999999999999</v>
      </c>
      <c r="Y161" s="627">
        <f t="shared" si="35"/>
        <v>-0.14299999999999999</v>
      </c>
      <c r="Z161" s="627">
        <f t="shared" si="35"/>
        <v>-0.127</v>
      </c>
      <c r="AA161" s="627">
        <f t="shared" si="35"/>
        <v>-0.1396</v>
      </c>
      <c r="AB161" s="627">
        <f t="shared" si="35"/>
        <v>-0.14199999999999999</v>
      </c>
      <c r="AC161" s="627">
        <f t="shared" si="35"/>
        <v>-0.112</v>
      </c>
      <c r="AD161" s="627">
        <f t="shared" si="35"/>
        <v>-0.1263</v>
      </c>
      <c r="AE161" s="627">
        <f t="shared" si="35"/>
        <v>-0.12659999999999999</v>
      </c>
      <c r="AF161" s="627">
        <f t="shared" si="35"/>
        <v>-0.14199999999999999</v>
      </c>
      <c r="AG161" s="627">
        <f t="shared" ref="AG161:AG178" si="36">AG29-AG81</f>
        <v>0</v>
      </c>
      <c r="AH161" s="345" t="str">
        <f t="shared" si="4"/>
        <v>PASS</v>
      </c>
    </row>
    <row r="162" spans="1:34">
      <c r="S162" s="633" t="s">
        <v>529</v>
      </c>
      <c r="T162" s="627">
        <f t="shared" si="35"/>
        <v>-7.0000000000000001E-3</v>
      </c>
      <c r="U162" s="627">
        <f t="shared" si="35"/>
        <v>-3.8999999999999998E-3</v>
      </c>
      <c r="V162" s="627">
        <f t="shared" si="35"/>
        <v>-7.4999999999999997E-3</v>
      </c>
      <c r="W162" s="627">
        <f t="shared" si="35"/>
        <v>-6.1999999999999998E-3</v>
      </c>
      <c r="X162" s="627">
        <f t="shared" si="35"/>
        <v>-7.1000000000000004E-3</v>
      </c>
      <c r="Y162" s="627">
        <f t="shared" si="35"/>
        <v>-8.5000000000000006E-3</v>
      </c>
      <c r="Z162" s="627">
        <f t="shared" si="35"/>
        <v>-7.4000000000000003E-3</v>
      </c>
      <c r="AA162" s="627">
        <f t="shared" si="35"/>
        <v>-8.0000000000000002E-3</v>
      </c>
      <c r="AB162" s="627">
        <f t="shared" si="35"/>
        <v>-7.7000000000000002E-3</v>
      </c>
      <c r="AC162" s="627">
        <f t="shared" si="35"/>
        <v>-6.1000000000000004E-3</v>
      </c>
      <c r="AD162" s="627">
        <f t="shared" si="35"/>
        <v>-5.8999999999999999E-3</v>
      </c>
      <c r="AE162" s="627">
        <f t="shared" si="35"/>
        <v>-7.7000000000000002E-3</v>
      </c>
      <c r="AF162" s="627">
        <f t="shared" si="35"/>
        <v>-7.7000000000000002E-3</v>
      </c>
      <c r="AG162" s="627">
        <f t="shared" si="36"/>
        <v>0</v>
      </c>
      <c r="AH162" s="345" t="str">
        <f t="shared" si="4"/>
        <v>PASS</v>
      </c>
    </row>
    <row r="163" spans="1:34">
      <c r="S163" s="633" t="s">
        <v>530</v>
      </c>
      <c r="T163" s="627">
        <f t="shared" si="35"/>
        <v>-3.8999999999999998E-3</v>
      </c>
      <c r="U163" s="627">
        <f t="shared" si="35"/>
        <v>-2.2000000000000001E-3</v>
      </c>
      <c r="V163" s="627">
        <f t="shared" si="35"/>
        <v>-4.1000000000000003E-3</v>
      </c>
      <c r="W163" s="627">
        <f t="shared" si="35"/>
        <v>-4.1999999999999997E-3</v>
      </c>
      <c r="X163" s="627">
        <f t="shared" si="35"/>
        <v>-4.5999999999999999E-3</v>
      </c>
      <c r="Y163" s="627">
        <f t="shared" si="35"/>
        <v>-3.7000000000000002E-3</v>
      </c>
      <c r="Z163" s="627">
        <f t="shared" si="35"/>
        <v>-4.0000000000000001E-3</v>
      </c>
      <c r="AA163" s="627">
        <f t="shared" si="35"/>
        <v>-4.5999999999999999E-3</v>
      </c>
      <c r="AB163" s="627">
        <f t="shared" si="35"/>
        <v>-4.7999999999999996E-3</v>
      </c>
      <c r="AC163" s="627">
        <f t="shared" si="35"/>
        <v>-3.8E-3</v>
      </c>
      <c r="AD163" s="627">
        <f t="shared" si="35"/>
        <v>-3.7000000000000002E-3</v>
      </c>
      <c r="AE163" s="627">
        <f t="shared" si="35"/>
        <v>-4.4000000000000003E-3</v>
      </c>
      <c r="AF163" s="627">
        <f t="shared" si="35"/>
        <v>-3.0000000000000001E-3</v>
      </c>
      <c r="AG163" s="627">
        <f t="shared" si="36"/>
        <v>0</v>
      </c>
      <c r="AH163" s="345" t="str">
        <f t="shared" si="4"/>
        <v>PASS</v>
      </c>
    </row>
    <row r="164" spans="1:34">
      <c r="S164" s="633" t="s">
        <v>531</v>
      </c>
      <c r="T164" s="627">
        <f t="shared" si="35"/>
        <v>-4.58E-2</v>
      </c>
      <c r="U164" s="627">
        <f t="shared" si="35"/>
        <v>-4.4299999999999999E-2</v>
      </c>
      <c r="V164" s="627">
        <f t="shared" si="35"/>
        <v>-4.8399999999999999E-2</v>
      </c>
      <c r="W164" s="627">
        <f t="shared" si="35"/>
        <v>-4.5199999999999997E-2</v>
      </c>
      <c r="X164" s="627">
        <f t="shared" si="35"/>
        <v>-4.65E-2</v>
      </c>
      <c r="Y164" s="627">
        <f t="shared" si="35"/>
        <v>-4.7100000000000003E-2</v>
      </c>
      <c r="Z164" s="627">
        <f t="shared" si="35"/>
        <v>-4.3799999999999999E-2</v>
      </c>
      <c r="AA164" s="627">
        <f t="shared" si="35"/>
        <v>-4.7399999999999998E-2</v>
      </c>
      <c r="AB164" s="627">
        <f t="shared" si="35"/>
        <v>-4.5999999999999999E-2</v>
      </c>
      <c r="AC164" s="627">
        <f t="shared" si="35"/>
        <v>-3.9100000000000003E-2</v>
      </c>
      <c r="AD164" s="627">
        <f t="shared" si="35"/>
        <v>-4.4600000000000001E-2</v>
      </c>
      <c r="AE164" s="627">
        <f t="shared" si="35"/>
        <v>-4.9000000000000002E-2</v>
      </c>
      <c r="AF164" s="627">
        <f t="shared" si="35"/>
        <v>-4.87E-2</v>
      </c>
      <c r="AG164" s="627">
        <f t="shared" si="36"/>
        <v>0</v>
      </c>
      <c r="AH164" s="345" t="str">
        <f t="shared" si="4"/>
        <v>PASS</v>
      </c>
    </row>
    <row r="165" spans="1:34">
      <c r="S165" s="633" t="s">
        <v>532</v>
      </c>
      <c r="T165" s="627">
        <f t="shared" si="35"/>
        <v>-3.5999999999999999E-3</v>
      </c>
      <c r="U165" s="627">
        <f t="shared" si="35"/>
        <v>-1.8E-3</v>
      </c>
      <c r="V165" s="627">
        <f t="shared" si="35"/>
        <v>-3.8E-3</v>
      </c>
      <c r="W165" s="627">
        <f t="shared" si="35"/>
        <v>-3.3999999999999998E-3</v>
      </c>
      <c r="X165" s="627">
        <f t="shared" si="35"/>
        <v>-3.8999999999999998E-3</v>
      </c>
      <c r="Y165" s="627">
        <f t="shared" si="35"/>
        <v>-3.5999999999999999E-3</v>
      </c>
      <c r="Z165" s="627">
        <f t="shared" si="35"/>
        <v>-3.7000000000000002E-3</v>
      </c>
      <c r="AA165" s="627">
        <f t="shared" si="35"/>
        <v>-3.8E-3</v>
      </c>
      <c r="AB165" s="627">
        <f t="shared" si="35"/>
        <v>-4.1000000000000003E-3</v>
      </c>
      <c r="AC165" s="627">
        <f t="shared" si="35"/>
        <v>-3.5999999999999999E-3</v>
      </c>
      <c r="AD165" s="627">
        <f t="shared" si="35"/>
        <v>-3.7000000000000002E-3</v>
      </c>
      <c r="AE165" s="627">
        <f t="shared" si="35"/>
        <v>-4.4999999999999997E-3</v>
      </c>
      <c r="AF165" s="627">
        <f t="shared" si="35"/>
        <v>-3.2000000000000002E-3</v>
      </c>
      <c r="AG165" s="627">
        <f t="shared" si="36"/>
        <v>0</v>
      </c>
      <c r="AH165" s="345" t="str">
        <f t="shared" si="4"/>
        <v>PASS</v>
      </c>
    </row>
    <row r="166" spans="1:34">
      <c r="S166" s="633" t="s">
        <v>533</v>
      </c>
      <c r="T166" s="627">
        <f t="shared" si="35"/>
        <v>-5.1799999999999999E-2</v>
      </c>
      <c r="U166" s="627">
        <f t="shared" si="35"/>
        <v>-5.2299999999999999E-2</v>
      </c>
      <c r="V166" s="627">
        <f t="shared" si="35"/>
        <v>-5.4100000000000002E-2</v>
      </c>
      <c r="W166" s="627">
        <f t="shared" si="35"/>
        <v>-4.9799999999999997E-2</v>
      </c>
      <c r="X166" s="627">
        <f t="shared" si="35"/>
        <v>-5.4100000000000002E-2</v>
      </c>
      <c r="Y166" s="627">
        <f t="shared" si="35"/>
        <v>-5.7099999999999998E-2</v>
      </c>
      <c r="Z166" s="627">
        <f t="shared" si="35"/>
        <v>-4.9200000000000001E-2</v>
      </c>
      <c r="AA166" s="627">
        <f t="shared" si="35"/>
        <v>-5.7200000000000001E-2</v>
      </c>
      <c r="AB166" s="627">
        <f t="shared" si="35"/>
        <v>-5.7200000000000001E-2</v>
      </c>
      <c r="AC166" s="627">
        <f t="shared" si="35"/>
        <v>-4.36E-2</v>
      </c>
      <c r="AD166" s="627">
        <f t="shared" si="35"/>
        <v>-5.0599999999999999E-2</v>
      </c>
      <c r="AE166" s="627">
        <f t="shared" si="35"/>
        <v>-4.8300000000000003E-2</v>
      </c>
      <c r="AF166" s="627">
        <f t="shared" si="35"/>
        <v>-5.0900000000000001E-2</v>
      </c>
      <c r="AG166" s="627">
        <f t="shared" si="36"/>
        <v>0</v>
      </c>
      <c r="AH166" s="345" t="str">
        <f t="shared" si="4"/>
        <v>PASS</v>
      </c>
    </row>
    <row r="167" spans="1:34">
      <c r="S167" s="633" t="s">
        <v>534</v>
      </c>
      <c r="T167" s="627">
        <f t="shared" si="35"/>
        <v>-0.21460000000000001</v>
      </c>
      <c r="U167" s="627">
        <f t="shared" si="35"/>
        <v>-0.27189999999999998</v>
      </c>
      <c r="V167" s="627">
        <f t="shared" si="35"/>
        <v>-0.20250000000000001</v>
      </c>
      <c r="W167" s="627">
        <f t="shared" si="35"/>
        <v>-0.19739999999999999</v>
      </c>
      <c r="X167" s="627">
        <f t="shared" si="35"/>
        <v>-0.19270000000000001</v>
      </c>
      <c r="Y167" s="627">
        <f t="shared" si="35"/>
        <v>-0.19839999999999999</v>
      </c>
      <c r="Z167" s="627">
        <f t="shared" si="35"/>
        <v>-0.1986</v>
      </c>
      <c r="AA167" s="627">
        <f t="shared" si="35"/>
        <v>-0.21709999999999999</v>
      </c>
      <c r="AB167" s="627">
        <f t="shared" si="35"/>
        <v>-0.21429999999999999</v>
      </c>
      <c r="AC167" s="627">
        <f t="shared" si="35"/>
        <v>-0.21920000000000001</v>
      </c>
      <c r="AD167" s="627">
        <f t="shared" si="35"/>
        <v>-0.22009999999999999</v>
      </c>
      <c r="AE167" s="627">
        <f t="shared" si="35"/>
        <v>-0.22589999999999999</v>
      </c>
      <c r="AF167" s="627">
        <f t="shared" si="35"/>
        <v>-0.23280000000000001</v>
      </c>
      <c r="AG167" s="627">
        <f t="shared" si="36"/>
        <v>0</v>
      </c>
      <c r="AH167" s="345" t="str">
        <f t="shared" si="4"/>
        <v>PASS</v>
      </c>
    </row>
    <row r="168" spans="1:34">
      <c r="S168" s="633" t="s">
        <v>535</v>
      </c>
      <c r="T168" s="627">
        <f t="shared" si="35"/>
        <v>-0.78539999999999999</v>
      </c>
      <c r="U168" s="627">
        <f t="shared" si="35"/>
        <v>-0.72809999999999997</v>
      </c>
      <c r="V168" s="627">
        <f t="shared" si="35"/>
        <v>-0.79749999999999999</v>
      </c>
      <c r="W168" s="627">
        <f t="shared" si="35"/>
        <v>-0.80259999999999998</v>
      </c>
      <c r="X168" s="627">
        <f t="shared" si="35"/>
        <v>-0.80730000000000002</v>
      </c>
      <c r="Y168" s="627">
        <f t="shared" si="35"/>
        <v>-0.80159999999999998</v>
      </c>
      <c r="Z168" s="627">
        <f t="shared" si="35"/>
        <v>-0.8014</v>
      </c>
      <c r="AA168" s="627">
        <f t="shared" si="35"/>
        <v>-0.78290000000000004</v>
      </c>
      <c r="AB168" s="627">
        <f t="shared" si="35"/>
        <v>-0.78569999999999995</v>
      </c>
      <c r="AC168" s="627">
        <f t="shared" si="35"/>
        <v>-0.78080000000000005</v>
      </c>
      <c r="AD168" s="627">
        <f t="shared" si="35"/>
        <v>-0.77990000000000004</v>
      </c>
      <c r="AE168" s="627">
        <f t="shared" si="35"/>
        <v>-0.77410000000000001</v>
      </c>
      <c r="AF168" s="627">
        <f t="shared" si="35"/>
        <v>-0.76719999999999999</v>
      </c>
      <c r="AG168" s="627">
        <f t="shared" si="36"/>
        <v>0</v>
      </c>
      <c r="AH168" s="345" t="str">
        <f t="shared" si="4"/>
        <v>PASS</v>
      </c>
    </row>
    <row r="169" spans="1:34">
      <c r="S169" s="633" t="s">
        <v>536</v>
      </c>
      <c r="T169" s="627">
        <f t="shared" si="35"/>
        <v>-0.71970000000000001</v>
      </c>
      <c r="U169" s="627">
        <f t="shared" si="35"/>
        <v>-0.72430000000000005</v>
      </c>
      <c r="V169" s="627">
        <f t="shared" si="35"/>
        <v>-0.73040000000000005</v>
      </c>
      <c r="W169" s="627">
        <f t="shared" si="35"/>
        <v>-0.72350000000000003</v>
      </c>
      <c r="X169" s="627">
        <f t="shared" si="35"/>
        <v>-0.73299999999999998</v>
      </c>
      <c r="Y169" s="627">
        <f t="shared" si="35"/>
        <v>-0.73540000000000005</v>
      </c>
      <c r="Z169" s="627">
        <f t="shared" si="35"/>
        <v>-0.72260000000000002</v>
      </c>
      <c r="AA169" s="627">
        <f t="shared" si="35"/>
        <v>-0.72060000000000002</v>
      </c>
      <c r="AB169" s="627">
        <f t="shared" si="35"/>
        <v>-0.7157</v>
      </c>
      <c r="AC169" s="627">
        <f t="shared" si="35"/>
        <v>-0.6583</v>
      </c>
      <c r="AD169" s="627">
        <f t="shared" si="35"/>
        <v>-0.71399999999999997</v>
      </c>
      <c r="AE169" s="627">
        <f t="shared" si="35"/>
        <v>-0.7288</v>
      </c>
      <c r="AF169" s="627">
        <f t="shared" si="35"/>
        <v>-0.65069999999999995</v>
      </c>
      <c r="AG169" s="627">
        <f t="shared" si="36"/>
        <v>0</v>
      </c>
      <c r="AH169" s="345" t="str">
        <f t="shared" si="4"/>
        <v>PASS</v>
      </c>
    </row>
    <row r="170" spans="1:34">
      <c r="S170" s="633" t="s">
        <v>537</v>
      </c>
      <c r="T170" s="627">
        <f t="shared" ref="T170:AF178" si="37">T82-T126</f>
        <v>-0.28029999999999999</v>
      </c>
      <c r="U170" s="627">
        <f t="shared" si="37"/>
        <v>-0.2757</v>
      </c>
      <c r="V170" s="627">
        <f t="shared" si="37"/>
        <v>-0.26960000000000001</v>
      </c>
      <c r="W170" s="627">
        <f t="shared" si="37"/>
        <v>-0.27650000000000002</v>
      </c>
      <c r="X170" s="627">
        <f t="shared" si="37"/>
        <v>-0.26700000000000002</v>
      </c>
      <c r="Y170" s="627">
        <f t="shared" si="37"/>
        <v>-0.2646</v>
      </c>
      <c r="Z170" s="627">
        <f t="shared" si="37"/>
        <v>-0.27739999999999998</v>
      </c>
      <c r="AA170" s="627">
        <f t="shared" si="37"/>
        <v>-0.27939999999999998</v>
      </c>
      <c r="AB170" s="627">
        <f t="shared" si="37"/>
        <v>-0.2843</v>
      </c>
      <c r="AC170" s="627">
        <f t="shared" si="37"/>
        <v>-0.3417</v>
      </c>
      <c r="AD170" s="627">
        <f t="shared" si="37"/>
        <v>-0.28599999999999998</v>
      </c>
      <c r="AE170" s="627">
        <f t="shared" si="37"/>
        <v>-0.2712</v>
      </c>
      <c r="AF170" s="627">
        <f t="shared" si="37"/>
        <v>-0.26119999999999999</v>
      </c>
      <c r="AG170" s="627">
        <f t="shared" si="36"/>
        <v>0</v>
      </c>
      <c r="AH170" s="345" t="str">
        <f t="shared" si="4"/>
        <v>PASS</v>
      </c>
    </row>
    <row r="171" spans="1:34">
      <c r="S171" s="633" t="s">
        <v>538</v>
      </c>
      <c r="T171" s="627">
        <f t="shared" si="37"/>
        <v>-0.99470000000000003</v>
      </c>
      <c r="U171" s="627">
        <f t="shared" si="37"/>
        <v>-0.99419999999999997</v>
      </c>
      <c r="V171" s="627">
        <f t="shared" si="37"/>
        <v>-0.99439999999999995</v>
      </c>
      <c r="W171" s="627">
        <f t="shared" si="37"/>
        <v>-0.99490000000000001</v>
      </c>
      <c r="X171" s="627">
        <f t="shared" si="37"/>
        <v>-0.995</v>
      </c>
      <c r="Y171" s="627">
        <f t="shared" si="37"/>
        <v>-0.99570000000000003</v>
      </c>
      <c r="Z171" s="627">
        <f t="shared" si="37"/>
        <v>-0.99509999999999998</v>
      </c>
      <c r="AA171" s="627">
        <f t="shared" si="37"/>
        <v>-0.99490000000000001</v>
      </c>
      <c r="AB171" s="627">
        <f t="shared" si="37"/>
        <v>-0.99490000000000001</v>
      </c>
      <c r="AC171" s="627">
        <f t="shared" si="37"/>
        <v>-0.99339999999999995</v>
      </c>
      <c r="AD171" s="627">
        <f t="shared" si="37"/>
        <v>-0.99480000000000002</v>
      </c>
      <c r="AE171" s="627">
        <f t="shared" si="37"/>
        <v>-0.99460000000000004</v>
      </c>
      <c r="AF171" s="627">
        <f t="shared" si="37"/>
        <v>-0.99460000000000004</v>
      </c>
      <c r="AG171" s="627">
        <f t="shared" si="36"/>
        <v>0</v>
      </c>
      <c r="AH171" s="345" t="str">
        <f t="shared" si="4"/>
        <v>PASS</v>
      </c>
    </row>
    <row r="172" spans="1:34">
      <c r="S172" s="633" t="s">
        <v>539</v>
      </c>
      <c r="T172" s="627">
        <f t="shared" si="37"/>
        <v>-5.3E-3</v>
      </c>
      <c r="U172" s="627">
        <f t="shared" si="37"/>
        <v>-5.7999999999999996E-3</v>
      </c>
      <c r="V172" s="627">
        <f t="shared" si="37"/>
        <v>-5.5999999999999999E-3</v>
      </c>
      <c r="W172" s="627">
        <f t="shared" si="37"/>
        <v>-5.1000000000000004E-3</v>
      </c>
      <c r="X172" s="627">
        <f t="shared" si="37"/>
        <v>-5.0000000000000001E-3</v>
      </c>
      <c r="Y172" s="627">
        <f t="shared" si="37"/>
        <v>-4.3E-3</v>
      </c>
      <c r="Z172" s="627">
        <f t="shared" si="37"/>
        <v>-4.8999999999999998E-3</v>
      </c>
      <c r="AA172" s="627">
        <f t="shared" si="37"/>
        <v>-5.1000000000000004E-3</v>
      </c>
      <c r="AB172" s="627">
        <f t="shared" si="37"/>
        <v>-5.1000000000000004E-3</v>
      </c>
      <c r="AC172" s="627">
        <f t="shared" si="37"/>
        <v>-6.6E-3</v>
      </c>
      <c r="AD172" s="627">
        <f t="shared" si="37"/>
        <v>-5.1999999999999998E-3</v>
      </c>
      <c r="AE172" s="627">
        <f t="shared" si="37"/>
        <v>-5.4000000000000003E-3</v>
      </c>
      <c r="AF172" s="627">
        <f t="shared" si="37"/>
        <v>-5.4000000000000003E-3</v>
      </c>
      <c r="AG172" s="627">
        <f t="shared" si="36"/>
        <v>0</v>
      </c>
      <c r="AH172" s="345" t="str">
        <f t="shared" si="4"/>
        <v>PASS</v>
      </c>
    </row>
    <row r="173" spans="1:34">
      <c r="S173" s="633" t="s">
        <v>540</v>
      </c>
      <c r="T173" s="627">
        <f t="shared" si="37"/>
        <v>-6.9999999999999999E-4</v>
      </c>
      <c r="U173" s="627">
        <f t="shared" si="37"/>
        <v>0</v>
      </c>
      <c r="V173" s="627">
        <f t="shared" si="37"/>
        <v>-5.0000000000000001E-4</v>
      </c>
      <c r="W173" s="627">
        <f t="shared" si="37"/>
        <v>-8.0000000000000004E-4</v>
      </c>
      <c r="X173" s="627">
        <f t="shared" si="37"/>
        <v>-5.0000000000000001E-4</v>
      </c>
      <c r="Y173" s="627">
        <f t="shared" si="37"/>
        <v>-4.0000000000000002E-4</v>
      </c>
      <c r="Z173" s="627">
        <f t="shared" si="37"/>
        <v>-4.0000000000000002E-4</v>
      </c>
      <c r="AA173" s="627">
        <f t="shared" si="37"/>
        <v>-4.0000000000000002E-4</v>
      </c>
      <c r="AB173" s="627">
        <f t="shared" si="37"/>
        <v>-3.5999999999999999E-3</v>
      </c>
      <c r="AC173" s="627">
        <f t="shared" si="37"/>
        <v>0</v>
      </c>
      <c r="AD173" s="627">
        <f t="shared" si="37"/>
        <v>0</v>
      </c>
      <c r="AE173" s="627">
        <f t="shared" si="37"/>
        <v>-5.0000000000000001E-4</v>
      </c>
      <c r="AF173" s="627">
        <f t="shared" si="37"/>
        <v>-1.1000000000000001E-3</v>
      </c>
      <c r="AG173" s="627">
        <f t="shared" si="36"/>
        <v>0</v>
      </c>
      <c r="AH173" s="345" t="str">
        <f t="shared" si="4"/>
        <v>PASS</v>
      </c>
    </row>
    <row r="174" spans="1:34">
      <c r="S174" s="633" t="s">
        <v>541</v>
      </c>
      <c r="T174" s="627">
        <f t="shared" si="37"/>
        <v>0</v>
      </c>
      <c r="U174" s="627">
        <f t="shared" si="37"/>
        <v>-2.0000000000000001E-4</v>
      </c>
      <c r="V174" s="627">
        <f t="shared" si="37"/>
        <v>0</v>
      </c>
      <c r="W174" s="627">
        <f t="shared" si="37"/>
        <v>0</v>
      </c>
      <c r="X174" s="627">
        <f t="shared" si="37"/>
        <v>0</v>
      </c>
      <c r="Y174" s="627">
        <f t="shared" si="37"/>
        <v>0</v>
      </c>
      <c r="Z174" s="627">
        <f t="shared" si="37"/>
        <v>0</v>
      </c>
      <c r="AA174" s="627">
        <f t="shared" si="37"/>
        <v>0</v>
      </c>
      <c r="AB174" s="627">
        <f t="shared" si="37"/>
        <v>0</v>
      </c>
      <c r="AC174" s="627">
        <f t="shared" si="37"/>
        <v>0</v>
      </c>
      <c r="AD174" s="627">
        <f t="shared" si="37"/>
        <v>0</v>
      </c>
      <c r="AE174" s="627">
        <f t="shared" si="37"/>
        <v>0</v>
      </c>
      <c r="AF174" s="627">
        <f t="shared" si="37"/>
        <v>0</v>
      </c>
      <c r="AG174" s="627">
        <f t="shared" si="36"/>
        <v>0</v>
      </c>
      <c r="AH174" s="345" t="str">
        <f t="shared" si="4"/>
        <v>PASS</v>
      </c>
    </row>
    <row r="175" spans="1:34">
      <c r="S175" s="633" t="s">
        <v>542</v>
      </c>
      <c r="T175" s="627">
        <f t="shared" si="37"/>
        <v>0</v>
      </c>
      <c r="U175" s="627">
        <f t="shared" si="37"/>
        <v>0</v>
      </c>
      <c r="V175" s="627">
        <f t="shared" si="37"/>
        <v>0</v>
      </c>
      <c r="W175" s="627">
        <f t="shared" si="37"/>
        <v>0</v>
      </c>
      <c r="X175" s="627">
        <f t="shared" si="37"/>
        <v>0</v>
      </c>
      <c r="Y175" s="627">
        <f t="shared" si="37"/>
        <v>0</v>
      </c>
      <c r="Z175" s="627">
        <f t="shared" si="37"/>
        <v>0</v>
      </c>
      <c r="AA175" s="627">
        <f t="shared" si="37"/>
        <v>0</v>
      </c>
      <c r="AB175" s="627">
        <f t="shared" si="37"/>
        <v>0</v>
      </c>
      <c r="AC175" s="627">
        <f t="shared" si="37"/>
        <v>0</v>
      </c>
      <c r="AD175" s="627">
        <f t="shared" si="37"/>
        <v>0</v>
      </c>
      <c r="AE175" s="627">
        <f t="shared" si="37"/>
        <v>0</v>
      </c>
      <c r="AF175" s="627">
        <f t="shared" si="37"/>
        <v>0</v>
      </c>
      <c r="AG175" s="627">
        <f t="shared" si="36"/>
        <v>0</v>
      </c>
      <c r="AH175" s="345" t="str">
        <f t="shared" si="4"/>
        <v>PASS</v>
      </c>
    </row>
    <row r="176" spans="1:34">
      <c r="S176" s="633" t="s">
        <v>543</v>
      </c>
      <c r="T176" s="627">
        <f t="shared" si="37"/>
        <v>0</v>
      </c>
      <c r="U176" s="627">
        <f t="shared" si="37"/>
        <v>0</v>
      </c>
      <c r="V176" s="627">
        <f t="shared" si="37"/>
        <v>0</v>
      </c>
      <c r="W176" s="627">
        <f t="shared" si="37"/>
        <v>0</v>
      </c>
      <c r="X176" s="627">
        <f t="shared" si="37"/>
        <v>0</v>
      </c>
      <c r="Y176" s="627">
        <f t="shared" si="37"/>
        <v>0</v>
      </c>
      <c r="Z176" s="627">
        <f t="shared" si="37"/>
        <v>0</v>
      </c>
      <c r="AA176" s="627">
        <f t="shared" si="37"/>
        <v>0</v>
      </c>
      <c r="AB176" s="627">
        <f t="shared" si="37"/>
        <v>0</v>
      </c>
      <c r="AC176" s="627">
        <f t="shared" si="37"/>
        <v>0</v>
      </c>
      <c r="AD176" s="627">
        <f t="shared" si="37"/>
        <v>0</v>
      </c>
      <c r="AE176" s="627">
        <f t="shared" si="37"/>
        <v>0</v>
      </c>
      <c r="AF176" s="627">
        <f t="shared" si="37"/>
        <v>0</v>
      </c>
      <c r="AG176" s="627">
        <f t="shared" si="36"/>
        <v>0</v>
      </c>
      <c r="AH176" s="345" t="str">
        <f t="shared" si="4"/>
        <v>PASS</v>
      </c>
    </row>
    <row r="177" spans="19:34">
      <c r="S177" s="633" t="s">
        <v>544</v>
      </c>
      <c r="T177" s="627">
        <f t="shared" si="37"/>
        <v>0</v>
      </c>
      <c r="U177" s="627">
        <f t="shared" si="37"/>
        <v>0</v>
      </c>
      <c r="V177" s="627">
        <f t="shared" si="37"/>
        <v>0</v>
      </c>
      <c r="W177" s="627">
        <f t="shared" si="37"/>
        <v>0</v>
      </c>
      <c r="X177" s="627">
        <f t="shared" si="37"/>
        <v>0</v>
      </c>
      <c r="Y177" s="627">
        <f t="shared" si="37"/>
        <v>0</v>
      </c>
      <c r="Z177" s="627">
        <f t="shared" si="37"/>
        <v>0</v>
      </c>
      <c r="AA177" s="627">
        <f t="shared" si="37"/>
        <v>0</v>
      </c>
      <c r="AB177" s="627">
        <f t="shared" si="37"/>
        <v>0</v>
      </c>
      <c r="AC177" s="627">
        <f t="shared" si="37"/>
        <v>0</v>
      </c>
      <c r="AD177" s="627">
        <f t="shared" si="37"/>
        <v>0</v>
      </c>
      <c r="AE177" s="627">
        <f t="shared" si="37"/>
        <v>0</v>
      </c>
      <c r="AF177" s="627">
        <f t="shared" si="37"/>
        <v>0</v>
      </c>
      <c r="AG177" s="627">
        <f t="shared" si="36"/>
        <v>0</v>
      </c>
      <c r="AH177" s="345" t="str">
        <f t="shared" si="4"/>
        <v>PASS</v>
      </c>
    </row>
    <row r="178" spans="19:34">
      <c r="S178" s="633" t="s">
        <v>545</v>
      </c>
      <c r="T178" s="627">
        <f t="shared" si="37"/>
        <v>0</v>
      </c>
      <c r="U178" s="627">
        <f t="shared" si="37"/>
        <v>0</v>
      </c>
      <c r="V178" s="627">
        <f t="shared" si="37"/>
        <v>0</v>
      </c>
      <c r="W178" s="627">
        <f t="shared" si="37"/>
        <v>0</v>
      </c>
      <c r="X178" s="627">
        <f t="shared" si="37"/>
        <v>0</v>
      </c>
      <c r="Y178" s="627">
        <f t="shared" si="37"/>
        <v>0</v>
      </c>
      <c r="Z178" s="627">
        <f t="shared" si="37"/>
        <v>0</v>
      </c>
      <c r="AA178" s="627">
        <f t="shared" si="37"/>
        <v>0</v>
      </c>
      <c r="AB178" s="627">
        <f t="shared" si="37"/>
        <v>0</v>
      </c>
      <c r="AC178" s="627">
        <f t="shared" si="37"/>
        <v>0</v>
      </c>
      <c r="AD178" s="627">
        <f t="shared" si="37"/>
        <v>0</v>
      </c>
      <c r="AE178" s="627">
        <f t="shared" si="37"/>
        <v>0</v>
      </c>
      <c r="AF178" s="627">
        <f t="shared" si="37"/>
        <v>0</v>
      </c>
      <c r="AG178" s="627">
        <f t="shared" si="36"/>
        <v>0</v>
      </c>
      <c r="AH178" s="345" t="str">
        <f t="shared" si="4"/>
        <v>PASS</v>
      </c>
    </row>
  </sheetData>
  <mergeCells count="10">
    <mergeCell ref="A92:N92"/>
    <mergeCell ref="S92:AF92"/>
    <mergeCell ref="S48:AF48"/>
    <mergeCell ref="S4:AF4"/>
    <mergeCell ref="S136:AH136"/>
    <mergeCell ref="A1:B1"/>
    <mergeCell ref="S2:AF2"/>
    <mergeCell ref="A2:N2"/>
    <mergeCell ref="A4:N4"/>
    <mergeCell ref="A48:N48"/>
  </mergeCells>
  <conditionalFormatting sqref="AH138:AH178 O138:O161">
    <cfRule type="containsText" dxfId="417" priority="5" operator="containsText" text="FAIL">
      <formula>NOT(ISERROR(SEARCH("FAIL",O138)))</formula>
    </cfRule>
    <cfRule type="containsText" dxfId="416" priority="6" operator="containsText" text="PASS">
      <formula>NOT(ISERROR(SEARCH("PASS",O138)))</formula>
    </cfRule>
  </conditionalFormatting>
  <conditionalFormatting sqref="O161">
    <cfRule type="containsText" dxfId="415" priority="1" operator="containsText" text="FAIL">
      <formula>NOT(ISERROR(SEARCH("FAIL",O161)))</formula>
    </cfRule>
    <cfRule type="containsText" dxfId="414" priority="2" operator="containsText" text="PASS">
      <formula>NOT(ISERROR(SEARCH("PASS",O161)))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9"/>
  <sheetViews>
    <sheetView showGridLines="0" topLeftCell="A4" zoomScale="85" zoomScaleNormal="85" workbookViewId="0">
      <selection activeCell="E26" sqref="E26"/>
    </sheetView>
  </sheetViews>
  <sheetFormatPr defaultRowHeight="15"/>
  <cols>
    <col min="1" max="1" width="31.7109375" bestFit="1" customWidth="1"/>
    <col min="2" max="2" width="18.5703125" customWidth="1"/>
    <col min="3" max="4" width="16.140625" bestFit="1" customWidth="1"/>
    <col min="5" max="5" width="14.7109375" bestFit="1" customWidth="1"/>
    <col min="6" max="6" width="18.140625" bestFit="1" customWidth="1"/>
    <col min="7" max="8" width="16.140625" bestFit="1" customWidth="1"/>
    <col min="9" max="9" width="14.7109375" bestFit="1" customWidth="1"/>
  </cols>
  <sheetData>
    <row r="1" spans="1:9">
      <c r="A1" s="721" t="s">
        <v>385</v>
      </c>
      <c r="B1" s="721"/>
    </row>
    <row r="2" spans="1:9">
      <c r="A2" s="762" t="s">
        <v>362</v>
      </c>
      <c r="B2" s="762"/>
      <c r="C2" s="762"/>
      <c r="D2" s="762"/>
      <c r="E2" s="762"/>
      <c r="F2" s="762"/>
      <c r="G2" s="762"/>
      <c r="H2" s="762"/>
      <c r="I2" s="762"/>
    </row>
    <row r="3" spans="1:9">
      <c r="A3" s="772" t="s">
        <v>367</v>
      </c>
      <c r="B3" s="769" t="s">
        <v>23</v>
      </c>
      <c r="C3" s="770"/>
      <c r="D3" s="770"/>
      <c r="E3" s="771"/>
      <c r="F3" s="769" t="s">
        <v>22</v>
      </c>
      <c r="G3" s="770"/>
      <c r="H3" s="770"/>
      <c r="I3" s="771"/>
    </row>
    <row r="4" spans="1:9">
      <c r="A4" s="773"/>
      <c r="B4" s="341" t="s">
        <v>368</v>
      </c>
      <c r="C4" s="341" t="s">
        <v>369</v>
      </c>
      <c r="D4" s="341" t="s">
        <v>370</v>
      </c>
      <c r="E4" s="341" t="s">
        <v>371</v>
      </c>
      <c r="F4" s="341" t="s">
        <v>368</v>
      </c>
      <c r="G4" s="341" t="s">
        <v>369</v>
      </c>
      <c r="H4" s="341" t="s">
        <v>370</v>
      </c>
      <c r="I4" s="341" t="s">
        <v>371</v>
      </c>
    </row>
    <row r="5" spans="1:9">
      <c r="A5" s="371"/>
      <c r="B5" s="373"/>
      <c r="C5" s="371"/>
      <c r="D5" s="373"/>
      <c r="E5" s="371"/>
      <c r="F5" s="373"/>
      <c r="G5" s="371"/>
      <c r="H5" s="373"/>
      <c r="I5" s="371"/>
    </row>
    <row r="6" spans="1:9">
      <c r="A6" s="371"/>
      <c r="B6" s="373"/>
      <c r="C6" s="371"/>
      <c r="D6" s="373"/>
      <c r="E6" s="371"/>
      <c r="F6" s="373"/>
      <c r="G6" s="371"/>
      <c r="H6" s="373"/>
      <c r="I6" s="371"/>
    </row>
    <row r="7" spans="1:9">
      <c r="A7" s="371"/>
      <c r="B7" s="373"/>
      <c r="C7" s="371"/>
      <c r="D7" s="373"/>
      <c r="E7" s="371"/>
      <c r="F7" s="373"/>
      <c r="G7" s="371"/>
      <c r="H7" s="373"/>
      <c r="I7" s="371"/>
    </row>
    <row r="8" spans="1:9">
      <c r="A8" s="371"/>
      <c r="B8" s="373"/>
      <c r="C8" s="371"/>
      <c r="D8" s="373"/>
      <c r="E8" s="371"/>
      <c r="F8" s="373"/>
      <c r="G8" s="371"/>
      <c r="H8" s="373"/>
      <c r="I8" s="371"/>
    </row>
    <row r="9" spans="1:9">
      <c r="A9" s="371"/>
      <c r="B9" s="373"/>
      <c r="C9" s="371"/>
      <c r="D9" s="373"/>
      <c r="E9" s="371"/>
      <c r="F9" s="373"/>
      <c r="G9" s="371"/>
      <c r="H9" s="373"/>
      <c r="I9" s="371"/>
    </row>
    <row r="10" spans="1:9">
      <c r="A10" s="371"/>
      <c r="B10" s="373"/>
      <c r="C10" s="371"/>
      <c r="D10" s="373"/>
      <c r="E10" s="371"/>
      <c r="F10" s="373"/>
      <c r="G10" s="371"/>
      <c r="H10" s="373"/>
      <c r="I10" s="371"/>
    </row>
    <row r="11" spans="1:9">
      <c r="A11" s="371"/>
      <c r="B11" s="373"/>
      <c r="C11" s="371"/>
      <c r="D11" s="373"/>
      <c r="E11" s="371"/>
      <c r="F11" s="373"/>
      <c r="G11" s="371"/>
      <c r="H11" s="373"/>
      <c r="I11" s="371"/>
    </row>
    <row r="12" spans="1:9">
      <c r="A12" s="371"/>
      <c r="B12" s="373"/>
      <c r="C12" s="371"/>
      <c r="D12" s="373"/>
      <c r="E12" s="371"/>
      <c r="F12" s="373"/>
      <c r="G12" s="371"/>
      <c r="H12" s="373"/>
      <c r="I12" s="371"/>
    </row>
    <row r="13" spans="1:9">
      <c r="A13" s="371"/>
      <c r="B13" s="371"/>
      <c r="C13" s="371"/>
      <c r="D13" s="371"/>
      <c r="E13" s="371"/>
      <c r="F13" s="371"/>
      <c r="G13" s="371"/>
      <c r="H13" s="371"/>
      <c r="I13" s="371"/>
    </row>
    <row r="15" spans="1:9">
      <c r="A15" s="762" t="s">
        <v>366</v>
      </c>
      <c r="B15" s="762"/>
      <c r="C15" s="762"/>
      <c r="D15" s="762"/>
      <c r="E15" s="762"/>
      <c r="F15" s="762"/>
      <c r="G15" s="762"/>
      <c r="H15" s="762"/>
      <c r="I15" s="762"/>
    </row>
    <row r="16" spans="1:9">
      <c r="A16" s="772" t="s">
        <v>367</v>
      </c>
      <c r="B16" s="769" t="s">
        <v>23</v>
      </c>
      <c r="C16" s="770"/>
      <c r="D16" s="770"/>
      <c r="E16" s="770"/>
      <c r="F16" s="770" t="s">
        <v>22</v>
      </c>
      <c r="G16" s="770"/>
      <c r="H16" s="770"/>
      <c r="I16" s="771"/>
    </row>
    <row r="17" spans="1:9">
      <c r="A17" s="773"/>
      <c r="B17" s="341" t="s">
        <v>368</v>
      </c>
      <c r="C17" s="341" t="s">
        <v>369</v>
      </c>
      <c r="D17" s="341" t="s">
        <v>370</v>
      </c>
      <c r="E17" s="341" t="s">
        <v>371</v>
      </c>
      <c r="F17" s="341" t="s">
        <v>368</v>
      </c>
      <c r="G17" s="341" t="s">
        <v>369</v>
      </c>
      <c r="H17" s="341" t="s">
        <v>370</v>
      </c>
      <c r="I17" s="341" t="s">
        <v>371</v>
      </c>
    </row>
    <row r="18" spans="1:9">
      <c r="A18" s="371"/>
      <c r="B18" s="373"/>
      <c r="C18" s="371"/>
      <c r="D18" s="373"/>
      <c r="E18" s="371"/>
      <c r="F18" s="373"/>
      <c r="G18" s="371"/>
      <c r="H18" s="373"/>
      <c r="I18" s="371"/>
    </row>
    <row r="19" spans="1:9">
      <c r="A19" s="371"/>
      <c r="B19" s="373"/>
      <c r="C19" s="371"/>
      <c r="D19" s="373"/>
      <c r="E19" s="371"/>
      <c r="F19" s="373"/>
      <c r="G19" s="371"/>
      <c r="H19" s="373"/>
      <c r="I19" s="371"/>
    </row>
    <row r="20" spans="1:9">
      <c r="A20" s="371"/>
      <c r="B20" s="373"/>
      <c r="C20" s="371"/>
      <c r="D20" s="373"/>
      <c r="E20" s="371"/>
      <c r="F20" s="373"/>
      <c r="G20" s="371"/>
      <c r="H20" s="373"/>
      <c r="I20" s="371"/>
    </row>
    <row r="21" spans="1:9">
      <c r="A21" s="371"/>
      <c r="B21" s="373"/>
      <c r="C21" s="371"/>
      <c r="D21" s="373"/>
      <c r="E21" s="371"/>
      <c r="F21" s="373"/>
      <c r="G21" s="371"/>
      <c r="H21" s="373"/>
      <c r="I21" s="371"/>
    </row>
    <row r="22" spans="1:9">
      <c r="A22" s="371"/>
      <c r="B22" s="373"/>
      <c r="C22" s="371"/>
      <c r="D22" s="373"/>
      <c r="E22" s="371"/>
      <c r="F22" s="373"/>
      <c r="G22" s="371"/>
      <c r="H22" s="373"/>
      <c r="I22" s="371"/>
    </row>
    <row r="23" spans="1:9">
      <c r="A23" s="371"/>
      <c r="B23" s="373"/>
      <c r="C23" s="371"/>
      <c r="D23" s="373"/>
      <c r="E23" s="371"/>
      <c r="F23" s="373"/>
      <c r="G23" s="371"/>
      <c r="H23" s="373"/>
      <c r="I23" s="371"/>
    </row>
    <row r="24" spans="1:9">
      <c r="A24" s="371"/>
      <c r="B24" s="373"/>
      <c r="C24" s="371"/>
      <c r="D24" s="373"/>
      <c r="E24" s="371"/>
      <c r="F24" s="373"/>
      <c r="G24" s="371"/>
      <c r="H24" s="373"/>
      <c r="I24" s="371"/>
    </row>
    <row r="25" spans="1:9">
      <c r="A25" s="371"/>
      <c r="B25" s="373"/>
      <c r="C25" s="371"/>
      <c r="D25" s="373"/>
      <c r="E25" s="371"/>
      <c r="F25" s="373"/>
      <c r="G25" s="371"/>
      <c r="H25" s="373"/>
      <c r="I25" s="371"/>
    </row>
    <row r="26" spans="1:9">
      <c r="A26" s="371"/>
      <c r="B26" s="371"/>
      <c r="C26" s="371"/>
      <c r="D26" s="371"/>
      <c r="E26" s="371"/>
      <c r="F26" s="371"/>
      <c r="G26" s="371"/>
      <c r="H26" s="371"/>
      <c r="I26" s="371"/>
    </row>
    <row r="28" spans="1:9">
      <c r="A28" s="762" t="s">
        <v>363</v>
      </c>
      <c r="B28" s="762"/>
      <c r="C28" s="762"/>
      <c r="D28" s="762"/>
      <c r="E28" s="762"/>
      <c r="F28" s="762"/>
      <c r="G28" s="762"/>
    </row>
    <row r="29" spans="1:9">
      <c r="A29" s="772" t="s">
        <v>367</v>
      </c>
      <c r="B29" s="769" t="s">
        <v>23</v>
      </c>
      <c r="C29" s="770"/>
      <c r="D29" s="771"/>
      <c r="E29" s="769" t="s">
        <v>22</v>
      </c>
      <c r="F29" s="770"/>
      <c r="G29" s="771"/>
    </row>
    <row r="30" spans="1:9">
      <c r="A30" s="773"/>
      <c r="B30" s="341" t="s">
        <v>368</v>
      </c>
      <c r="C30" s="341" t="s">
        <v>370</v>
      </c>
      <c r="D30" s="341" t="s">
        <v>29</v>
      </c>
      <c r="E30" s="341" t="s">
        <v>368</v>
      </c>
      <c r="F30" s="341" t="s">
        <v>370</v>
      </c>
      <c r="G30" s="341" t="s">
        <v>29</v>
      </c>
    </row>
    <row r="31" spans="1:9">
      <c r="A31" s="371" t="s">
        <v>372</v>
      </c>
      <c r="B31" s="372">
        <f t="shared" ref="B31:G31" si="0">IF(B18=0,0%,(B18-B5)/B18)</f>
        <v>0</v>
      </c>
      <c r="C31" s="372">
        <f t="shared" si="0"/>
        <v>0</v>
      </c>
      <c r="D31" s="372">
        <f t="shared" si="0"/>
        <v>0</v>
      </c>
      <c r="E31" s="372">
        <f t="shared" si="0"/>
        <v>0</v>
      </c>
      <c r="F31" s="372">
        <f t="shared" si="0"/>
        <v>0</v>
      </c>
      <c r="G31" s="372">
        <f t="shared" si="0"/>
        <v>0</v>
      </c>
    </row>
    <row r="32" spans="1:9">
      <c r="A32" s="371" t="s">
        <v>373</v>
      </c>
      <c r="B32" s="372">
        <f t="shared" ref="B32:G39" si="1">IF(B19=0,0%,(B19-B6)/B19)</f>
        <v>0</v>
      </c>
      <c r="C32" s="372">
        <f t="shared" si="1"/>
        <v>0</v>
      </c>
      <c r="D32" s="372">
        <f t="shared" si="1"/>
        <v>0</v>
      </c>
      <c r="E32" s="372">
        <f t="shared" si="1"/>
        <v>0</v>
      </c>
      <c r="F32" s="372">
        <f t="shared" si="1"/>
        <v>0</v>
      </c>
      <c r="G32" s="372">
        <f t="shared" si="1"/>
        <v>0</v>
      </c>
    </row>
    <row r="33" spans="1:7">
      <c r="A33" s="371" t="s">
        <v>374</v>
      </c>
      <c r="B33" s="372">
        <f t="shared" si="1"/>
        <v>0</v>
      </c>
      <c r="C33" s="372">
        <f t="shared" si="1"/>
        <v>0</v>
      </c>
      <c r="D33" s="372">
        <f t="shared" si="1"/>
        <v>0</v>
      </c>
      <c r="E33" s="372">
        <f>IF(E20=0,0%,(E20-E7)/E20)</f>
        <v>0</v>
      </c>
      <c r="F33" s="372">
        <f t="shared" si="1"/>
        <v>0</v>
      </c>
      <c r="G33" s="372">
        <f t="shared" si="1"/>
        <v>0</v>
      </c>
    </row>
    <row r="34" spans="1:7">
      <c r="A34" s="371" t="s">
        <v>375</v>
      </c>
      <c r="B34" s="372">
        <f t="shared" si="1"/>
        <v>0</v>
      </c>
      <c r="C34" s="372">
        <f t="shared" si="1"/>
        <v>0</v>
      </c>
      <c r="D34" s="372">
        <f t="shared" si="1"/>
        <v>0</v>
      </c>
      <c r="E34" s="372">
        <f t="shared" si="1"/>
        <v>0</v>
      </c>
      <c r="F34" s="372">
        <f t="shared" si="1"/>
        <v>0</v>
      </c>
      <c r="G34" s="372">
        <f t="shared" si="1"/>
        <v>0</v>
      </c>
    </row>
    <row r="35" spans="1:7">
      <c r="A35" s="371" t="s">
        <v>360</v>
      </c>
      <c r="B35" s="372">
        <f t="shared" si="1"/>
        <v>0</v>
      </c>
      <c r="C35" s="372">
        <f t="shared" si="1"/>
        <v>0</v>
      </c>
      <c r="D35" s="372">
        <f t="shared" si="1"/>
        <v>0</v>
      </c>
      <c r="E35" s="372">
        <f t="shared" si="1"/>
        <v>0</v>
      </c>
      <c r="F35" s="372">
        <f t="shared" si="1"/>
        <v>0</v>
      </c>
      <c r="G35" s="372">
        <f t="shared" si="1"/>
        <v>0</v>
      </c>
    </row>
    <row r="36" spans="1:7">
      <c r="A36" s="371" t="s">
        <v>376</v>
      </c>
      <c r="B36" s="372">
        <f t="shared" si="1"/>
        <v>0</v>
      </c>
      <c r="C36" s="372">
        <f t="shared" si="1"/>
        <v>0</v>
      </c>
      <c r="D36" s="372">
        <f t="shared" si="1"/>
        <v>0</v>
      </c>
      <c r="E36" s="372">
        <f t="shared" si="1"/>
        <v>0</v>
      </c>
      <c r="F36" s="372">
        <f t="shared" si="1"/>
        <v>0</v>
      </c>
      <c r="G36" s="372">
        <f t="shared" si="1"/>
        <v>0</v>
      </c>
    </row>
    <row r="37" spans="1:7">
      <c r="A37" s="371" t="s">
        <v>377</v>
      </c>
      <c r="B37" s="372">
        <f t="shared" si="1"/>
        <v>0</v>
      </c>
      <c r="C37" s="372">
        <f t="shared" si="1"/>
        <v>0</v>
      </c>
      <c r="D37" s="372">
        <f t="shared" si="1"/>
        <v>0</v>
      </c>
      <c r="E37" s="372">
        <f t="shared" si="1"/>
        <v>0</v>
      </c>
      <c r="F37" s="372">
        <f t="shared" si="1"/>
        <v>0</v>
      </c>
      <c r="G37" s="372">
        <f t="shared" si="1"/>
        <v>0</v>
      </c>
    </row>
    <row r="38" spans="1:7">
      <c r="A38" s="371" t="s">
        <v>378</v>
      </c>
      <c r="B38" s="372">
        <f t="shared" si="1"/>
        <v>0</v>
      </c>
      <c r="C38" s="372">
        <f t="shared" si="1"/>
        <v>0</v>
      </c>
      <c r="D38" s="372">
        <f t="shared" si="1"/>
        <v>0</v>
      </c>
      <c r="E38" s="372">
        <f t="shared" si="1"/>
        <v>0</v>
      </c>
      <c r="F38" s="372">
        <f t="shared" si="1"/>
        <v>0</v>
      </c>
      <c r="G38" s="372">
        <f t="shared" si="1"/>
        <v>0</v>
      </c>
    </row>
    <row r="39" spans="1:7">
      <c r="A39" s="371" t="s">
        <v>379</v>
      </c>
      <c r="B39" s="372">
        <f t="shared" si="1"/>
        <v>0</v>
      </c>
      <c r="C39" s="372">
        <f t="shared" si="1"/>
        <v>0</v>
      </c>
      <c r="D39" s="372">
        <f t="shared" si="1"/>
        <v>0</v>
      </c>
      <c r="E39" s="372">
        <f t="shared" si="1"/>
        <v>0</v>
      </c>
      <c r="F39" s="372">
        <f t="shared" si="1"/>
        <v>0</v>
      </c>
      <c r="G39" s="372">
        <f t="shared" si="1"/>
        <v>0</v>
      </c>
    </row>
  </sheetData>
  <mergeCells count="13">
    <mergeCell ref="A1:B1"/>
    <mergeCell ref="A2:I2"/>
    <mergeCell ref="A28:G28"/>
    <mergeCell ref="B29:D29"/>
    <mergeCell ref="E29:G29"/>
    <mergeCell ref="A16:A17"/>
    <mergeCell ref="A3:A4"/>
    <mergeCell ref="A29:A30"/>
    <mergeCell ref="F3:I3"/>
    <mergeCell ref="B3:E3"/>
    <mergeCell ref="F16:I16"/>
    <mergeCell ref="B16:E16"/>
    <mergeCell ref="A15:I15"/>
  </mergeCells>
  <conditionalFormatting sqref="H35">
    <cfRule type="containsText" dxfId="413" priority="4" operator="containsText" text="N">
      <formula>NOT(ISERROR(SEARCH("N",H35)))</formula>
    </cfRule>
    <cfRule type="containsText" dxfId="412" priority="5" operator="containsText" text="Y">
      <formula>NOT(ISERROR(SEARCH("Y",H35)))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0"/>
  <sheetViews>
    <sheetView workbookViewId="0">
      <selection sqref="A1:A2"/>
    </sheetView>
  </sheetViews>
  <sheetFormatPr defaultRowHeight="12.75"/>
  <cols>
    <col min="1" max="1" width="20.85546875" style="2" bestFit="1" customWidth="1"/>
    <col min="2" max="2" width="13.7109375" style="2" bestFit="1" customWidth="1"/>
    <col min="3" max="4" width="18.140625" style="2" bestFit="1" customWidth="1"/>
    <col min="5" max="7" width="25.7109375" style="2" customWidth="1"/>
    <col min="8" max="8" width="18.85546875" style="2" customWidth="1"/>
    <col min="9" max="9" width="12.5703125" style="2" bestFit="1" customWidth="1"/>
    <col min="10" max="11" width="18.7109375" style="2" customWidth="1"/>
    <col min="12" max="16384" width="9.140625" style="2"/>
  </cols>
  <sheetData>
    <row r="1" spans="1:11" ht="12.75" customHeight="1">
      <c r="A1" s="720" t="s">
        <v>30</v>
      </c>
      <c r="B1" s="711" t="s">
        <v>20</v>
      </c>
      <c r="C1" s="711" t="s">
        <v>26</v>
      </c>
      <c r="D1" s="711" t="s">
        <v>16</v>
      </c>
      <c r="E1" s="745" t="s">
        <v>24</v>
      </c>
      <c r="F1" s="775"/>
      <c r="G1" s="711" t="s">
        <v>25</v>
      </c>
      <c r="H1" s="711" t="s">
        <v>17</v>
      </c>
      <c r="I1" s="14" t="s">
        <v>18</v>
      </c>
      <c r="J1" s="711" t="s">
        <v>19</v>
      </c>
      <c r="K1" s="711" t="s">
        <v>0</v>
      </c>
    </row>
    <row r="2" spans="1:11" ht="12.75" customHeight="1">
      <c r="A2" s="744"/>
      <c r="B2" s="774"/>
      <c r="C2" s="774"/>
      <c r="D2" s="774"/>
      <c r="E2" s="776"/>
      <c r="F2" s="777"/>
      <c r="G2" s="774"/>
      <c r="H2" s="712"/>
      <c r="I2" s="13" t="s">
        <v>394</v>
      </c>
      <c r="J2" s="712"/>
      <c r="K2" s="774"/>
    </row>
    <row r="3" spans="1:11" ht="75.75" customHeight="1">
      <c r="A3" s="713" t="s">
        <v>31</v>
      </c>
      <c r="B3" s="713" t="s">
        <v>305</v>
      </c>
      <c r="C3" s="15" t="s">
        <v>306</v>
      </c>
      <c r="D3" s="15" t="s">
        <v>307</v>
      </c>
      <c r="E3" s="739" t="s">
        <v>308</v>
      </c>
      <c r="F3" s="23" t="s">
        <v>309</v>
      </c>
      <c r="G3" s="25" t="s">
        <v>172</v>
      </c>
      <c r="H3" s="395" t="s">
        <v>395</v>
      </c>
      <c r="I3" s="11" t="s">
        <v>1</v>
      </c>
      <c r="J3" s="88"/>
      <c r="K3" s="12"/>
    </row>
    <row r="4" spans="1:11" ht="74.25" customHeight="1">
      <c r="A4" s="713"/>
      <c r="B4" s="713"/>
      <c r="C4" s="15" t="s">
        <v>310</v>
      </c>
      <c r="D4" s="15" t="s">
        <v>311</v>
      </c>
      <c r="E4" s="750"/>
      <c r="F4" s="23" t="s">
        <v>312</v>
      </c>
      <c r="G4" s="608" t="s">
        <v>470</v>
      </c>
      <c r="H4" s="395" t="s">
        <v>395</v>
      </c>
      <c r="I4" s="11" t="s">
        <v>1</v>
      </c>
      <c r="J4" s="88"/>
      <c r="K4" s="11"/>
    </row>
    <row r="5" spans="1:11" ht="74.25" customHeight="1">
      <c r="A5" s="713"/>
      <c r="B5" s="713"/>
      <c r="C5" s="180" t="s">
        <v>313</v>
      </c>
      <c r="D5" s="180" t="s">
        <v>314</v>
      </c>
      <c r="E5" s="750"/>
      <c r="F5" s="23" t="s">
        <v>315</v>
      </c>
      <c r="G5" s="25" t="s">
        <v>316</v>
      </c>
      <c r="H5" s="395" t="s">
        <v>395</v>
      </c>
      <c r="I5" s="11" t="s">
        <v>1</v>
      </c>
      <c r="J5" s="185"/>
      <c r="K5" s="11"/>
    </row>
    <row r="6" spans="1:11" ht="75.75" customHeight="1">
      <c r="A6" s="713"/>
      <c r="B6" s="713"/>
      <c r="C6" s="20" t="s">
        <v>317</v>
      </c>
      <c r="D6" s="20" t="s">
        <v>318</v>
      </c>
      <c r="E6" s="750"/>
      <c r="F6" s="23" t="s">
        <v>319</v>
      </c>
      <c r="G6" s="165"/>
      <c r="H6" s="395" t="s">
        <v>395</v>
      </c>
      <c r="I6" s="11" t="s">
        <v>1</v>
      </c>
      <c r="J6" s="202"/>
      <c r="K6" s="203"/>
    </row>
    <row r="7" spans="1:11" ht="75" customHeight="1">
      <c r="A7" s="713"/>
      <c r="B7" s="713"/>
      <c r="C7" s="180" t="s">
        <v>320</v>
      </c>
      <c r="D7" s="180" t="s">
        <v>321</v>
      </c>
      <c r="E7" s="750"/>
      <c r="F7" s="23" t="s">
        <v>322</v>
      </c>
      <c r="G7" s="165"/>
      <c r="H7" s="395" t="s">
        <v>395</v>
      </c>
      <c r="I7" s="11" t="s">
        <v>1</v>
      </c>
      <c r="J7" s="185"/>
      <c r="K7" s="11"/>
    </row>
    <row r="8" spans="1:11" ht="78" customHeight="1">
      <c r="A8" s="713"/>
      <c r="B8" s="713"/>
      <c r="C8" s="180" t="s">
        <v>323</v>
      </c>
      <c r="D8" s="180" t="s">
        <v>324</v>
      </c>
      <c r="E8" s="751"/>
      <c r="F8" s="25" t="s">
        <v>325</v>
      </c>
      <c r="G8" s="166"/>
      <c r="H8" s="395" t="s">
        <v>395</v>
      </c>
      <c r="I8" s="11" t="s">
        <v>1</v>
      </c>
      <c r="J8" s="185"/>
      <c r="K8" s="12"/>
    </row>
    <row r="9" spans="1:11" ht="75" customHeight="1">
      <c r="A9" s="36"/>
      <c r="B9" s="36"/>
      <c r="C9" s="180" t="s">
        <v>326</v>
      </c>
      <c r="D9" s="180" t="s">
        <v>327</v>
      </c>
      <c r="E9" s="36"/>
      <c r="F9" s="25" t="s">
        <v>328</v>
      </c>
      <c r="G9" s="25"/>
      <c r="H9" s="395" t="s">
        <v>395</v>
      </c>
      <c r="I9" s="11" t="s">
        <v>1</v>
      </c>
      <c r="J9" s="185"/>
      <c r="K9" s="11"/>
    </row>
    <row r="10" spans="1:11" ht="75" customHeight="1">
      <c r="A10" s="36"/>
      <c r="B10" s="36"/>
      <c r="C10" s="180" t="s">
        <v>329</v>
      </c>
      <c r="D10" s="180" t="s">
        <v>330</v>
      </c>
      <c r="E10" s="36"/>
      <c r="F10" s="25" t="s">
        <v>331</v>
      </c>
      <c r="G10" s="25"/>
      <c r="H10" s="395" t="s">
        <v>395</v>
      </c>
      <c r="I10" s="11" t="s">
        <v>1</v>
      </c>
      <c r="J10" s="185"/>
      <c r="K10" s="11"/>
    </row>
  </sheetData>
  <mergeCells count="12">
    <mergeCell ref="J1:J2"/>
    <mergeCell ref="K1:K2"/>
    <mergeCell ref="A3:A8"/>
    <mergeCell ref="B3:B8"/>
    <mergeCell ref="E3:E8"/>
    <mergeCell ref="A1:A2"/>
    <mergeCell ref="B1:B2"/>
    <mergeCell ref="C1:C2"/>
    <mergeCell ref="D1:D2"/>
    <mergeCell ref="E1:F2"/>
    <mergeCell ref="G1:G2"/>
    <mergeCell ref="H1:H2"/>
  </mergeCells>
  <conditionalFormatting sqref="I3:I10">
    <cfRule type="cellIs" dxfId="411" priority="134" operator="equal">
      <formula>"Not Tested"</formula>
    </cfRule>
    <cfRule type="cellIs" dxfId="410" priority="135" operator="equal">
      <formula>"Pending"</formula>
    </cfRule>
    <cfRule type="cellIs" dxfId="409" priority="136" operator="equal">
      <formula>"Ongoing"</formula>
    </cfRule>
    <cfRule type="cellIs" dxfId="408" priority="137" operator="equal">
      <formula>"Blocked"</formula>
    </cfRule>
    <cfRule type="cellIs" dxfId="407" priority="138" operator="equal">
      <formula>"Fail"</formula>
    </cfRule>
    <cfRule type="cellIs" dxfId="406" priority="139" operator="equal">
      <formula>"Partially Fail"</formula>
    </cfRule>
    <cfRule type="cellIs" dxfId="405" priority="140" operator="equal">
      <formula>"Pass"</formula>
    </cfRule>
  </conditionalFormatting>
  <conditionalFormatting sqref="I3:I10">
    <cfRule type="cellIs" dxfId="404" priority="127" operator="equal">
      <formula>"Not Tested"</formula>
    </cfRule>
    <cfRule type="cellIs" dxfId="403" priority="128" operator="equal">
      <formula>"Pending"</formula>
    </cfRule>
    <cfRule type="cellIs" dxfId="402" priority="129" operator="equal">
      <formula>"Ongoing"</formula>
    </cfRule>
    <cfRule type="cellIs" dxfId="401" priority="130" operator="equal">
      <formula>"Blocked"</formula>
    </cfRule>
    <cfRule type="cellIs" dxfId="400" priority="131" operator="equal">
      <formula>"Fail"</formula>
    </cfRule>
    <cfRule type="cellIs" dxfId="399" priority="132" operator="equal">
      <formula>"Partially Pass"</formula>
    </cfRule>
    <cfRule type="cellIs" dxfId="398" priority="133" operator="equal">
      <formula>"Pass"</formula>
    </cfRule>
  </conditionalFormatting>
  <conditionalFormatting sqref="K4:K5 K7">
    <cfRule type="cellIs" dxfId="397" priority="120" operator="equal">
      <formula>"Not Tested"</formula>
    </cfRule>
    <cfRule type="cellIs" dxfId="396" priority="121" operator="equal">
      <formula>"Pending"</formula>
    </cfRule>
    <cfRule type="cellIs" dxfId="395" priority="122" operator="equal">
      <formula>"Ongoing"</formula>
    </cfRule>
    <cfRule type="cellIs" dxfId="394" priority="123" operator="equal">
      <formula>"Blocked"</formula>
    </cfRule>
    <cfRule type="cellIs" dxfId="393" priority="124" operator="equal">
      <formula>"Fail"</formula>
    </cfRule>
    <cfRule type="cellIs" dxfId="392" priority="125" operator="equal">
      <formula>"Partially Fail"</formula>
    </cfRule>
    <cfRule type="cellIs" dxfId="391" priority="126" operator="equal">
      <formula>"Pass"</formula>
    </cfRule>
  </conditionalFormatting>
  <conditionalFormatting sqref="K4:K5 K7">
    <cfRule type="cellIs" dxfId="390" priority="113" operator="equal">
      <formula>"Not Tested"</formula>
    </cfRule>
    <cfRule type="cellIs" dxfId="389" priority="114" operator="equal">
      <formula>"Pending"</formula>
    </cfRule>
    <cfRule type="cellIs" dxfId="388" priority="115" operator="equal">
      <formula>"Ongoing"</formula>
    </cfRule>
    <cfRule type="cellIs" dxfId="387" priority="116" operator="equal">
      <formula>"Blocked"</formula>
    </cfRule>
    <cfRule type="cellIs" dxfId="386" priority="117" operator="equal">
      <formula>"Fail"</formula>
    </cfRule>
    <cfRule type="cellIs" dxfId="385" priority="118" operator="equal">
      <formula>"Partially Pass"</formula>
    </cfRule>
    <cfRule type="cellIs" dxfId="384" priority="119" operator="equal">
      <formula>"Pass"</formula>
    </cfRule>
  </conditionalFormatting>
  <conditionalFormatting sqref="I9">
    <cfRule type="cellIs" dxfId="383" priority="106" operator="equal">
      <formula>"Not Tested"</formula>
    </cfRule>
    <cfRule type="cellIs" dxfId="382" priority="107" operator="equal">
      <formula>"Pending"</formula>
    </cfRule>
    <cfRule type="cellIs" dxfId="381" priority="108" operator="equal">
      <formula>"Ongoing"</formula>
    </cfRule>
    <cfRule type="cellIs" dxfId="380" priority="109" operator="equal">
      <formula>"Blocked"</formula>
    </cfRule>
    <cfRule type="cellIs" dxfId="379" priority="110" operator="equal">
      <formula>"Fail"</formula>
    </cfRule>
    <cfRule type="cellIs" dxfId="378" priority="111" operator="equal">
      <formula>"Partially Fail"</formula>
    </cfRule>
    <cfRule type="cellIs" dxfId="377" priority="112" operator="equal">
      <formula>"Pass"</formula>
    </cfRule>
  </conditionalFormatting>
  <conditionalFormatting sqref="I9">
    <cfRule type="cellIs" dxfId="376" priority="99" operator="equal">
      <formula>"Not Tested"</formula>
    </cfRule>
    <cfRule type="cellIs" dxfId="375" priority="100" operator="equal">
      <formula>"Pending"</formula>
    </cfRule>
    <cfRule type="cellIs" dxfId="374" priority="101" operator="equal">
      <formula>"Ongoing"</formula>
    </cfRule>
    <cfRule type="cellIs" dxfId="373" priority="102" operator="equal">
      <formula>"Blocked"</formula>
    </cfRule>
    <cfRule type="cellIs" dxfId="372" priority="103" operator="equal">
      <formula>"Fail"</formula>
    </cfRule>
    <cfRule type="cellIs" dxfId="371" priority="104" operator="equal">
      <formula>"Partially Pass"</formula>
    </cfRule>
    <cfRule type="cellIs" dxfId="370" priority="105" operator="equal">
      <formula>"Pass"</formula>
    </cfRule>
  </conditionalFormatting>
  <conditionalFormatting sqref="K9">
    <cfRule type="cellIs" dxfId="369" priority="92" operator="equal">
      <formula>"Not Tested"</formula>
    </cfRule>
    <cfRule type="cellIs" dxfId="368" priority="93" operator="equal">
      <formula>"Pending"</formula>
    </cfRule>
    <cfRule type="cellIs" dxfId="367" priority="94" operator="equal">
      <formula>"Ongoing"</formula>
    </cfRule>
    <cfRule type="cellIs" dxfId="366" priority="95" operator="equal">
      <formula>"Blocked"</formula>
    </cfRule>
    <cfRule type="cellIs" dxfId="365" priority="96" operator="equal">
      <formula>"Fail"</formula>
    </cfRule>
    <cfRule type="cellIs" dxfId="364" priority="97" operator="equal">
      <formula>"Partially Fail"</formula>
    </cfRule>
    <cfRule type="cellIs" dxfId="363" priority="98" operator="equal">
      <formula>"Pass"</formula>
    </cfRule>
  </conditionalFormatting>
  <conditionalFormatting sqref="K9">
    <cfRule type="cellIs" dxfId="362" priority="85" operator="equal">
      <formula>"Not Tested"</formula>
    </cfRule>
    <cfRule type="cellIs" dxfId="361" priority="86" operator="equal">
      <formula>"Pending"</formula>
    </cfRule>
    <cfRule type="cellIs" dxfId="360" priority="87" operator="equal">
      <formula>"Ongoing"</formula>
    </cfRule>
    <cfRule type="cellIs" dxfId="359" priority="88" operator="equal">
      <formula>"Blocked"</formula>
    </cfRule>
    <cfRule type="cellIs" dxfId="358" priority="89" operator="equal">
      <formula>"Fail"</formula>
    </cfRule>
    <cfRule type="cellIs" dxfId="357" priority="90" operator="equal">
      <formula>"Partially Pass"</formula>
    </cfRule>
    <cfRule type="cellIs" dxfId="356" priority="91" operator="equal">
      <formula>"Pass"</formula>
    </cfRule>
  </conditionalFormatting>
  <conditionalFormatting sqref="I10">
    <cfRule type="cellIs" dxfId="355" priority="78" operator="equal">
      <formula>"Not Tested"</formula>
    </cfRule>
    <cfRule type="cellIs" dxfId="354" priority="79" operator="equal">
      <formula>"Pending"</formula>
    </cfRule>
    <cfRule type="cellIs" dxfId="353" priority="80" operator="equal">
      <formula>"Ongoing"</formula>
    </cfRule>
    <cfRule type="cellIs" dxfId="352" priority="81" operator="equal">
      <formula>"Blocked"</formula>
    </cfRule>
    <cfRule type="cellIs" dxfId="351" priority="82" operator="equal">
      <formula>"Fail"</formula>
    </cfRule>
    <cfRule type="cellIs" dxfId="350" priority="83" operator="equal">
      <formula>"Partially Fail"</formula>
    </cfRule>
    <cfRule type="cellIs" dxfId="349" priority="84" operator="equal">
      <formula>"Pass"</formula>
    </cfRule>
  </conditionalFormatting>
  <conditionalFormatting sqref="I10">
    <cfRule type="cellIs" dxfId="348" priority="71" operator="equal">
      <formula>"Not Tested"</formula>
    </cfRule>
    <cfRule type="cellIs" dxfId="347" priority="72" operator="equal">
      <formula>"Pending"</formula>
    </cfRule>
    <cfRule type="cellIs" dxfId="346" priority="73" operator="equal">
      <formula>"Ongoing"</formula>
    </cfRule>
    <cfRule type="cellIs" dxfId="345" priority="74" operator="equal">
      <formula>"Blocked"</formula>
    </cfRule>
    <cfRule type="cellIs" dxfId="344" priority="75" operator="equal">
      <formula>"Fail"</formula>
    </cfRule>
    <cfRule type="cellIs" dxfId="343" priority="76" operator="equal">
      <formula>"Partially Pass"</formula>
    </cfRule>
    <cfRule type="cellIs" dxfId="342" priority="77" operator="equal">
      <formula>"Pass"</formula>
    </cfRule>
  </conditionalFormatting>
  <conditionalFormatting sqref="K10">
    <cfRule type="cellIs" dxfId="341" priority="64" operator="equal">
      <formula>"Not Tested"</formula>
    </cfRule>
    <cfRule type="cellIs" dxfId="340" priority="65" operator="equal">
      <formula>"Pending"</formula>
    </cfRule>
    <cfRule type="cellIs" dxfId="339" priority="66" operator="equal">
      <formula>"Ongoing"</formula>
    </cfRule>
    <cfRule type="cellIs" dxfId="338" priority="67" operator="equal">
      <formula>"Blocked"</formula>
    </cfRule>
    <cfRule type="cellIs" dxfId="337" priority="68" operator="equal">
      <formula>"Fail"</formula>
    </cfRule>
    <cfRule type="cellIs" dxfId="336" priority="69" operator="equal">
      <formula>"Partially Fail"</formula>
    </cfRule>
    <cfRule type="cellIs" dxfId="335" priority="70" operator="equal">
      <formula>"Pass"</formula>
    </cfRule>
  </conditionalFormatting>
  <conditionalFormatting sqref="K10">
    <cfRule type="cellIs" dxfId="334" priority="57" operator="equal">
      <formula>"Not Tested"</formula>
    </cfRule>
    <cfRule type="cellIs" dxfId="333" priority="58" operator="equal">
      <formula>"Pending"</formula>
    </cfRule>
    <cfRule type="cellIs" dxfId="332" priority="59" operator="equal">
      <formula>"Ongoing"</formula>
    </cfRule>
    <cfRule type="cellIs" dxfId="331" priority="60" operator="equal">
      <formula>"Blocked"</formula>
    </cfRule>
    <cfRule type="cellIs" dxfId="330" priority="61" operator="equal">
      <formula>"Fail"</formula>
    </cfRule>
    <cfRule type="cellIs" dxfId="329" priority="62" operator="equal">
      <formula>"Partially Pass"</formula>
    </cfRule>
    <cfRule type="cellIs" dxfId="328" priority="63" operator="equal">
      <formula>"Pass"</formula>
    </cfRule>
  </conditionalFormatting>
  <conditionalFormatting sqref="I9">
    <cfRule type="cellIs" dxfId="327" priority="50" operator="equal">
      <formula>"Not Tested"</formula>
    </cfRule>
    <cfRule type="cellIs" dxfId="326" priority="51" operator="equal">
      <formula>"Pending"</formula>
    </cfRule>
    <cfRule type="cellIs" dxfId="325" priority="52" operator="equal">
      <formula>"Ongoing"</formula>
    </cfRule>
    <cfRule type="cellIs" dxfId="324" priority="53" operator="equal">
      <formula>"Blocked"</formula>
    </cfRule>
    <cfRule type="cellIs" dxfId="323" priority="54" operator="equal">
      <formula>"Fail"</formula>
    </cfRule>
    <cfRule type="cellIs" dxfId="322" priority="55" operator="equal">
      <formula>"Partially Fail"</formula>
    </cfRule>
    <cfRule type="cellIs" dxfId="321" priority="56" operator="equal">
      <formula>"Pass"</formula>
    </cfRule>
  </conditionalFormatting>
  <conditionalFormatting sqref="I9">
    <cfRule type="cellIs" dxfId="320" priority="43" operator="equal">
      <formula>"Not Tested"</formula>
    </cfRule>
    <cfRule type="cellIs" dxfId="319" priority="44" operator="equal">
      <formula>"Pending"</formula>
    </cfRule>
    <cfRule type="cellIs" dxfId="318" priority="45" operator="equal">
      <formula>"Ongoing"</formula>
    </cfRule>
    <cfRule type="cellIs" dxfId="317" priority="46" operator="equal">
      <formula>"Blocked"</formula>
    </cfRule>
    <cfRule type="cellIs" dxfId="316" priority="47" operator="equal">
      <formula>"Fail"</formula>
    </cfRule>
    <cfRule type="cellIs" dxfId="315" priority="48" operator="equal">
      <formula>"Partially Pass"</formula>
    </cfRule>
    <cfRule type="cellIs" dxfId="314" priority="49" operator="equal">
      <formula>"Pass"</formula>
    </cfRule>
  </conditionalFormatting>
  <conditionalFormatting sqref="I9">
    <cfRule type="cellIs" dxfId="313" priority="36" operator="equal">
      <formula>"Not Tested"</formula>
    </cfRule>
    <cfRule type="cellIs" dxfId="312" priority="37" operator="equal">
      <formula>"Pending"</formula>
    </cfRule>
    <cfRule type="cellIs" dxfId="311" priority="38" operator="equal">
      <formula>"Ongoing"</formula>
    </cfRule>
    <cfRule type="cellIs" dxfId="310" priority="39" operator="equal">
      <formula>"Blocked"</formula>
    </cfRule>
    <cfRule type="cellIs" dxfId="309" priority="40" operator="equal">
      <formula>"Fail"</formula>
    </cfRule>
    <cfRule type="cellIs" dxfId="308" priority="41" operator="equal">
      <formula>"Partially Fail"</formula>
    </cfRule>
    <cfRule type="cellIs" dxfId="307" priority="42" operator="equal">
      <formula>"Pass"</formula>
    </cfRule>
  </conditionalFormatting>
  <conditionalFormatting sqref="I9">
    <cfRule type="cellIs" dxfId="306" priority="29" operator="equal">
      <formula>"Not Tested"</formula>
    </cfRule>
    <cfRule type="cellIs" dxfId="305" priority="30" operator="equal">
      <formula>"Pending"</formula>
    </cfRule>
    <cfRule type="cellIs" dxfId="304" priority="31" operator="equal">
      <formula>"Ongoing"</formula>
    </cfRule>
    <cfRule type="cellIs" dxfId="303" priority="32" operator="equal">
      <formula>"Blocked"</formula>
    </cfRule>
    <cfRule type="cellIs" dxfId="302" priority="33" operator="equal">
      <formula>"Fail"</formula>
    </cfRule>
    <cfRule type="cellIs" dxfId="301" priority="34" operator="equal">
      <formula>"Partially Pass"</formula>
    </cfRule>
    <cfRule type="cellIs" dxfId="300" priority="35" operator="equal">
      <formula>"Pass"</formula>
    </cfRule>
  </conditionalFormatting>
  <conditionalFormatting sqref="I3:I10">
    <cfRule type="cellIs" dxfId="299" priority="22" operator="equal">
      <formula>"Not Tested"</formula>
    </cfRule>
    <cfRule type="cellIs" dxfId="298" priority="23" operator="equal">
      <formula>"Pending"</formula>
    </cfRule>
    <cfRule type="cellIs" dxfId="297" priority="24" operator="equal">
      <formula>"Ongoing"</formula>
    </cfRule>
    <cfRule type="cellIs" dxfId="296" priority="25" operator="equal">
      <formula>"Blocked"</formula>
    </cfRule>
    <cfRule type="cellIs" dxfId="295" priority="26" operator="equal">
      <formula>"Fail"</formula>
    </cfRule>
    <cfRule type="cellIs" dxfId="294" priority="27" operator="equal">
      <formula>"Partially Fail"</formula>
    </cfRule>
    <cfRule type="cellIs" dxfId="293" priority="28" operator="equal">
      <formula>"Pass"</formula>
    </cfRule>
  </conditionalFormatting>
  <conditionalFormatting sqref="I3:I10">
    <cfRule type="cellIs" dxfId="292" priority="15" operator="equal">
      <formula>"Not Tested"</formula>
    </cfRule>
    <cfRule type="cellIs" dxfId="291" priority="16" operator="equal">
      <formula>"Pending"</formula>
    </cfRule>
    <cfRule type="cellIs" dxfId="290" priority="17" operator="equal">
      <formula>"Ongoing"</formula>
    </cfRule>
    <cfRule type="cellIs" dxfId="289" priority="18" operator="equal">
      <formula>"Blocked"</formula>
    </cfRule>
    <cfRule type="cellIs" dxfId="288" priority="19" operator="equal">
      <formula>"Fail"</formula>
    </cfRule>
    <cfRule type="cellIs" dxfId="287" priority="20" operator="equal">
      <formula>"Partially Pass"</formula>
    </cfRule>
    <cfRule type="cellIs" dxfId="286" priority="21" operator="equal">
      <formula>"Pass"</formula>
    </cfRule>
  </conditionalFormatting>
  <conditionalFormatting sqref="I3:I10">
    <cfRule type="cellIs" dxfId="285" priority="8" operator="equal">
      <formula>"Not Tested"</formula>
    </cfRule>
    <cfRule type="cellIs" dxfId="284" priority="9" operator="equal">
      <formula>"Pending"</formula>
    </cfRule>
    <cfRule type="cellIs" dxfId="283" priority="10" operator="equal">
      <formula>"Ongoing"</formula>
    </cfRule>
    <cfRule type="cellIs" dxfId="282" priority="11" operator="equal">
      <formula>"Blocked"</formula>
    </cfRule>
    <cfRule type="cellIs" dxfId="281" priority="12" operator="equal">
      <formula>"Fail"</formula>
    </cfRule>
    <cfRule type="cellIs" dxfId="280" priority="13" operator="equal">
      <formula>"Partially Pass"</formula>
    </cfRule>
    <cfRule type="cellIs" dxfId="279" priority="14" operator="equal">
      <formula>"Pass"</formula>
    </cfRule>
  </conditionalFormatting>
  <conditionalFormatting sqref="I3:I10">
    <cfRule type="cellIs" dxfId="278" priority="1" operator="equal">
      <formula>"Not Tested"</formula>
    </cfRule>
    <cfRule type="cellIs" dxfId="277" priority="2" operator="equal">
      <formula>"Pending"</formula>
    </cfRule>
    <cfRule type="cellIs" dxfId="276" priority="3" operator="equal">
      <formula>"Ongoing"</formula>
    </cfRule>
    <cfRule type="cellIs" dxfId="275" priority="4" operator="equal">
      <formula>"Blocked"</formula>
    </cfRule>
    <cfRule type="cellIs" dxfId="274" priority="5" operator="equal">
      <formula>"Fail"</formula>
    </cfRule>
    <cfRule type="cellIs" dxfId="273" priority="6" operator="equal">
      <formula>"Partially Fail"</formula>
    </cfRule>
    <cfRule type="cellIs" dxfId="272" priority="7" operator="equal">
      <formula>"Pass"</formula>
    </cfRule>
  </conditionalFormatting>
  <hyperlinks>
    <hyperlink ref="H3" location="'Top 20 Data'!A1" display="'Top 20 Data'!A1"/>
    <hyperlink ref="H4:H10" location="'Top 20 Data'!A1" display="'Top 20 Data'!A1"/>
    <hyperlink ref="G4" r:id="rId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K7 K9:K10 K4:K5</xm:sqref>
        </x14:dataValidation>
        <x14:dataValidation type="list" allowBlank="1" showInputMessage="1" showErrorMessage="1">
          <x14:formula1>
            <xm:f>Info!A3:A9</xm:f>
          </x14:formula1>
          <xm:sqref>I3:I10</xm:sqref>
        </x14:dataValidation>
      </x14:dataValidations>
    </ext>
  </extLst>
</worksheet>
</file>

<file path=xl/worksheets/sheet11.xml><?xml version="1.0" encoding="utf-8"?>
<worksheet xmlns="http://schemas.openxmlformats.org/spreadsheetml/2006/main" xmlns:r="http://schemas.openxmlformats.org/officeDocument/2006/relationships">
  <dimension ref="A1:J17"/>
  <sheetViews>
    <sheetView showGridLines="0" topLeftCell="C1" zoomScale="85" zoomScaleNormal="85" workbookViewId="0">
      <selection activeCell="G3" sqref="G3:G17"/>
    </sheetView>
  </sheetViews>
  <sheetFormatPr defaultRowHeight="12.75"/>
  <cols>
    <col min="1" max="1" width="20.85546875" style="34" bestFit="1" customWidth="1"/>
    <col min="2" max="2" width="16.140625" style="2" bestFit="1" customWidth="1"/>
    <col min="3" max="3" width="30.28515625" style="2" bestFit="1" customWidth="1"/>
    <col min="4" max="4" width="27" style="2" bestFit="1" customWidth="1"/>
    <col min="5" max="5" width="21.85546875" style="2" customWidth="1"/>
    <col min="6" max="6" width="25.7109375" style="2" customWidth="1"/>
    <col min="7" max="7" width="10.5703125" style="2" bestFit="1" customWidth="1"/>
    <col min="8" max="8" width="12.5703125" style="2" bestFit="1" customWidth="1"/>
    <col min="9" max="10" width="18.7109375" style="2" customWidth="1"/>
    <col min="11" max="16384" width="9.140625" style="2"/>
  </cols>
  <sheetData>
    <row r="1" spans="1:10">
      <c r="A1" s="720" t="s">
        <v>30</v>
      </c>
      <c r="B1" s="711" t="s">
        <v>20</v>
      </c>
      <c r="C1" s="711" t="s">
        <v>26</v>
      </c>
      <c r="D1" s="711" t="s">
        <v>16</v>
      </c>
      <c r="E1" s="711" t="s">
        <v>24</v>
      </c>
      <c r="F1" s="711" t="s">
        <v>25</v>
      </c>
      <c r="G1" s="711" t="s">
        <v>17</v>
      </c>
      <c r="H1" s="14" t="s">
        <v>18</v>
      </c>
      <c r="I1" s="711" t="s">
        <v>19</v>
      </c>
      <c r="J1" s="711" t="s">
        <v>0</v>
      </c>
    </row>
    <row r="2" spans="1:10">
      <c r="A2" s="720"/>
      <c r="B2" s="712"/>
      <c r="C2" s="712"/>
      <c r="D2" s="712"/>
      <c r="E2" s="712"/>
      <c r="F2" s="712"/>
      <c r="G2" s="712"/>
      <c r="H2" s="13">
        <v>40941</v>
      </c>
      <c r="I2" s="712"/>
      <c r="J2" s="712"/>
    </row>
    <row r="3" spans="1:10" ht="80.25" customHeight="1">
      <c r="A3" s="778" t="s">
        <v>31</v>
      </c>
      <c r="B3" s="781" t="s">
        <v>36</v>
      </c>
      <c r="C3" s="18" t="s">
        <v>37</v>
      </c>
      <c r="D3" s="15" t="s">
        <v>52</v>
      </c>
      <c r="E3" s="739" t="s">
        <v>164</v>
      </c>
      <c r="F3" s="23" t="s">
        <v>173</v>
      </c>
      <c r="G3" s="784" t="s">
        <v>85</v>
      </c>
      <c r="H3" s="11" t="s">
        <v>3</v>
      </c>
      <c r="I3" s="33"/>
      <c r="J3" s="12"/>
    </row>
    <row r="4" spans="1:10" ht="74.25" customHeight="1">
      <c r="A4" s="779"/>
      <c r="B4" s="782"/>
      <c r="C4" s="17" t="s">
        <v>53</v>
      </c>
      <c r="D4" s="15" t="s">
        <v>54</v>
      </c>
      <c r="E4" s="750"/>
      <c r="F4" s="86" t="s">
        <v>174</v>
      </c>
      <c r="G4" s="785"/>
      <c r="H4" s="11" t="s">
        <v>3</v>
      </c>
      <c r="I4" s="33"/>
      <c r="J4" s="12"/>
    </row>
    <row r="5" spans="1:10" ht="13.5" customHeight="1">
      <c r="A5" s="779"/>
      <c r="B5" s="782"/>
      <c r="C5" s="18" t="s">
        <v>39</v>
      </c>
      <c r="D5" s="19" t="s">
        <v>55</v>
      </c>
      <c r="E5" s="750"/>
      <c r="F5" s="750" t="s">
        <v>175</v>
      </c>
      <c r="G5" s="785"/>
      <c r="H5" s="11" t="s">
        <v>3</v>
      </c>
      <c r="I5" s="33"/>
      <c r="J5" s="12"/>
    </row>
    <row r="6" spans="1:10">
      <c r="A6" s="779"/>
      <c r="B6" s="782"/>
      <c r="C6" s="18" t="s">
        <v>40</v>
      </c>
      <c r="D6" s="21" t="s">
        <v>56</v>
      </c>
      <c r="E6" s="750"/>
      <c r="F6" s="750"/>
      <c r="G6" s="785"/>
      <c r="H6" s="11" t="s">
        <v>3</v>
      </c>
      <c r="I6" s="33"/>
      <c r="J6" s="12"/>
    </row>
    <row r="7" spans="1:10">
      <c r="A7" s="779"/>
      <c r="B7" s="782"/>
      <c r="C7" s="18" t="s">
        <v>41</v>
      </c>
      <c r="D7" s="167" t="s">
        <v>57</v>
      </c>
      <c r="E7" s="750"/>
      <c r="F7" s="750"/>
      <c r="G7" s="785"/>
      <c r="H7" s="11" t="s">
        <v>3</v>
      </c>
      <c r="I7" s="33"/>
      <c r="J7" s="12"/>
    </row>
    <row r="8" spans="1:10">
      <c r="A8" s="779"/>
      <c r="B8" s="782"/>
      <c r="C8" s="18" t="s">
        <v>42</v>
      </c>
      <c r="D8" s="167" t="s">
        <v>58</v>
      </c>
      <c r="E8" s="750"/>
      <c r="F8" s="750"/>
      <c r="G8" s="785"/>
      <c r="H8" s="11" t="s">
        <v>3</v>
      </c>
      <c r="I8" s="33"/>
      <c r="J8" s="12"/>
    </row>
    <row r="9" spans="1:10" ht="43.5" customHeight="1">
      <c r="A9" s="779"/>
      <c r="B9" s="782"/>
      <c r="C9" s="17" t="s">
        <v>59</v>
      </c>
      <c r="D9" s="167" t="s">
        <v>60</v>
      </c>
      <c r="E9" s="750"/>
      <c r="F9" s="750"/>
      <c r="G9" s="785"/>
      <c r="H9" s="11" t="s">
        <v>3</v>
      </c>
      <c r="I9" s="33"/>
      <c r="J9" s="12"/>
    </row>
    <row r="10" spans="1:10">
      <c r="A10" s="779"/>
      <c r="B10" s="782"/>
      <c r="C10" s="167" t="s">
        <v>44</v>
      </c>
      <c r="D10" s="167" t="s">
        <v>61</v>
      </c>
      <c r="E10" s="750"/>
      <c r="F10" s="750"/>
      <c r="G10" s="785"/>
      <c r="H10" s="11" t="s">
        <v>3</v>
      </c>
      <c r="I10" s="33"/>
      <c r="J10" s="12"/>
    </row>
    <row r="11" spans="1:10">
      <c r="A11" s="779"/>
      <c r="B11" s="782"/>
      <c r="C11" s="167" t="s">
        <v>45</v>
      </c>
      <c r="D11" s="167" t="s">
        <v>62</v>
      </c>
      <c r="E11" s="750"/>
      <c r="F11" s="750"/>
      <c r="G11" s="785"/>
      <c r="H11" s="11" t="s">
        <v>3</v>
      </c>
      <c r="I11" s="33"/>
      <c r="J11" s="12"/>
    </row>
    <row r="12" spans="1:10" ht="78.75" customHeight="1">
      <c r="A12" s="779"/>
      <c r="B12" s="782"/>
      <c r="C12" s="16" t="s">
        <v>63</v>
      </c>
      <c r="D12" s="16" t="s">
        <v>64</v>
      </c>
      <c r="E12" s="750"/>
      <c r="F12" s="750"/>
      <c r="G12" s="785"/>
      <c r="H12" s="11" t="s">
        <v>3</v>
      </c>
      <c r="I12" s="33"/>
      <c r="J12" s="12"/>
    </row>
    <row r="13" spans="1:10">
      <c r="A13" s="779"/>
      <c r="B13" s="782"/>
      <c r="C13" s="167" t="s">
        <v>47</v>
      </c>
      <c r="D13" s="167" t="s">
        <v>65</v>
      </c>
      <c r="E13" s="750"/>
      <c r="F13" s="165"/>
      <c r="G13" s="785"/>
      <c r="H13" s="11" t="s">
        <v>3</v>
      </c>
      <c r="I13" s="33"/>
      <c r="J13" s="12"/>
    </row>
    <row r="14" spans="1:10" ht="19.5" customHeight="1">
      <c r="A14" s="779"/>
      <c r="B14" s="782"/>
      <c r="C14" s="167" t="s">
        <v>48</v>
      </c>
      <c r="D14" s="167" t="s">
        <v>66</v>
      </c>
      <c r="E14" s="750"/>
      <c r="F14" s="165"/>
      <c r="G14" s="785"/>
      <c r="H14" s="11" t="s">
        <v>3</v>
      </c>
      <c r="I14" s="33"/>
      <c r="J14" s="12"/>
    </row>
    <row r="15" spans="1:10">
      <c r="A15" s="779"/>
      <c r="B15" s="782"/>
      <c r="C15" s="167" t="s">
        <v>49</v>
      </c>
      <c r="D15" s="167" t="s">
        <v>67</v>
      </c>
      <c r="E15" s="750"/>
      <c r="F15" s="165"/>
      <c r="G15" s="785"/>
      <c r="H15" s="11" t="s">
        <v>3</v>
      </c>
      <c r="I15" s="33"/>
      <c r="J15" s="12"/>
    </row>
    <row r="16" spans="1:10" ht="26.25" customHeight="1">
      <c r="A16" s="779"/>
      <c r="B16" s="782"/>
      <c r="C16" s="22" t="s">
        <v>50</v>
      </c>
      <c r="D16" s="167" t="s">
        <v>68</v>
      </c>
      <c r="E16" s="750"/>
      <c r="F16" s="165"/>
      <c r="G16" s="785"/>
      <c r="H16" s="11" t="s">
        <v>3</v>
      </c>
      <c r="I16" s="33"/>
      <c r="J16" s="12"/>
    </row>
    <row r="17" spans="1:10" ht="30" customHeight="1">
      <c r="A17" s="780"/>
      <c r="B17" s="783"/>
      <c r="C17" s="22" t="s">
        <v>51</v>
      </c>
      <c r="D17" s="167" t="s">
        <v>69</v>
      </c>
      <c r="E17" s="751"/>
      <c r="F17" s="166"/>
      <c r="G17" s="786"/>
      <c r="H17" s="11" t="s">
        <v>3</v>
      </c>
      <c r="I17" s="33"/>
      <c r="J17" s="12"/>
    </row>
  </sheetData>
  <mergeCells count="14">
    <mergeCell ref="J1:J2"/>
    <mergeCell ref="A3:A17"/>
    <mergeCell ref="B3:B17"/>
    <mergeCell ref="E3:E17"/>
    <mergeCell ref="A1:A2"/>
    <mergeCell ref="B1:B2"/>
    <mergeCell ref="C1:C2"/>
    <mergeCell ref="D1:D2"/>
    <mergeCell ref="E1:E2"/>
    <mergeCell ref="F1:F2"/>
    <mergeCell ref="G1:G2"/>
    <mergeCell ref="F5:F12"/>
    <mergeCell ref="G3:G17"/>
    <mergeCell ref="I1:I2"/>
  </mergeCells>
  <conditionalFormatting sqref="H3:H17">
    <cfRule type="cellIs" dxfId="271" priority="8" operator="equal">
      <formula>"Not Tested"</formula>
    </cfRule>
    <cfRule type="cellIs" dxfId="270" priority="9" operator="equal">
      <formula>"Pending"</formula>
    </cfRule>
    <cfRule type="cellIs" dxfId="269" priority="10" operator="equal">
      <formula>"Ongoing"</formula>
    </cfRule>
    <cfRule type="cellIs" dxfId="268" priority="11" operator="equal">
      <formula>"Blocked"</formula>
    </cfRule>
    <cfRule type="cellIs" dxfId="267" priority="12" operator="equal">
      <formula>"Fail"</formula>
    </cfRule>
    <cfRule type="cellIs" dxfId="266" priority="13" operator="equal">
      <formula>"Partially Fail"</formula>
    </cfRule>
    <cfRule type="cellIs" dxfId="265" priority="14" operator="equal">
      <formula>"Pass"</formula>
    </cfRule>
  </conditionalFormatting>
  <conditionalFormatting sqref="H3:H17">
    <cfRule type="cellIs" dxfId="264" priority="1" operator="equal">
      <formula>"Not Tested"</formula>
    </cfRule>
    <cfRule type="cellIs" dxfId="263" priority="2" operator="equal">
      <formula>"Pending"</formula>
    </cfRule>
    <cfRule type="cellIs" dxfId="262" priority="3" operator="equal">
      <formula>"Ongoing"</formula>
    </cfRule>
    <cfRule type="cellIs" dxfId="261" priority="4" operator="equal">
      <formula>"Blocked"</formula>
    </cfRule>
    <cfRule type="cellIs" dxfId="260" priority="5" operator="equal">
      <formula>"Fail"</formula>
    </cfRule>
    <cfRule type="cellIs" dxfId="259" priority="6" operator="equal">
      <formula>"Partially Pass"</formula>
    </cfRule>
    <cfRule type="cellIs" dxfId="258" priority="7" operator="equal">
      <formula>"Pass"</formula>
    </cfRule>
  </conditionalFormatting>
  <hyperlinks>
    <hyperlink ref="F4" r:id="rId1"/>
    <hyperlink ref="G3:G4" location="'BOB Data'!A1" display="'BOB Data'!A1"/>
    <hyperlink ref="G3:G15" location="'DBS Data'!A1" display="DBS Data'!A1"/>
    <hyperlink ref="G3:G17" location="'UM Data'!A1" display="UM Data'!A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H3:H17</xm:sqref>
        </x14:dataValidation>
      </x14:dataValidations>
    </ext>
  </extLst>
</worksheet>
</file>

<file path=xl/worksheets/sheet12.xml><?xml version="1.0" encoding="utf-8"?>
<worksheet xmlns="http://schemas.openxmlformats.org/spreadsheetml/2006/main" xmlns:r="http://schemas.openxmlformats.org/officeDocument/2006/relationships">
  <dimension ref="A1:AE238"/>
  <sheetViews>
    <sheetView showGridLines="0" zoomScale="85" zoomScaleNormal="85" workbookViewId="0">
      <pane ySplit="2" topLeftCell="A3" activePane="bottomLeft" state="frozen"/>
      <selection pane="bottomLeft" sqref="A1:B1"/>
    </sheetView>
  </sheetViews>
  <sheetFormatPr defaultRowHeight="12.75"/>
  <cols>
    <col min="1" max="1" width="4.5703125" style="45" customWidth="1"/>
    <col min="2" max="2" width="27.85546875" style="45" customWidth="1"/>
    <col min="3" max="3" width="20.85546875" style="45" customWidth="1"/>
    <col min="4" max="5" width="20.7109375" style="45" bestFit="1" customWidth="1"/>
    <col min="6" max="9" width="21.7109375" style="45" bestFit="1" customWidth="1"/>
    <col min="10" max="10" width="9.140625" style="45"/>
    <col min="11" max="11" width="3.5703125" style="190" bestFit="1" customWidth="1"/>
    <col min="12" max="12" width="31.140625" style="45" customWidth="1"/>
    <col min="13" max="13" width="18" style="45" bestFit="1" customWidth="1"/>
    <col min="14" max="14" width="20.7109375" style="45" bestFit="1" customWidth="1"/>
    <col min="15" max="15" width="17.140625" style="414" bestFit="1" customWidth="1"/>
    <col min="16" max="16384" width="9.140625" style="45"/>
  </cols>
  <sheetData>
    <row r="1" spans="1:15">
      <c r="A1" s="759" t="s">
        <v>385</v>
      </c>
      <c r="B1" s="759"/>
    </row>
    <row r="2" spans="1:15">
      <c r="A2" s="788" t="s">
        <v>362</v>
      </c>
      <c r="B2" s="765"/>
      <c r="C2" s="765"/>
      <c r="D2" s="765"/>
      <c r="E2" s="765"/>
      <c r="F2" s="765"/>
      <c r="G2" s="765"/>
      <c r="H2" s="765"/>
      <c r="I2" s="765"/>
      <c r="J2" s="549"/>
      <c r="K2" s="766" t="s">
        <v>399</v>
      </c>
      <c r="L2" s="766"/>
      <c r="M2" s="766"/>
      <c r="N2" s="766"/>
      <c r="O2" s="766"/>
    </row>
    <row r="3" spans="1:15" s="450" customFormat="1" ht="15"/>
    <row r="4" spans="1:15" ht="15" customHeight="1">
      <c r="A4" s="767" t="s">
        <v>335</v>
      </c>
      <c r="B4" s="767"/>
      <c r="C4" s="767"/>
      <c r="D4" s="767"/>
      <c r="E4" s="767"/>
      <c r="F4" s="767"/>
      <c r="G4" s="767"/>
      <c r="H4" s="767"/>
      <c r="I4" s="767"/>
      <c r="J4" s="767"/>
      <c r="K4" s="767"/>
      <c r="L4" s="767"/>
      <c r="M4" s="767"/>
      <c r="N4" s="767"/>
      <c r="O4" s="767"/>
    </row>
    <row r="5" spans="1:15" s="450" customFormat="1" ht="15"/>
    <row r="6" spans="1:15">
      <c r="A6" s="89" t="s">
        <v>32</v>
      </c>
      <c r="B6" s="89" t="s">
        <v>336</v>
      </c>
      <c r="C6" s="89" t="s">
        <v>23</v>
      </c>
      <c r="D6" s="89" t="s">
        <v>351</v>
      </c>
      <c r="E6" s="477" t="s">
        <v>22</v>
      </c>
      <c r="F6" s="477" t="s">
        <v>352</v>
      </c>
      <c r="G6" s="89" t="s">
        <v>21</v>
      </c>
      <c r="H6" s="318" t="s">
        <v>337</v>
      </c>
      <c r="I6" s="445"/>
      <c r="K6" s="548" t="s">
        <v>32</v>
      </c>
      <c r="L6" s="412" t="s">
        <v>336</v>
      </c>
      <c r="M6" s="548" t="s">
        <v>23</v>
      </c>
      <c r="N6" s="443" t="s">
        <v>22</v>
      </c>
      <c r="O6" s="442" t="s">
        <v>399</v>
      </c>
    </row>
    <row r="7" spans="1:15">
      <c r="A7" s="62"/>
      <c r="B7" s="531"/>
      <c r="C7" s="530"/>
      <c r="D7" s="530"/>
      <c r="E7" s="544"/>
      <c r="F7" s="544"/>
      <c r="G7" s="543"/>
      <c r="H7" s="542"/>
      <c r="I7" s="546"/>
      <c r="K7" s="428">
        <v>1</v>
      </c>
      <c r="L7" s="425" t="e">
        <f>IF(EXACT(B7,#REF!),#REF!,"Different Name: "&amp;#REF!)</f>
        <v>#REF!</v>
      </c>
      <c r="M7" s="423">
        <f>IF(D7=0, 0%,(#REF!-D7)/D7)</f>
        <v>0</v>
      </c>
      <c r="N7" s="423">
        <f>IF(E7=0, 0%,(#REF!-E7)/E7)</f>
        <v>0</v>
      </c>
      <c r="O7" s="422" t="str">
        <f>IF(AND(M7&lt;10%,N7&lt;10%,M7&gt;-10%,N7&gt;-10%),"Pass","Fail")</f>
        <v>Pass</v>
      </c>
    </row>
    <row r="8" spans="1:15">
      <c r="A8" s="62"/>
      <c r="B8" s="536"/>
      <c r="C8" s="535"/>
      <c r="D8" s="535"/>
      <c r="E8" s="540"/>
      <c r="F8" s="540"/>
      <c r="G8" s="539"/>
      <c r="H8" s="538"/>
      <c r="I8" s="545"/>
      <c r="K8" s="428">
        <v>2</v>
      </c>
      <c r="L8" s="425" t="e">
        <f>IF(EXACT(B8,#REF!),#REF!,"Different Name: "&amp;#REF!)</f>
        <v>#REF!</v>
      </c>
      <c r="M8" s="423">
        <f>IF(D8=0, 0%,(#REF!-D8)/D8)</f>
        <v>0</v>
      </c>
      <c r="N8" s="423">
        <f>IF(E8=0, 0%,(#REF!-E8)/E8)</f>
        <v>0</v>
      </c>
      <c r="O8" s="422" t="str">
        <f t="shared" ref="O8:O26" si="0">IF(AND(M8&lt;10%,N8&lt;10%,M8&gt;-10%,N8&gt;-10%),"Pass","Fail")</f>
        <v>Pass</v>
      </c>
    </row>
    <row r="9" spans="1:15">
      <c r="A9" s="62"/>
      <c r="B9" s="531"/>
      <c r="C9" s="530"/>
      <c r="D9" s="530"/>
      <c r="E9" s="544"/>
      <c r="F9" s="544"/>
      <c r="G9" s="543"/>
      <c r="H9" s="542"/>
      <c r="I9" s="541"/>
      <c r="K9" s="428">
        <v>3</v>
      </c>
      <c r="L9" s="425" t="e">
        <f>IF(EXACT(B9,#REF!),#REF!,"Different Name: "&amp;#REF!)</f>
        <v>#REF!</v>
      </c>
      <c r="M9" s="423">
        <f>IF(D9=0, 0%,(#REF!-D9)/D9)</f>
        <v>0</v>
      </c>
      <c r="N9" s="423">
        <f>IF(E9=0, 0%,(#REF!-E9)/E9)</f>
        <v>0</v>
      </c>
      <c r="O9" s="422" t="str">
        <f t="shared" si="0"/>
        <v>Pass</v>
      </c>
    </row>
    <row r="10" spans="1:15">
      <c r="A10" s="62"/>
      <c r="B10" s="536"/>
      <c r="C10" s="535"/>
      <c r="D10" s="535"/>
      <c r="E10" s="540"/>
      <c r="F10" s="540"/>
      <c r="G10" s="539"/>
      <c r="H10" s="538"/>
      <c r="I10" s="537"/>
      <c r="K10" s="428">
        <v>4</v>
      </c>
      <c r="L10" s="425" t="e">
        <f>IF(EXACT(B10,#REF!),#REF!,"Different Name: "&amp;#REF!)</f>
        <v>#REF!</v>
      </c>
      <c r="M10" s="423">
        <f>IF(D10=0, 0%,(#REF!-D10)/D10)</f>
        <v>0</v>
      </c>
      <c r="N10" s="423">
        <f>IF(E10=0, 0%,(#REF!-E10)/E10)</f>
        <v>0</v>
      </c>
      <c r="O10" s="422" t="str">
        <f t="shared" si="0"/>
        <v>Pass</v>
      </c>
    </row>
    <row r="11" spans="1:15">
      <c r="A11" s="62"/>
      <c r="B11" s="531"/>
      <c r="C11" s="530"/>
      <c r="D11" s="530"/>
      <c r="E11" s="544"/>
      <c r="F11" s="544"/>
      <c r="G11" s="543"/>
      <c r="H11" s="542"/>
      <c r="I11" s="546"/>
      <c r="K11" s="428">
        <v>5</v>
      </c>
      <c r="L11" s="425" t="e">
        <f>IF(EXACT(B11,#REF!),#REF!,"Different Name: "&amp;#REF!)</f>
        <v>#REF!</v>
      </c>
      <c r="M11" s="423">
        <f>IF(D11=0, 0%,(#REF!-D11)/D11)</f>
        <v>0</v>
      </c>
      <c r="N11" s="423">
        <f>IF(E11=0, 0%,(#REF!-E11)/E11)</f>
        <v>0</v>
      </c>
      <c r="O11" s="422" t="str">
        <f t="shared" si="0"/>
        <v>Pass</v>
      </c>
    </row>
    <row r="12" spans="1:15">
      <c r="A12" s="62"/>
      <c r="B12" s="536"/>
      <c r="C12" s="535"/>
      <c r="D12" s="535"/>
      <c r="E12" s="540"/>
      <c r="F12" s="540"/>
      <c r="G12" s="539"/>
      <c r="H12" s="538"/>
      <c r="I12" s="547"/>
      <c r="K12" s="428">
        <v>6</v>
      </c>
      <c r="L12" s="425" t="e">
        <f>IF(EXACT(B12,#REF!),#REF!,"Different Name: "&amp;#REF!)</f>
        <v>#REF!</v>
      </c>
      <c r="M12" s="423">
        <f>IF(D12=0, 0%,(#REF!-D12)/D12)</f>
        <v>0</v>
      </c>
      <c r="N12" s="423">
        <f>IF(E12=0, 0%,(#REF!-E12)/E12)</f>
        <v>0</v>
      </c>
      <c r="O12" s="422" t="str">
        <f t="shared" si="0"/>
        <v>Pass</v>
      </c>
    </row>
    <row r="13" spans="1:15">
      <c r="A13" s="62"/>
      <c r="B13" s="531"/>
      <c r="C13" s="530"/>
      <c r="D13" s="530"/>
      <c r="E13" s="544"/>
      <c r="F13" s="544"/>
      <c r="G13" s="543"/>
      <c r="H13" s="542"/>
      <c r="I13" s="546"/>
      <c r="K13" s="428">
        <v>7</v>
      </c>
      <c r="L13" s="425" t="e">
        <f>IF(EXACT(B13,#REF!),#REF!,"Different Name: "&amp;#REF!)</f>
        <v>#REF!</v>
      </c>
      <c r="M13" s="423">
        <f>IF(D13=0, 0%,(#REF!-D13)/D13)</f>
        <v>0</v>
      </c>
      <c r="N13" s="423">
        <f>IF(E13=0, 0%,(#REF!-E13)/E13)</f>
        <v>0</v>
      </c>
      <c r="O13" s="422" t="str">
        <f t="shared" si="0"/>
        <v>Pass</v>
      </c>
    </row>
    <row r="14" spans="1:15">
      <c r="A14" s="62"/>
      <c r="B14" s="531"/>
      <c r="C14" s="530"/>
      <c r="D14" s="530"/>
      <c r="E14" s="544"/>
      <c r="F14" s="544"/>
      <c r="G14" s="539"/>
      <c r="H14" s="538"/>
      <c r="I14" s="545"/>
      <c r="K14" s="428">
        <v>8</v>
      </c>
      <c r="L14" s="425" t="e">
        <f>IF(EXACT(B14,#REF!),#REF!,"Different Name: "&amp;#REF!)</f>
        <v>#REF!</v>
      </c>
      <c r="M14" s="423">
        <f>IF(D14=0, 0%,(#REF!-D14)/D14)</f>
        <v>0</v>
      </c>
      <c r="N14" s="423">
        <f>IF(E14=0, 0%,(#REF!-E14)/E14)</f>
        <v>0</v>
      </c>
      <c r="O14" s="422" t="str">
        <f t="shared" si="0"/>
        <v>Pass</v>
      </c>
    </row>
    <row r="15" spans="1:15">
      <c r="A15" s="62"/>
      <c r="B15" s="536"/>
      <c r="C15" s="535"/>
      <c r="D15" s="535"/>
      <c r="E15" s="540"/>
      <c r="F15" s="540"/>
      <c r="G15" s="543"/>
      <c r="H15" s="542"/>
      <c r="I15" s="541"/>
      <c r="K15" s="428">
        <v>9</v>
      </c>
      <c r="L15" s="425" t="e">
        <f>IF(EXACT(B15,#REF!),#REF!,"Different Name: "&amp;#REF!)</f>
        <v>#REF!</v>
      </c>
      <c r="M15" s="423">
        <f>IF(D15=0, 0%,(#REF!-D15)/D15)</f>
        <v>0</v>
      </c>
      <c r="N15" s="423">
        <f>IF(E15=0, 0%,(#REF!-E15)/E15)</f>
        <v>0</v>
      </c>
      <c r="O15" s="422" t="str">
        <f t="shared" si="0"/>
        <v>Pass</v>
      </c>
    </row>
    <row r="16" spans="1:15">
      <c r="A16" s="62"/>
      <c r="B16" s="531"/>
      <c r="C16" s="530"/>
      <c r="D16" s="530"/>
      <c r="E16" s="544"/>
      <c r="F16" s="544"/>
      <c r="G16" s="539"/>
      <c r="H16" s="538"/>
      <c r="I16" s="537"/>
      <c r="K16" s="428">
        <v>10</v>
      </c>
      <c r="L16" s="425" t="e">
        <f>IF(EXACT(B16,#REF!),#REF!,"Different Name: "&amp;#REF!)</f>
        <v>#REF!</v>
      </c>
      <c r="M16" s="423">
        <f>IF(D16=0, 0%,(#REF!-D16)/D16)</f>
        <v>0</v>
      </c>
      <c r="N16" s="423">
        <f>IF(E16=0, 0%,(#REF!-E16)/E16)</f>
        <v>0</v>
      </c>
      <c r="O16" s="422" t="str">
        <f t="shared" si="0"/>
        <v>Pass</v>
      </c>
    </row>
    <row r="17" spans="1:15">
      <c r="A17" s="62"/>
      <c r="B17" s="536"/>
      <c r="C17" s="535"/>
      <c r="D17" s="535"/>
      <c r="E17" s="540"/>
      <c r="F17" s="540"/>
      <c r="G17" s="543"/>
      <c r="H17" s="542"/>
      <c r="I17" s="541"/>
      <c r="K17" s="428">
        <v>11</v>
      </c>
      <c r="L17" s="425" t="e">
        <f>IF(EXACT(B17,#REF!),#REF!,"Different Name: "&amp;#REF!)</f>
        <v>#REF!</v>
      </c>
      <c r="M17" s="423">
        <f>IF(D17=0, 0%,(#REF!-D17)/D17)</f>
        <v>0</v>
      </c>
      <c r="N17" s="423">
        <f>IF(E17=0, 0%,(#REF!-E17)/E17)</f>
        <v>0</v>
      </c>
      <c r="O17" s="422" t="str">
        <f t="shared" si="0"/>
        <v>Pass</v>
      </c>
    </row>
    <row r="18" spans="1:15">
      <c r="A18" s="62"/>
      <c r="B18" s="531"/>
      <c r="C18" s="530"/>
      <c r="D18" s="530"/>
      <c r="E18" s="544"/>
      <c r="F18" s="544"/>
      <c r="G18" s="539"/>
      <c r="H18" s="538"/>
      <c r="I18" s="545"/>
      <c r="K18" s="428">
        <v>12</v>
      </c>
      <c r="L18" s="425" t="e">
        <f>IF(EXACT(B18,#REF!),#REF!,"Different Name: "&amp;#REF!)</f>
        <v>#REF!</v>
      </c>
      <c r="M18" s="423">
        <f>IF(D18=0, 0%,(#REF!-D18)/D18)</f>
        <v>0</v>
      </c>
      <c r="N18" s="423">
        <f>IF(E18=0, 0%,(#REF!-E18)/E18)</f>
        <v>0</v>
      </c>
      <c r="O18" s="422" t="str">
        <f t="shared" si="0"/>
        <v>Pass</v>
      </c>
    </row>
    <row r="19" spans="1:15">
      <c r="A19" s="62"/>
      <c r="B19" s="536"/>
      <c r="C19" s="535"/>
      <c r="D19" s="535"/>
      <c r="E19" s="540"/>
      <c r="F19" s="540"/>
      <c r="G19" s="543"/>
      <c r="H19" s="542"/>
      <c r="I19" s="541"/>
      <c r="K19" s="428">
        <v>13</v>
      </c>
      <c r="L19" s="425" t="e">
        <f>IF(EXACT(B19,#REF!),#REF!,"Different Name: "&amp;#REF!)</f>
        <v>#REF!</v>
      </c>
      <c r="M19" s="423">
        <f>IF(D19=0, 0%,(#REF!-D19)/D19)</f>
        <v>0</v>
      </c>
      <c r="N19" s="423">
        <f>IF(E19=0, 0%,(#REF!-E19)/E19)</f>
        <v>0</v>
      </c>
      <c r="O19" s="422" t="str">
        <f t="shared" si="0"/>
        <v>Pass</v>
      </c>
    </row>
    <row r="20" spans="1:15">
      <c r="A20" s="62"/>
      <c r="B20" s="531"/>
      <c r="C20" s="530"/>
      <c r="D20" s="530"/>
      <c r="E20" s="529"/>
      <c r="F20" s="529"/>
      <c r="G20" s="539"/>
      <c r="H20" s="538"/>
      <c r="I20" s="537"/>
      <c r="K20" s="428">
        <v>14</v>
      </c>
      <c r="L20" s="425" t="e">
        <f>IF(EXACT(B20,#REF!),#REF!,"Different Name: "&amp;#REF!)</f>
        <v>#REF!</v>
      </c>
      <c r="M20" s="423">
        <f>IF(D20=0, 0%,(#REF!-D20)/D20)</f>
        <v>0</v>
      </c>
      <c r="N20" s="423">
        <f>IF(E20=0, 0%,(#REF!-E20)/E20)</f>
        <v>0</v>
      </c>
      <c r="O20" s="422" t="str">
        <f t="shared" si="0"/>
        <v>Pass</v>
      </c>
    </row>
    <row r="21" spans="1:15">
      <c r="A21" s="322"/>
      <c r="B21" s="536"/>
      <c r="C21" s="535"/>
      <c r="D21" s="535"/>
      <c r="E21" s="534"/>
      <c r="F21" s="534"/>
      <c r="G21" s="528"/>
      <c r="H21" s="527"/>
      <c r="I21" s="537"/>
      <c r="K21" s="428">
        <v>15</v>
      </c>
      <c r="L21" s="425" t="e">
        <f>IF(EXACT(B21,#REF!),#REF!,"Different Name: "&amp;#REF!)</f>
        <v>#REF!</v>
      </c>
      <c r="M21" s="423">
        <f>IF(D21=0, 0%,(#REF!-D21)/D21)</f>
        <v>0</v>
      </c>
      <c r="N21" s="423">
        <f>IF(E21=0, 0%,(#REF!-E21)/E21)</f>
        <v>0</v>
      </c>
      <c r="O21" s="422" t="str">
        <f t="shared" si="0"/>
        <v>Pass</v>
      </c>
    </row>
    <row r="22" spans="1:15">
      <c r="A22" s="322"/>
      <c r="B22" s="531"/>
      <c r="C22" s="530"/>
      <c r="D22" s="530"/>
      <c r="E22" s="529"/>
      <c r="F22" s="529"/>
      <c r="G22" s="533"/>
      <c r="H22" s="532"/>
      <c r="I22" s="532"/>
      <c r="K22" s="428">
        <v>16</v>
      </c>
      <c r="L22" s="425" t="e">
        <f>IF(EXACT(B22,#REF!),#REF!,"Different Name: "&amp;#REF!)</f>
        <v>#REF!</v>
      </c>
      <c r="M22" s="423">
        <f>IF(D22=0, 0%,(#REF!-D22)/D22)</f>
        <v>0</v>
      </c>
      <c r="N22" s="423">
        <f>IF(E22=0, 0%,(#REF!-E22)/E22)</f>
        <v>0</v>
      </c>
      <c r="O22" s="422" t="str">
        <f t="shared" si="0"/>
        <v>Pass</v>
      </c>
    </row>
    <row r="23" spans="1:15">
      <c r="A23" s="322"/>
      <c r="B23" s="37"/>
      <c r="C23" s="205"/>
      <c r="D23" s="205"/>
      <c r="E23" s="206"/>
      <c r="F23" s="206"/>
      <c r="G23" s="528"/>
      <c r="H23" s="527"/>
      <c r="I23" s="527"/>
      <c r="K23" s="428">
        <v>17</v>
      </c>
      <c r="L23" s="425" t="e">
        <f>IF(EXACT(B23,#REF!),#REF!,"Different Name: "&amp;#REF!)</f>
        <v>#REF!</v>
      </c>
      <c r="M23" s="423">
        <f>IF(D23=0, 0%,(#REF!-D23)/D23)</f>
        <v>0</v>
      </c>
      <c r="N23" s="423">
        <f>IF(E23=0, 0%,(#REF!-E23)/E23)</f>
        <v>0</v>
      </c>
      <c r="O23" s="422" t="str">
        <f t="shared" si="0"/>
        <v>Pass</v>
      </c>
    </row>
    <row r="24" spans="1:15">
      <c r="A24" s="322"/>
      <c r="B24" s="322"/>
      <c r="C24" s="205"/>
      <c r="D24" s="205"/>
      <c r="E24" s="206"/>
      <c r="F24" s="206"/>
      <c r="G24" s="242"/>
      <c r="H24" s="309"/>
      <c r="I24" s="251"/>
      <c r="K24" s="428">
        <v>18</v>
      </c>
      <c r="L24" s="425" t="e">
        <f>IF(EXACT(B24,#REF!),#REF!,"Different Name: "&amp;#REF!)</f>
        <v>#REF!</v>
      </c>
      <c r="M24" s="423">
        <f>IF(D24=0, 0%,(#REF!-D24)/D24)</f>
        <v>0</v>
      </c>
      <c r="N24" s="423">
        <f>IF(E24=0, 0%,(#REF!-E24)/E24)</f>
        <v>0</v>
      </c>
      <c r="O24" s="422" t="str">
        <f t="shared" si="0"/>
        <v>Pass</v>
      </c>
    </row>
    <row r="25" spans="1:15">
      <c r="A25" s="322"/>
      <c r="B25" s="322"/>
      <c r="C25" s="205"/>
      <c r="D25" s="205"/>
      <c r="E25" s="206"/>
      <c r="F25" s="206"/>
      <c r="G25" s="242"/>
      <c r="H25" s="309"/>
      <c r="I25" s="251"/>
      <c r="K25" s="428">
        <v>19</v>
      </c>
      <c r="L25" s="425" t="e">
        <f>IF(EXACT(B25,#REF!),#REF!,"Different Name: "&amp;#REF!)</f>
        <v>#REF!</v>
      </c>
      <c r="M25" s="423">
        <f>IF(D25=0, 0%,(#REF!-D25)/D25)</f>
        <v>0</v>
      </c>
      <c r="N25" s="423">
        <f>IF(E25=0, 0%,(#REF!-E25)/E25)</f>
        <v>0</v>
      </c>
      <c r="O25" s="422" t="str">
        <f t="shared" si="0"/>
        <v>Pass</v>
      </c>
    </row>
    <row r="26" spans="1:15" s="452" customFormat="1">
      <c r="A26" s="322"/>
      <c r="B26" s="322"/>
      <c r="C26" s="205"/>
      <c r="D26" s="205"/>
      <c r="E26" s="206"/>
      <c r="F26" s="206"/>
      <c r="G26" s="242"/>
      <c r="H26" s="309"/>
      <c r="I26" s="251"/>
      <c r="K26" s="428">
        <v>20</v>
      </c>
      <c r="L26" s="425" t="e">
        <f>IF(EXACT(B26,#REF!),#REF!,"Different Name: "&amp;#REF!)</f>
        <v>#REF!</v>
      </c>
      <c r="M26" s="423">
        <f>IF(D26=0, 0%,(#REF!-D26)/D26)</f>
        <v>0</v>
      </c>
      <c r="N26" s="423">
        <f>IF(E26=0, 0%,(#REF!-E26)/E26)</f>
        <v>0</v>
      </c>
      <c r="O26" s="422" t="str">
        <f t="shared" si="0"/>
        <v>Pass</v>
      </c>
    </row>
    <row r="27" spans="1:15" s="452" customFormat="1">
      <c r="A27" s="322"/>
      <c r="B27" s="205"/>
      <c r="C27" s="193"/>
      <c r="D27" s="193"/>
      <c r="E27" s="250"/>
      <c r="F27" s="250"/>
      <c r="G27" s="242"/>
      <c r="H27" s="309"/>
      <c r="I27" s="251"/>
      <c r="K27" s="464"/>
      <c r="L27" s="453"/>
      <c r="M27" s="466"/>
      <c r="N27" s="463"/>
      <c r="O27" s="422"/>
    </row>
    <row r="28" spans="1:15" s="452" customFormat="1">
      <c r="A28" s="322"/>
      <c r="B28" s="205"/>
      <c r="C28" s="193"/>
      <c r="D28" s="193"/>
      <c r="E28" s="250"/>
      <c r="F28" s="250"/>
      <c r="G28" s="322"/>
      <c r="H28" s="309"/>
      <c r="I28" s="251"/>
      <c r="K28" s="464"/>
      <c r="L28" s="453"/>
      <c r="M28" s="407"/>
      <c r="N28" s="407"/>
      <c r="O28" s="462"/>
    </row>
    <row r="29" spans="1:15">
      <c r="A29" s="322"/>
      <c r="B29" s="205"/>
      <c r="C29" s="193"/>
      <c r="D29" s="193"/>
      <c r="E29" s="250"/>
      <c r="F29" s="250"/>
      <c r="G29" s="322"/>
      <c r="H29" s="309"/>
      <c r="I29" s="251"/>
      <c r="K29" s="464"/>
      <c r="L29" s="453"/>
      <c r="M29" s="409"/>
      <c r="N29" s="409"/>
      <c r="O29" s="462"/>
    </row>
    <row r="31" spans="1:15" ht="15" customHeight="1">
      <c r="A31" s="767" t="s">
        <v>341</v>
      </c>
      <c r="B31" s="767"/>
      <c r="C31" s="767"/>
      <c r="D31" s="767"/>
      <c r="E31" s="767"/>
      <c r="F31" s="767"/>
      <c r="G31" s="767"/>
      <c r="H31" s="767"/>
      <c r="I31" s="767"/>
      <c r="J31" s="767"/>
      <c r="K31" s="767"/>
      <c r="L31" s="767"/>
      <c r="M31" s="767"/>
      <c r="N31" s="767"/>
      <c r="O31" s="767"/>
    </row>
    <row r="32" spans="1:15" s="450" customFormat="1" ht="15"/>
    <row r="33" spans="1:15">
      <c r="A33" s="411" t="s">
        <v>32</v>
      </c>
      <c r="B33" s="89" t="s">
        <v>386</v>
      </c>
      <c r="C33" s="411" t="s">
        <v>23</v>
      </c>
      <c r="D33" s="411" t="s">
        <v>351</v>
      </c>
      <c r="E33" s="525" t="s">
        <v>22</v>
      </c>
      <c r="F33" s="525" t="s">
        <v>352</v>
      </c>
      <c r="G33" s="411" t="s">
        <v>21</v>
      </c>
      <c r="H33" s="526" t="s">
        <v>337</v>
      </c>
      <c r="I33" s="445"/>
      <c r="K33" s="411" t="s">
        <v>32</v>
      </c>
      <c r="L33" s="89" t="s">
        <v>386</v>
      </c>
      <c r="M33" s="411" t="s">
        <v>23</v>
      </c>
      <c r="N33" s="525" t="s">
        <v>22</v>
      </c>
      <c r="O33" s="442" t="s">
        <v>399</v>
      </c>
    </row>
    <row r="34" spans="1:15">
      <c r="A34" s="115"/>
      <c r="B34" s="254"/>
      <c r="C34" s="258"/>
      <c r="D34" s="258"/>
      <c r="E34" s="256"/>
      <c r="F34" s="256"/>
      <c r="G34" s="40"/>
      <c r="H34" s="259"/>
      <c r="I34" s="524"/>
      <c r="K34" s="428">
        <v>1</v>
      </c>
      <c r="L34" s="425" t="e">
        <f>IF(EXACT(B34,#REF!),#REF!,"Different Name: "&amp;#REF!)</f>
        <v>#REF!</v>
      </c>
      <c r="M34" s="423">
        <f>IF('Top 20 Trending'!D34=0, 0%,(#REF!-'Top 20 Trending'!D34)/'Top 20 Trending'!D34)</f>
        <v>0</v>
      </c>
      <c r="N34" s="423">
        <f>IF('Top 20 Trending'!E34=0, 0%,(#REF!-'Top 20 Trending'!E34)/'Top 20 Trending'!E34)</f>
        <v>0</v>
      </c>
      <c r="O34" s="422" t="str">
        <f t="shared" ref="O34:O53" si="1">IF(AND(M34&lt;10%,N34&lt;10%,M34&gt;-10%,N34&gt;-10%),"Pass","Fail")</f>
        <v>Pass</v>
      </c>
    </row>
    <row r="35" spans="1:15">
      <c r="A35" s="115"/>
      <c r="B35" s="254"/>
      <c r="C35" s="258"/>
      <c r="D35" s="258"/>
      <c r="E35" s="256"/>
      <c r="F35" s="256"/>
      <c r="G35" s="40"/>
      <c r="H35" s="259"/>
      <c r="I35" s="524"/>
      <c r="K35" s="428">
        <v>2</v>
      </c>
      <c r="L35" s="425" t="e">
        <f>IF(EXACT(B35,#REF!),#REF!,"Different Name: "&amp;#REF!)</f>
        <v>#REF!</v>
      </c>
      <c r="M35" s="423">
        <f>IF('Top 20 Trending'!D35=0, 0%,(#REF!-'Top 20 Trending'!D35)/'Top 20 Trending'!D35)</f>
        <v>0</v>
      </c>
      <c r="N35" s="423">
        <f>IF('Top 20 Trending'!E35=0, 0%,(#REF!-'Top 20 Trending'!E35)/'Top 20 Trending'!E35)</f>
        <v>0</v>
      </c>
      <c r="O35" s="422" t="str">
        <f t="shared" si="1"/>
        <v>Pass</v>
      </c>
    </row>
    <row r="36" spans="1:15">
      <c r="A36" s="115"/>
      <c r="B36" s="254"/>
      <c r="C36" s="258"/>
      <c r="D36" s="258"/>
      <c r="E36" s="256"/>
      <c r="F36" s="256"/>
      <c r="G36" s="40"/>
      <c r="H36" s="259"/>
      <c r="I36" s="524"/>
      <c r="K36" s="428">
        <v>3</v>
      </c>
      <c r="L36" s="425" t="e">
        <f>IF(EXACT(B36,#REF!),#REF!,"Different Name: "&amp;#REF!)</f>
        <v>#REF!</v>
      </c>
      <c r="M36" s="423">
        <f>IF('Top 20 Trending'!D36=0, 0%,(#REF!-'Top 20 Trending'!D36)/'Top 20 Trending'!D36)</f>
        <v>0</v>
      </c>
      <c r="N36" s="423">
        <f>IF('Top 20 Trending'!E36=0, 0%,(#REF!-'Top 20 Trending'!E36)/'Top 20 Trending'!E36)</f>
        <v>0</v>
      </c>
      <c r="O36" s="422" t="str">
        <f t="shared" si="1"/>
        <v>Pass</v>
      </c>
    </row>
    <row r="37" spans="1:15">
      <c r="A37" s="115"/>
      <c r="B37" s="254"/>
      <c r="C37" s="258"/>
      <c r="D37" s="258"/>
      <c r="E37" s="256"/>
      <c r="F37" s="256"/>
      <c r="G37" s="40"/>
      <c r="H37" s="259"/>
      <c r="I37" s="524"/>
      <c r="K37" s="428">
        <v>4</v>
      </c>
      <c r="L37" s="425" t="e">
        <f>IF(EXACT(B37,#REF!),#REF!,"Different Name: "&amp;#REF!)</f>
        <v>#REF!</v>
      </c>
      <c r="M37" s="423">
        <f>IF('Top 20 Trending'!D37=0, 0%,(#REF!-'Top 20 Trending'!D37)/'Top 20 Trending'!D37)</f>
        <v>0</v>
      </c>
      <c r="N37" s="423">
        <f>IF('Top 20 Trending'!E37=0, 0%,(#REF!-'Top 20 Trending'!E37)/'Top 20 Trending'!E37)</f>
        <v>0</v>
      </c>
      <c r="O37" s="422" t="str">
        <f t="shared" si="1"/>
        <v>Pass</v>
      </c>
    </row>
    <row r="38" spans="1:15">
      <c r="A38" s="115"/>
      <c r="B38" s="254"/>
      <c r="C38" s="258"/>
      <c r="D38" s="258"/>
      <c r="E38" s="256"/>
      <c r="F38" s="256"/>
      <c r="G38" s="40"/>
      <c r="H38" s="259"/>
      <c r="I38" s="524"/>
      <c r="K38" s="428">
        <v>5</v>
      </c>
      <c r="L38" s="425" t="e">
        <f>IF(EXACT(B38,#REF!),#REF!,"Different Name: "&amp;#REF!)</f>
        <v>#REF!</v>
      </c>
      <c r="M38" s="423">
        <f>IF('Top 20 Trending'!D38=0, 0%,(#REF!-'Top 20 Trending'!D38)/'Top 20 Trending'!D38)</f>
        <v>0</v>
      </c>
      <c r="N38" s="423">
        <f>IF('Top 20 Trending'!E38=0, 0%,(#REF!-'Top 20 Trending'!E38)/'Top 20 Trending'!E38)</f>
        <v>0</v>
      </c>
      <c r="O38" s="422" t="str">
        <f t="shared" si="1"/>
        <v>Pass</v>
      </c>
    </row>
    <row r="39" spans="1:15">
      <c r="A39" s="115"/>
      <c r="B39" s="254"/>
      <c r="C39" s="258"/>
      <c r="D39" s="258"/>
      <c r="E39" s="256"/>
      <c r="F39" s="256"/>
      <c r="G39" s="40"/>
      <c r="H39" s="259"/>
      <c r="I39" s="524"/>
      <c r="K39" s="428">
        <v>6</v>
      </c>
      <c r="L39" s="425" t="e">
        <f>IF(EXACT(B39,#REF!),#REF!,"Different Name: "&amp;#REF!)</f>
        <v>#REF!</v>
      </c>
      <c r="M39" s="423">
        <f>IF('Top 20 Trending'!D39=0, 0%,(#REF!-'Top 20 Trending'!D39)/'Top 20 Trending'!D39)</f>
        <v>0</v>
      </c>
      <c r="N39" s="423">
        <f>IF('Top 20 Trending'!E39=0, 0%,(#REF!-'Top 20 Trending'!E39)/'Top 20 Trending'!E39)</f>
        <v>0</v>
      </c>
      <c r="O39" s="422" t="str">
        <f t="shared" si="1"/>
        <v>Pass</v>
      </c>
    </row>
    <row r="40" spans="1:15" s="432" customFormat="1">
      <c r="A40" s="113"/>
      <c r="B40" s="254"/>
      <c r="C40" s="258"/>
      <c r="D40" s="258"/>
      <c r="E40" s="256"/>
      <c r="F40" s="256"/>
      <c r="G40" s="40"/>
      <c r="H40" s="259"/>
      <c r="I40" s="524"/>
      <c r="K40" s="428">
        <v>7</v>
      </c>
      <c r="L40" s="425" t="e">
        <f>IF(EXACT(B40,#REF!),#REF!,"Different Name: "&amp;#REF!)</f>
        <v>#REF!</v>
      </c>
      <c r="M40" s="423">
        <f>IF('Top 20 Trending'!D40=0, 0%,(#REF!-'Top 20 Trending'!D40)/'Top 20 Trending'!D40)</f>
        <v>0</v>
      </c>
      <c r="N40" s="423">
        <f>IF('Top 20 Trending'!E40=0, 0%,(#REF!-'Top 20 Trending'!E40)/'Top 20 Trending'!E40)</f>
        <v>0</v>
      </c>
      <c r="O40" s="422" t="str">
        <f t="shared" si="1"/>
        <v>Pass</v>
      </c>
    </row>
    <row r="41" spans="1:15">
      <c r="A41" s="115"/>
      <c r="B41" s="254"/>
      <c r="C41" s="258"/>
      <c r="D41" s="258"/>
      <c r="E41" s="256"/>
      <c r="F41" s="256"/>
      <c r="G41" s="40"/>
      <c r="H41" s="259"/>
      <c r="I41" s="524"/>
      <c r="K41" s="428">
        <v>8</v>
      </c>
      <c r="L41" s="425" t="e">
        <f>IF(EXACT(B41,#REF!),#REF!,"Different Name: "&amp;#REF!)</f>
        <v>#REF!</v>
      </c>
      <c r="M41" s="423">
        <f>IF('Top 20 Trending'!D41=0, 0%,(#REF!-'Top 20 Trending'!D41)/'Top 20 Trending'!D41)</f>
        <v>0</v>
      </c>
      <c r="N41" s="423">
        <f>IF('Top 20 Trending'!E41=0, 0%,(#REF!-'Top 20 Trending'!E41)/'Top 20 Trending'!E41)</f>
        <v>0</v>
      </c>
      <c r="O41" s="422" t="str">
        <f t="shared" si="1"/>
        <v>Pass</v>
      </c>
    </row>
    <row r="42" spans="1:15">
      <c r="A42" s="115"/>
      <c r="B42" s="254"/>
      <c r="C42" s="258"/>
      <c r="D42" s="258"/>
      <c r="E42" s="256"/>
      <c r="F42" s="256"/>
      <c r="G42" s="40"/>
      <c r="H42" s="259"/>
      <c r="I42" s="524"/>
      <c r="K42" s="428">
        <v>9</v>
      </c>
      <c r="L42" s="425" t="e">
        <f>IF(EXACT(B42,#REF!),#REF!,"Different Name: "&amp;#REF!)</f>
        <v>#REF!</v>
      </c>
      <c r="M42" s="423">
        <f>IF('Top 20 Trending'!D42=0, 0%,(#REF!-'Top 20 Trending'!D42)/'Top 20 Trending'!D42)</f>
        <v>0</v>
      </c>
      <c r="N42" s="423">
        <f>IF('Top 20 Trending'!E42=0, 0%,(#REF!-'Top 20 Trending'!E42)/'Top 20 Trending'!E42)</f>
        <v>0</v>
      </c>
      <c r="O42" s="422" t="str">
        <f t="shared" si="1"/>
        <v>Pass</v>
      </c>
    </row>
    <row r="43" spans="1:15">
      <c r="A43" s="115"/>
      <c r="B43" s="254"/>
      <c r="C43" s="258"/>
      <c r="D43" s="258"/>
      <c r="E43" s="256"/>
      <c r="F43" s="256"/>
      <c r="G43" s="40"/>
      <c r="H43" s="259"/>
      <c r="I43" s="524"/>
      <c r="K43" s="428">
        <v>10</v>
      </c>
      <c r="L43" s="425" t="e">
        <f>IF(EXACT(B43,#REF!),#REF!,"Different Name: "&amp;#REF!)</f>
        <v>#REF!</v>
      </c>
      <c r="M43" s="423">
        <f>IF('Top 20 Trending'!D43=0, 0%,(#REF!-'Top 20 Trending'!D43)/'Top 20 Trending'!D43)</f>
        <v>0</v>
      </c>
      <c r="N43" s="423">
        <f>IF('Top 20 Trending'!E43=0, 0%,(#REF!-'Top 20 Trending'!E43)/'Top 20 Trending'!E43)</f>
        <v>0</v>
      </c>
      <c r="O43" s="422" t="str">
        <f t="shared" si="1"/>
        <v>Pass</v>
      </c>
    </row>
    <row r="44" spans="1:15" s="432" customFormat="1">
      <c r="A44" s="113"/>
      <c r="B44" s="254"/>
      <c r="C44" s="258"/>
      <c r="D44" s="258"/>
      <c r="E44" s="256"/>
      <c r="F44" s="256"/>
      <c r="G44" s="40"/>
      <c r="H44" s="259"/>
      <c r="I44" s="524"/>
      <c r="K44" s="428">
        <v>11</v>
      </c>
      <c r="L44" s="425" t="e">
        <f>IF(EXACT(B44,#REF!),#REF!,"Different Name: "&amp;#REF!)</f>
        <v>#REF!</v>
      </c>
      <c r="M44" s="423">
        <f>IF('Top 20 Trending'!D44=0, 0%,(#REF!-'Top 20 Trending'!D44)/'Top 20 Trending'!D44)</f>
        <v>0</v>
      </c>
      <c r="N44" s="423">
        <f>IF('Top 20 Trending'!E44=0, 0%,(#REF!-'Top 20 Trending'!E44)/'Top 20 Trending'!E44)</f>
        <v>0</v>
      </c>
      <c r="O44" s="422" t="str">
        <f t="shared" si="1"/>
        <v>Pass</v>
      </c>
    </row>
    <row r="45" spans="1:15">
      <c r="A45" s="115"/>
      <c r="B45" s="254"/>
      <c r="C45" s="258"/>
      <c r="D45" s="258"/>
      <c r="E45" s="256"/>
      <c r="F45" s="256"/>
      <c r="G45" s="40"/>
      <c r="H45" s="259"/>
      <c r="I45" s="524"/>
      <c r="K45" s="428">
        <v>12</v>
      </c>
      <c r="L45" s="425" t="e">
        <f>IF(EXACT(B45,#REF!),#REF!,"Different Name: "&amp;#REF!)</f>
        <v>#REF!</v>
      </c>
      <c r="M45" s="423">
        <f>IF('Top 20 Trending'!D45=0, 0%,(#REF!-'Top 20 Trending'!D45)/'Top 20 Trending'!D45)</f>
        <v>0</v>
      </c>
      <c r="N45" s="423">
        <f>IF('Top 20 Trending'!E45=0, 0%,(#REF!-'Top 20 Trending'!E45)/'Top 20 Trending'!E45)</f>
        <v>0</v>
      </c>
      <c r="O45" s="422" t="str">
        <f t="shared" si="1"/>
        <v>Pass</v>
      </c>
    </row>
    <row r="46" spans="1:15">
      <c r="A46" s="115"/>
      <c r="B46" s="254"/>
      <c r="C46" s="258"/>
      <c r="D46" s="258"/>
      <c r="E46" s="256"/>
      <c r="F46" s="256"/>
      <c r="G46" s="40"/>
      <c r="H46" s="259"/>
      <c r="I46" s="524"/>
      <c r="K46" s="428">
        <v>13</v>
      </c>
      <c r="L46" s="425" t="e">
        <f>IF(EXACT(B46,#REF!),#REF!,"Different Name: "&amp;#REF!)</f>
        <v>#REF!</v>
      </c>
      <c r="M46" s="423">
        <f>IF('Top 20 Trending'!D46=0, 0%,(#REF!-'Top 20 Trending'!D46)/'Top 20 Trending'!D46)</f>
        <v>0</v>
      </c>
      <c r="N46" s="423">
        <f>IF('Top 20 Trending'!E46=0, 0%,(#REF!-'Top 20 Trending'!E46)/'Top 20 Trending'!E46)</f>
        <v>0</v>
      </c>
      <c r="O46" s="422" t="str">
        <f t="shared" si="1"/>
        <v>Pass</v>
      </c>
    </row>
    <row r="47" spans="1:15">
      <c r="A47" s="115"/>
      <c r="B47" s="254"/>
      <c r="C47" s="258"/>
      <c r="D47" s="258"/>
      <c r="E47" s="256"/>
      <c r="F47" s="256"/>
      <c r="G47" s="40"/>
      <c r="H47" s="259"/>
      <c r="I47" s="524"/>
      <c r="K47" s="428">
        <v>14</v>
      </c>
      <c r="L47" s="425" t="e">
        <f>IF(EXACT(B47,#REF!),#REF!,"Different Name: "&amp;#REF!)</f>
        <v>#REF!</v>
      </c>
      <c r="M47" s="423">
        <f>IF('Top 20 Trending'!D47=0, 0%,(#REF!-'Top 20 Trending'!D47)/'Top 20 Trending'!D47)</f>
        <v>0</v>
      </c>
      <c r="N47" s="423">
        <f>IF('Top 20 Trending'!E47=0, 0%,(#REF!-'Top 20 Trending'!E47)/'Top 20 Trending'!E47)</f>
        <v>0</v>
      </c>
      <c r="O47" s="422" t="str">
        <f t="shared" si="1"/>
        <v>Pass</v>
      </c>
    </row>
    <row r="48" spans="1:15" s="427" customFormat="1">
      <c r="A48" s="113"/>
      <c r="B48" s="195"/>
      <c r="C48" s="258"/>
      <c r="D48" s="258"/>
      <c r="E48" s="256"/>
      <c r="F48" s="256"/>
      <c r="G48" s="40"/>
      <c r="H48" s="259"/>
      <c r="I48" s="524"/>
      <c r="K48" s="428">
        <v>15</v>
      </c>
      <c r="L48" s="425" t="e">
        <f>IF(EXACT(B48,#REF!),#REF!,"Different Name: "&amp;#REF!)</f>
        <v>#REF!</v>
      </c>
      <c r="M48" s="423">
        <f>IF('Top 20 Trending'!D48=0, 0%,(#REF!-'Top 20 Trending'!D48)/'Top 20 Trending'!D48)</f>
        <v>0</v>
      </c>
      <c r="N48" s="423">
        <f>IF('Top 20 Trending'!E48=0, 0%,(#REF!-'Top 20 Trending'!E48)/'Top 20 Trending'!E48)</f>
        <v>0</v>
      </c>
      <c r="O48" s="422" t="str">
        <f t="shared" si="1"/>
        <v>Pass</v>
      </c>
    </row>
    <row r="49" spans="1:15" s="523" customFormat="1">
      <c r="A49" s="115"/>
      <c r="B49" s="195"/>
      <c r="C49" s="258"/>
      <c r="D49" s="258"/>
      <c r="E49" s="256"/>
      <c r="F49" s="256"/>
      <c r="G49" s="40"/>
      <c r="H49" s="259"/>
      <c r="I49" s="524"/>
      <c r="K49" s="428">
        <v>16</v>
      </c>
      <c r="L49" s="425" t="e">
        <f>IF(EXACT(B49,#REF!),#REF!,"Different Name: "&amp;#REF!)</f>
        <v>#REF!</v>
      </c>
      <c r="M49" s="423">
        <f>IF('Top 20 Trending'!D49=0, 0%,(#REF!-'Top 20 Trending'!D49)/'Top 20 Trending'!D49)</f>
        <v>0</v>
      </c>
      <c r="N49" s="423">
        <f>IF('Top 20 Trending'!E49=0, 0%,(#REF!-'Top 20 Trending'!E49)/'Top 20 Trending'!E49)</f>
        <v>0</v>
      </c>
      <c r="O49" s="422" t="str">
        <f t="shared" si="1"/>
        <v>Pass</v>
      </c>
    </row>
    <row r="50" spans="1:15" s="523" customFormat="1">
      <c r="A50" s="115"/>
      <c r="B50" s="195"/>
      <c r="C50" s="258"/>
      <c r="D50" s="258"/>
      <c r="E50" s="256"/>
      <c r="F50" s="256"/>
      <c r="G50" s="40"/>
      <c r="H50" s="259"/>
      <c r="I50" s="524"/>
      <c r="K50" s="428">
        <v>17</v>
      </c>
      <c r="L50" s="425" t="e">
        <f>IF(EXACT(B50,#REF!),#REF!,"Different Name: "&amp;#REF!)</f>
        <v>#REF!</v>
      </c>
      <c r="M50" s="423">
        <f>IF('Top 20 Trending'!D50=0, 0%,(#REF!-'Top 20 Trending'!D50)/'Top 20 Trending'!D50)</f>
        <v>0</v>
      </c>
      <c r="N50" s="423">
        <f>IF('Top 20 Trending'!E50=0, 0%,(#REF!-'Top 20 Trending'!E50)/'Top 20 Trending'!E50)</f>
        <v>0</v>
      </c>
      <c r="O50" s="422" t="str">
        <f t="shared" si="1"/>
        <v>Pass</v>
      </c>
    </row>
    <row r="51" spans="1:15" s="456" customFormat="1">
      <c r="A51" s="115"/>
      <c r="B51" s="195"/>
      <c r="C51" s="258"/>
      <c r="D51" s="258"/>
      <c r="E51" s="256"/>
      <c r="F51" s="256"/>
      <c r="G51" s="40"/>
      <c r="H51" s="259"/>
      <c r="I51" s="263"/>
      <c r="K51" s="428">
        <v>18</v>
      </c>
      <c r="L51" s="425" t="e">
        <f>IF(EXACT(B51,#REF!),#REF!,"Different Name: "&amp;#REF!)</f>
        <v>#REF!</v>
      </c>
      <c r="M51" s="423">
        <f>IF('Top 20 Trending'!D51=0, 0%,(#REF!-'Top 20 Trending'!D51)/'Top 20 Trending'!D51)</f>
        <v>0</v>
      </c>
      <c r="N51" s="423">
        <f>IF('Top 20 Trending'!E51=0, 0%,(#REF!-'Top 20 Trending'!E51)/'Top 20 Trending'!E51)</f>
        <v>0</v>
      </c>
      <c r="O51" s="422" t="str">
        <f t="shared" si="1"/>
        <v>Pass</v>
      </c>
    </row>
    <row r="52" spans="1:15" s="456" customFormat="1">
      <c r="A52" s="115"/>
      <c r="B52" s="195"/>
      <c r="C52" s="258"/>
      <c r="D52" s="258"/>
      <c r="E52" s="256"/>
      <c r="F52" s="256"/>
      <c r="G52" s="40"/>
      <c r="H52" s="259"/>
      <c r="I52" s="263"/>
      <c r="K52" s="428">
        <v>19</v>
      </c>
      <c r="L52" s="425" t="e">
        <f>IF(EXACT(B52,#REF!),#REF!,"Different Name: "&amp;#REF!)</f>
        <v>#REF!</v>
      </c>
      <c r="M52" s="423">
        <f>IF('Top 20 Trending'!D52=0, 0%,(#REF!-'Top 20 Trending'!D52)/'Top 20 Trending'!D52)</f>
        <v>0</v>
      </c>
      <c r="N52" s="423">
        <f>IF('Top 20 Trending'!E52=0, 0%,(#REF!-'Top 20 Trending'!E52)/'Top 20 Trending'!E52)</f>
        <v>0</v>
      </c>
      <c r="O52" s="422" t="str">
        <f t="shared" si="1"/>
        <v>Pass</v>
      </c>
    </row>
    <row r="53" spans="1:15" s="456" customFormat="1">
      <c r="A53" s="115"/>
      <c r="B53" s="195"/>
      <c r="C53" s="258"/>
      <c r="D53" s="258"/>
      <c r="E53" s="256"/>
      <c r="F53" s="256"/>
      <c r="G53" s="40"/>
      <c r="H53" s="259"/>
      <c r="I53" s="197"/>
      <c r="K53" s="428">
        <v>20</v>
      </c>
      <c r="L53" s="425" t="e">
        <f>IF(EXACT(B53,#REF!),#REF!,"Different Name: "&amp;#REF!)</f>
        <v>#REF!</v>
      </c>
      <c r="M53" s="423">
        <f>IF('Top 20 Trending'!D53=0, 0%,(#REF!-'Top 20 Trending'!D53)/'Top 20 Trending'!D53)</f>
        <v>0</v>
      </c>
      <c r="N53" s="423">
        <f>IF('Top 20 Trending'!E53=0, 0%,(#REF!-'Top 20 Trending'!E53)/'Top 20 Trending'!E53)</f>
        <v>0</v>
      </c>
      <c r="O53" s="422" t="str">
        <f t="shared" si="1"/>
        <v>Pass</v>
      </c>
    </row>
    <row r="54" spans="1:15" s="452" customFormat="1">
      <c r="A54" s="363"/>
      <c r="B54" s="19"/>
      <c r="C54" s="364"/>
      <c r="D54" s="364"/>
      <c r="E54" s="43"/>
      <c r="F54" s="43"/>
      <c r="G54" s="40"/>
      <c r="H54" s="259"/>
      <c r="I54" s="438"/>
      <c r="K54" s="464"/>
      <c r="L54" s="453"/>
      <c r="M54" s="466"/>
      <c r="N54" s="463"/>
      <c r="O54" s="422"/>
    </row>
    <row r="55" spans="1:15" s="452" customFormat="1">
      <c r="A55" s="115"/>
      <c r="B55" s="19"/>
      <c r="C55" s="365"/>
      <c r="D55" s="365"/>
      <c r="E55" s="364"/>
      <c r="F55" s="364"/>
      <c r="G55" s="366"/>
      <c r="H55" s="276"/>
      <c r="I55" s="438"/>
      <c r="K55" s="464"/>
      <c r="L55" s="453"/>
      <c r="M55" s="407"/>
      <c r="N55" s="407"/>
      <c r="O55" s="462"/>
    </row>
    <row r="56" spans="1:15" s="452" customFormat="1">
      <c r="A56" s="115"/>
      <c r="B56" s="19"/>
      <c r="C56" s="43"/>
      <c r="D56" s="43"/>
      <c r="E56" s="364"/>
      <c r="F56" s="364"/>
      <c r="G56" s="366"/>
      <c r="H56" s="276"/>
      <c r="I56" s="438"/>
      <c r="K56" s="464"/>
      <c r="L56" s="453"/>
      <c r="M56" s="409"/>
      <c r="N56" s="409"/>
      <c r="O56" s="462"/>
    </row>
    <row r="58" spans="1:15" ht="15" customHeight="1">
      <c r="A58" s="767" t="s">
        <v>387</v>
      </c>
      <c r="B58" s="767"/>
      <c r="C58" s="767"/>
      <c r="D58" s="767"/>
      <c r="E58" s="767"/>
      <c r="F58" s="767"/>
      <c r="G58" s="767"/>
      <c r="H58" s="767"/>
      <c r="I58" s="767"/>
      <c r="J58" s="767"/>
      <c r="K58" s="767"/>
      <c r="L58" s="767"/>
      <c r="M58" s="767"/>
      <c r="N58" s="767"/>
      <c r="O58" s="767"/>
    </row>
    <row r="60" spans="1:15">
      <c r="A60" s="412" t="s">
        <v>32</v>
      </c>
      <c r="B60" s="412" t="s">
        <v>388</v>
      </c>
      <c r="C60" s="412" t="s">
        <v>23</v>
      </c>
      <c r="D60" s="522" t="s">
        <v>22</v>
      </c>
      <c r="E60" s="521" t="s">
        <v>21</v>
      </c>
      <c r="F60" s="520" t="s">
        <v>337</v>
      </c>
      <c r="G60" s="445"/>
      <c r="H60" s="445"/>
      <c r="I60" s="445"/>
      <c r="K60" s="412" t="s">
        <v>32</v>
      </c>
      <c r="L60" s="412" t="s">
        <v>388</v>
      </c>
      <c r="M60" s="412" t="s">
        <v>23</v>
      </c>
      <c r="N60" s="443" t="s">
        <v>22</v>
      </c>
      <c r="O60" s="442" t="s">
        <v>399</v>
      </c>
    </row>
    <row r="61" spans="1:15" ht="12.75" customHeight="1">
      <c r="A61" s="519"/>
      <c r="B61" s="37"/>
      <c r="C61" s="287"/>
      <c r="D61" s="509"/>
      <c r="E61" s="288"/>
      <c r="F61" s="518"/>
      <c r="G61" s="322"/>
      <c r="H61" s="289"/>
      <c r="I61" s="289"/>
      <c r="K61" s="428">
        <v>1</v>
      </c>
      <c r="L61" s="425" t="e">
        <f>IF(EXACT(B61,#REF!),#REF!,"Different Name: "&amp;#REF!)</f>
        <v>#REF!</v>
      </c>
      <c r="M61" s="423">
        <f>IF('Top 20 Trending'!C61=0, 0%,(#REF!-'Top 20 Trending'!C61)/'Top 20 Trending'!C61)</f>
        <v>0</v>
      </c>
      <c r="N61" s="423">
        <f>IF('Top 20 Trending'!D61=0, 0%,(#REF!-'Top 20 Trending'!D61)/'Top 20 Trending'!D61)</f>
        <v>0</v>
      </c>
      <c r="O61" s="422" t="str">
        <f t="shared" ref="O61:O80" si="2">IF(AND(M61&lt;10%,N61&lt;10%,M61&gt;-10%,N61&gt;-10%),"Pass","Fail")</f>
        <v>Pass</v>
      </c>
    </row>
    <row r="62" spans="1:15">
      <c r="A62" s="512"/>
      <c r="B62" s="37"/>
      <c r="C62" s="287"/>
      <c r="D62" s="509"/>
      <c r="E62" s="288"/>
      <c r="F62" s="518"/>
      <c r="G62" s="322"/>
      <c r="H62" s="289"/>
      <c r="I62" s="289"/>
      <c r="K62" s="428">
        <v>2</v>
      </c>
      <c r="L62" s="425" t="e">
        <f>IF(EXACT(B62,#REF!),#REF!,"Different Name: "&amp;#REF!)</f>
        <v>#REF!</v>
      </c>
      <c r="M62" s="423">
        <f>IF('Top 20 Trending'!C62=0, 0%,(#REF!-'Top 20 Trending'!C62)/'Top 20 Trending'!C62)</f>
        <v>0</v>
      </c>
      <c r="N62" s="423">
        <f>IF('Top 20 Trending'!D62=0, 0%,(#REF!-'Top 20 Trending'!D62)/'Top 20 Trending'!D62)</f>
        <v>0</v>
      </c>
      <c r="O62" s="422" t="str">
        <f t="shared" si="2"/>
        <v>Pass</v>
      </c>
    </row>
    <row r="63" spans="1:15">
      <c r="A63" s="512"/>
      <c r="B63" s="37"/>
      <c r="C63" s="287"/>
      <c r="D63" s="509"/>
      <c r="E63" s="288"/>
      <c r="F63" s="518"/>
      <c r="G63" s="322"/>
      <c r="H63" s="289"/>
      <c r="I63" s="289"/>
      <c r="K63" s="428">
        <v>3</v>
      </c>
      <c r="L63" s="425" t="e">
        <f>IF(EXACT(B63,#REF!),#REF!,"Different Name: "&amp;#REF!)</f>
        <v>#REF!</v>
      </c>
      <c r="M63" s="423">
        <f>IF('Top 20 Trending'!C63=0, 0%,(#REF!-'Top 20 Trending'!C63)/'Top 20 Trending'!C63)</f>
        <v>0</v>
      </c>
      <c r="N63" s="423">
        <f>IF('Top 20 Trending'!D63=0, 0%,(#REF!-'Top 20 Trending'!D63)/'Top 20 Trending'!D63)</f>
        <v>0</v>
      </c>
      <c r="O63" s="422" t="str">
        <f t="shared" si="2"/>
        <v>Pass</v>
      </c>
    </row>
    <row r="64" spans="1:15" ht="12.75" customHeight="1">
      <c r="A64" s="512"/>
      <c r="B64" s="37"/>
      <c r="C64" s="287"/>
      <c r="D64" s="509"/>
      <c r="E64" s="288"/>
      <c r="F64" s="518"/>
      <c r="G64" s="322"/>
      <c r="H64" s="289"/>
      <c r="I64" s="289"/>
      <c r="K64" s="428">
        <v>4</v>
      </c>
      <c r="L64" s="425" t="e">
        <f>IF(EXACT(B64,#REF!),#REF!,"Different Name: "&amp;#REF!)</f>
        <v>#REF!</v>
      </c>
      <c r="M64" s="423">
        <f>IF('Top 20 Trending'!C64=0, 0%,(#REF!-'Top 20 Trending'!C64)/'Top 20 Trending'!C64)</f>
        <v>0</v>
      </c>
      <c r="N64" s="423">
        <f>IF('Top 20 Trending'!D64=0, 0%,(#REF!-'Top 20 Trending'!D64)/'Top 20 Trending'!D64)</f>
        <v>0</v>
      </c>
      <c r="O64" s="422" t="str">
        <f t="shared" si="2"/>
        <v>Pass</v>
      </c>
    </row>
    <row r="65" spans="1:15" ht="12.75" customHeight="1">
      <c r="A65" s="512"/>
      <c r="B65" s="37"/>
      <c r="C65" s="287"/>
      <c r="D65" s="509"/>
      <c r="E65" s="288"/>
      <c r="F65" s="518"/>
      <c r="G65" s="322"/>
      <c r="H65" s="289"/>
      <c r="I65" s="289"/>
      <c r="K65" s="428">
        <v>5</v>
      </c>
      <c r="L65" s="425" t="e">
        <f>IF(EXACT(B65,#REF!),#REF!,"Different Name: "&amp;#REF!)</f>
        <v>#REF!</v>
      </c>
      <c r="M65" s="423">
        <f>IF('Top 20 Trending'!C65=0, 0%,(#REF!-'Top 20 Trending'!C65)/'Top 20 Trending'!C65)</f>
        <v>0</v>
      </c>
      <c r="N65" s="423">
        <f>IF('Top 20 Trending'!D65=0, 0%,(#REF!-'Top 20 Trending'!D65)/'Top 20 Trending'!D65)</f>
        <v>0</v>
      </c>
      <c r="O65" s="422" t="str">
        <f t="shared" si="2"/>
        <v>Pass</v>
      </c>
    </row>
    <row r="66" spans="1:15">
      <c r="A66" s="512"/>
      <c r="B66" s="37"/>
      <c r="C66" s="287"/>
      <c r="D66" s="509"/>
      <c r="E66" s="288"/>
      <c r="F66" s="518"/>
      <c r="G66" s="322"/>
      <c r="H66" s="289"/>
      <c r="I66" s="289"/>
      <c r="K66" s="428">
        <v>6</v>
      </c>
      <c r="L66" s="425" t="e">
        <f>IF(EXACT(B66,#REF!),#REF!,"Different Name: "&amp;#REF!)</f>
        <v>#REF!</v>
      </c>
      <c r="M66" s="423">
        <f>IF('Top 20 Trending'!C66=0, 0%,(#REF!-'Top 20 Trending'!C66)/'Top 20 Trending'!C66)</f>
        <v>0</v>
      </c>
      <c r="N66" s="423">
        <f>IF('Top 20 Trending'!D66=0, 0%,(#REF!-'Top 20 Trending'!D66)/'Top 20 Trending'!D66)</f>
        <v>0</v>
      </c>
      <c r="O66" s="422" t="str">
        <f t="shared" si="2"/>
        <v>Pass</v>
      </c>
    </row>
    <row r="67" spans="1:15">
      <c r="A67" s="512"/>
      <c r="B67" s="37"/>
      <c r="C67" s="287"/>
      <c r="D67" s="509"/>
      <c r="E67" s="288"/>
      <c r="F67" s="518"/>
      <c r="G67" s="322"/>
      <c r="H67" s="289"/>
      <c r="I67" s="289"/>
      <c r="K67" s="428">
        <v>7</v>
      </c>
      <c r="L67" s="425" t="e">
        <f>IF(EXACT(B67,#REF!),#REF!,"Different Name: "&amp;#REF!)</f>
        <v>#REF!</v>
      </c>
      <c r="M67" s="423">
        <f>IF('Top 20 Trending'!C67=0, 0%,(#REF!-'Top 20 Trending'!C67)/'Top 20 Trending'!C67)</f>
        <v>0</v>
      </c>
      <c r="N67" s="423">
        <f>IF('Top 20 Trending'!D67=0, 0%,(#REF!-'Top 20 Trending'!D67)/'Top 20 Trending'!D67)</f>
        <v>0</v>
      </c>
      <c r="O67" s="422" t="str">
        <f t="shared" si="2"/>
        <v>Pass</v>
      </c>
    </row>
    <row r="68" spans="1:15" ht="12.75" customHeight="1">
      <c r="A68" s="512"/>
      <c r="B68" s="37"/>
      <c r="C68" s="287"/>
      <c r="D68" s="509"/>
      <c r="E68" s="288"/>
      <c r="F68" s="518"/>
      <c r="G68" s="322"/>
      <c r="H68" s="289"/>
      <c r="I68" s="289"/>
      <c r="K68" s="428">
        <v>8</v>
      </c>
      <c r="L68" s="425" t="e">
        <f>IF(EXACT(B68,#REF!),#REF!,"Different Name: "&amp;#REF!)</f>
        <v>#REF!</v>
      </c>
      <c r="M68" s="423">
        <f>IF('Top 20 Trending'!C68=0, 0%,(#REF!-'Top 20 Trending'!C68)/'Top 20 Trending'!C68)</f>
        <v>0</v>
      </c>
      <c r="N68" s="423">
        <f>IF('Top 20 Trending'!D68=0, 0%,(#REF!-'Top 20 Trending'!D68)/'Top 20 Trending'!D68)</f>
        <v>0</v>
      </c>
      <c r="O68" s="422" t="str">
        <f t="shared" si="2"/>
        <v>Pass</v>
      </c>
    </row>
    <row r="69" spans="1:15">
      <c r="A69" s="512"/>
      <c r="B69" s="37"/>
      <c r="C69" s="287"/>
      <c r="D69" s="509"/>
      <c r="E69" s="288"/>
      <c r="F69" s="518"/>
      <c r="G69" s="322"/>
      <c r="H69" s="289"/>
      <c r="I69" s="289"/>
      <c r="K69" s="428">
        <v>9</v>
      </c>
      <c r="L69" s="425" t="e">
        <f>IF(EXACT(B69,#REF!),#REF!,"Different Name: "&amp;#REF!)</f>
        <v>#REF!</v>
      </c>
      <c r="M69" s="423">
        <f>IF('Top 20 Trending'!C69=0, 0%,(#REF!-'Top 20 Trending'!C69)/'Top 20 Trending'!C69)</f>
        <v>0</v>
      </c>
      <c r="N69" s="423">
        <f>IF('Top 20 Trending'!D69=0, 0%,(#REF!-'Top 20 Trending'!D69)/'Top 20 Trending'!D69)</f>
        <v>0</v>
      </c>
      <c r="O69" s="422" t="str">
        <f t="shared" si="2"/>
        <v>Pass</v>
      </c>
    </row>
    <row r="70" spans="1:15">
      <c r="A70" s="512"/>
      <c r="B70" s="37"/>
      <c r="C70" s="287"/>
      <c r="D70" s="509"/>
      <c r="E70" s="288"/>
      <c r="F70" s="518"/>
      <c r="G70" s="322"/>
      <c r="H70" s="289"/>
      <c r="I70" s="289"/>
      <c r="K70" s="428">
        <v>10</v>
      </c>
      <c r="L70" s="425" t="e">
        <f>IF(EXACT(B70,#REF!),#REF!,"Different Name: "&amp;#REF!)</f>
        <v>#REF!</v>
      </c>
      <c r="M70" s="423">
        <f>IF('Top 20 Trending'!C70=0, 0%,(#REF!-'Top 20 Trending'!C70)/'Top 20 Trending'!C70)</f>
        <v>0</v>
      </c>
      <c r="N70" s="423">
        <f>IF('Top 20 Trending'!D70=0, 0%,(#REF!-'Top 20 Trending'!D70)/'Top 20 Trending'!D70)</f>
        <v>0</v>
      </c>
      <c r="O70" s="422" t="str">
        <f t="shared" si="2"/>
        <v>Pass</v>
      </c>
    </row>
    <row r="71" spans="1:15" ht="12.75" customHeight="1">
      <c r="A71" s="512"/>
      <c r="B71" s="37"/>
      <c r="C71" s="287"/>
      <c r="D71" s="509"/>
      <c r="E71" s="288"/>
      <c r="F71" s="518"/>
      <c r="G71" s="322"/>
      <c r="H71" s="289"/>
      <c r="I71" s="289"/>
      <c r="K71" s="428">
        <v>11</v>
      </c>
      <c r="L71" s="425" t="e">
        <f>IF(EXACT(B71,#REF!),#REF!,"Different Name: "&amp;#REF!)</f>
        <v>#REF!</v>
      </c>
      <c r="M71" s="423">
        <f>IF('Top 20 Trending'!C71=0, 0%,(#REF!-'Top 20 Trending'!C71)/'Top 20 Trending'!C71)</f>
        <v>0</v>
      </c>
      <c r="N71" s="423">
        <f>IF('Top 20 Trending'!D71=0, 0%,(#REF!-'Top 20 Trending'!D71)/'Top 20 Trending'!D71)</f>
        <v>0</v>
      </c>
      <c r="O71" s="422" t="str">
        <f t="shared" si="2"/>
        <v>Pass</v>
      </c>
    </row>
    <row r="72" spans="1:15">
      <c r="A72" s="512"/>
      <c r="B72" s="37"/>
      <c r="C72" s="287"/>
      <c r="D72" s="509"/>
      <c r="E72" s="288"/>
      <c r="F72" s="518"/>
      <c r="G72" s="322"/>
      <c r="H72" s="289"/>
      <c r="I72" s="289"/>
      <c r="K72" s="428">
        <v>12</v>
      </c>
      <c r="L72" s="425" t="e">
        <f>IF(EXACT(B72,#REF!),#REF!,"Different Name: "&amp;#REF!)</f>
        <v>#REF!</v>
      </c>
      <c r="M72" s="423">
        <f>IF('Top 20 Trending'!C72=0, 0%,(#REF!-'Top 20 Trending'!C72)/'Top 20 Trending'!C72)</f>
        <v>0</v>
      </c>
      <c r="N72" s="423">
        <f>IF('Top 20 Trending'!D72=0, 0%,(#REF!-'Top 20 Trending'!D72)/'Top 20 Trending'!D72)</f>
        <v>0</v>
      </c>
      <c r="O72" s="422" t="str">
        <f t="shared" si="2"/>
        <v>Pass</v>
      </c>
    </row>
    <row r="73" spans="1:15">
      <c r="A73" s="512"/>
      <c r="B73" s="37"/>
      <c r="C73" s="287"/>
      <c r="D73" s="509"/>
      <c r="E73" s="288"/>
      <c r="F73" s="518"/>
      <c r="G73" s="322"/>
      <c r="H73" s="289"/>
      <c r="I73" s="289"/>
      <c r="K73" s="428">
        <v>13</v>
      </c>
      <c r="L73" s="425" t="e">
        <f>IF(EXACT(B73,#REF!),#REF!,"Different Name: "&amp;#REF!)</f>
        <v>#REF!</v>
      </c>
      <c r="M73" s="423">
        <f>IF('Top 20 Trending'!C73=0, 0%,(#REF!-'Top 20 Trending'!C73)/'Top 20 Trending'!C73)</f>
        <v>0</v>
      </c>
      <c r="N73" s="423">
        <f>IF('Top 20 Trending'!D73=0, 0%,(#REF!-'Top 20 Trending'!D73)/'Top 20 Trending'!D73)</f>
        <v>0</v>
      </c>
      <c r="O73" s="422" t="str">
        <f t="shared" si="2"/>
        <v>Pass</v>
      </c>
    </row>
    <row r="74" spans="1:15" ht="12.75" customHeight="1">
      <c r="A74" s="512"/>
      <c r="B74" s="322"/>
      <c r="C74" s="287"/>
      <c r="D74" s="509"/>
      <c r="E74" s="288"/>
      <c r="F74" s="518"/>
      <c r="G74" s="322"/>
      <c r="H74" s="289"/>
      <c r="I74" s="289"/>
      <c r="K74" s="428">
        <v>14</v>
      </c>
      <c r="L74" s="425" t="e">
        <f>IF(EXACT(B74,#REF!),#REF!,"Different Name: "&amp;#REF!)</f>
        <v>#REF!</v>
      </c>
      <c r="M74" s="423">
        <f>IF('Top 20 Trending'!C74=0, 0%,(#REF!-'Top 20 Trending'!C74)/'Top 20 Trending'!C74)</f>
        <v>0</v>
      </c>
      <c r="N74" s="423">
        <f>IF('Top 20 Trending'!D74=0, 0%,(#REF!-'Top 20 Trending'!D74)/'Top 20 Trending'!D74)</f>
        <v>0</v>
      </c>
      <c r="O74" s="422" t="str">
        <f t="shared" si="2"/>
        <v>Pass</v>
      </c>
    </row>
    <row r="75" spans="1:15" ht="12.75" customHeight="1">
      <c r="A75" s="512"/>
      <c r="B75" s="514"/>
      <c r="C75" s="287"/>
      <c r="D75" s="509"/>
      <c r="E75" s="288"/>
      <c r="F75" s="518"/>
      <c r="G75" s="322"/>
      <c r="H75" s="289"/>
      <c r="I75" s="289"/>
      <c r="K75" s="428">
        <v>15</v>
      </c>
      <c r="L75" s="425" t="e">
        <f>IF(EXACT(B75,#REF!),#REF!,"Different Name: "&amp;#REF!)</f>
        <v>#REF!</v>
      </c>
      <c r="M75" s="423">
        <f>IF('Top 20 Trending'!C75=0, 0%,(#REF!-'Top 20 Trending'!C75)/'Top 20 Trending'!C75)</f>
        <v>0</v>
      </c>
      <c r="N75" s="423">
        <f>IF('Top 20 Trending'!D75=0, 0%,(#REF!-'Top 20 Trending'!D75)/'Top 20 Trending'!D75)</f>
        <v>0</v>
      </c>
      <c r="O75" s="422" t="str">
        <f t="shared" si="2"/>
        <v>Pass</v>
      </c>
    </row>
    <row r="76" spans="1:15" ht="12.75" customHeight="1">
      <c r="A76" s="230"/>
      <c r="B76" s="514"/>
      <c r="C76" s="287"/>
      <c r="D76" s="509"/>
      <c r="E76" s="288"/>
      <c r="F76" s="518"/>
      <c r="G76" s="322"/>
      <c r="H76" s="289"/>
      <c r="I76" s="289"/>
      <c r="K76" s="428">
        <v>16</v>
      </c>
      <c r="L76" s="425" t="e">
        <f>IF(EXACT(B76,#REF!),#REF!,"Different Name: "&amp;#REF!)</f>
        <v>#REF!</v>
      </c>
      <c r="M76" s="423">
        <f>IF('Top 20 Trending'!C76=0, 0%,(#REF!-'Top 20 Trending'!C76)/'Top 20 Trending'!C76)</f>
        <v>0</v>
      </c>
      <c r="N76" s="423">
        <f>IF('Top 20 Trending'!D76=0, 0%,(#REF!-'Top 20 Trending'!D76)/'Top 20 Trending'!D76)</f>
        <v>0</v>
      </c>
      <c r="O76" s="422" t="str">
        <f t="shared" si="2"/>
        <v>Pass</v>
      </c>
    </row>
    <row r="77" spans="1:15">
      <c r="A77" s="230"/>
      <c r="B77" s="514"/>
      <c r="C77" s="287"/>
      <c r="D77" s="509"/>
      <c r="E77" s="288"/>
      <c r="F77" s="517"/>
      <c r="G77" s="322"/>
      <c r="H77" s="263"/>
      <c r="I77" s="263"/>
      <c r="K77" s="428">
        <v>17</v>
      </c>
      <c r="L77" s="425" t="e">
        <f>IF(EXACT(B77,#REF!),#REF!,"Different Name: "&amp;#REF!)</f>
        <v>#REF!</v>
      </c>
      <c r="M77" s="423">
        <f>IF('Top 20 Trending'!C77=0, 0%,(#REF!-'Top 20 Trending'!C77)/'Top 20 Trending'!C77)</f>
        <v>0</v>
      </c>
      <c r="N77" s="423">
        <f>IF('Top 20 Trending'!D77=0, 0%,(#REF!-'Top 20 Trending'!D77)/'Top 20 Trending'!D77)</f>
        <v>0</v>
      </c>
      <c r="O77" s="422" t="str">
        <f t="shared" si="2"/>
        <v>Pass</v>
      </c>
    </row>
    <row r="78" spans="1:15">
      <c r="A78" s="230"/>
      <c r="B78" s="514"/>
      <c r="C78" s="287"/>
      <c r="D78" s="509"/>
      <c r="E78" s="288"/>
      <c r="F78" s="516"/>
      <c r="G78" s="322"/>
      <c r="H78" s="263"/>
      <c r="I78" s="263"/>
      <c r="K78" s="428">
        <v>18</v>
      </c>
      <c r="L78" s="425" t="e">
        <f>IF(EXACT(B78,#REF!),#REF!,"Different Name: "&amp;#REF!)</f>
        <v>#REF!</v>
      </c>
      <c r="M78" s="423">
        <f>IF('Top 20 Trending'!C78=0, 0%,(#REF!-'Top 20 Trending'!C78)/'Top 20 Trending'!C78)</f>
        <v>0</v>
      </c>
      <c r="N78" s="423">
        <f>IF('Top 20 Trending'!D78=0, 0%,(#REF!-'Top 20 Trending'!D78)/'Top 20 Trending'!D78)</f>
        <v>0</v>
      </c>
      <c r="O78" s="422" t="str">
        <f t="shared" si="2"/>
        <v>Pass</v>
      </c>
    </row>
    <row r="79" spans="1:15">
      <c r="A79" s="438"/>
      <c r="B79" s="314"/>
      <c r="C79" s="222"/>
      <c r="D79" s="264"/>
      <c r="E79" s="277"/>
      <c r="F79" s="515"/>
      <c r="G79" s="322"/>
      <c r="H79" s="197"/>
      <c r="I79" s="197"/>
      <c r="K79" s="428">
        <v>19</v>
      </c>
      <c r="L79" s="425" t="e">
        <f>IF(EXACT(B79,#REF!),#REF!,"Different Name: "&amp;#REF!)</f>
        <v>#REF!</v>
      </c>
      <c r="M79" s="423">
        <f>IF('Top 20 Trending'!C79=0, 0%,(#REF!-'Top 20 Trending'!C79)/'Top 20 Trending'!C79)</f>
        <v>0</v>
      </c>
      <c r="N79" s="423">
        <f>IF('Top 20 Trending'!D79=0, 0%,(#REF!-'Top 20 Trending'!D79)/'Top 20 Trending'!D79)</f>
        <v>0</v>
      </c>
      <c r="O79" s="422" t="str">
        <f t="shared" si="2"/>
        <v>Pass</v>
      </c>
    </row>
    <row r="80" spans="1:15">
      <c r="A80" s="438"/>
      <c r="B80" s="314"/>
      <c r="C80" s="222"/>
      <c r="D80" s="264"/>
      <c r="E80" s="277"/>
      <c r="F80" s="515"/>
      <c r="G80" s="322"/>
      <c r="H80" s="197"/>
      <c r="I80" s="197"/>
      <c r="K80" s="428">
        <v>20</v>
      </c>
      <c r="L80" s="425" t="e">
        <f>IF(EXACT(B80,#REF!),#REF!,"Different Name: "&amp;#REF!)</f>
        <v>#REF!</v>
      </c>
      <c r="M80" s="423">
        <f>IF('Top 20 Trending'!C80=0, 0%,(#REF!-'Top 20 Trending'!C80)/'Top 20 Trending'!C80)</f>
        <v>0</v>
      </c>
      <c r="N80" s="423">
        <f>IF('Top 20 Trending'!D80=0, 0%,(#REF!-'Top 20 Trending'!D80)/'Top 20 Trending'!D80)</f>
        <v>0</v>
      </c>
      <c r="O80" s="422" t="str">
        <f t="shared" si="2"/>
        <v>Pass</v>
      </c>
    </row>
    <row r="81" spans="1:15" s="452" customFormat="1">
      <c r="A81" s="322"/>
      <c r="B81" s="322"/>
      <c r="C81" s="287"/>
      <c r="D81" s="509"/>
      <c r="E81" s="250"/>
      <c r="F81" s="242"/>
      <c r="G81" s="322"/>
      <c r="H81" s="309"/>
      <c r="I81" s="251"/>
      <c r="K81" s="464"/>
      <c r="L81" s="381"/>
      <c r="M81" s="466"/>
      <c r="N81" s="422"/>
      <c r="O81" s="422"/>
    </row>
    <row r="82" spans="1:15" s="452" customFormat="1">
      <c r="A82" s="322"/>
      <c r="B82" s="514"/>
      <c r="C82" s="287"/>
      <c r="D82" s="509"/>
      <c r="E82" s="250"/>
      <c r="F82" s="322"/>
      <c r="G82" s="322"/>
      <c r="H82" s="309"/>
      <c r="I82" s="251"/>
      <c r="K82" s="464"/>
      <c r="L82" s="381"/>
      <c r="M82" s="407"/>
      <c r="N82" s="465"/>
      <c r="O82" s="462"/>
    </row>
    <row r="83" spans="1:15" s="452" customFormat="1">
      <c r="A83" s="322"/>
      <c r="B83" s="514"/>
      <c r="C83" s="287"/>
      <c r="D83" s="509"/>
      <c r="E83" s="250"/>
      <c r="F83" s="322"/>
      <c r="G83" s="322"/>
      <c r="H83" s="309"/>
      <c r="I83" s="251"/>
      <c r="K83" s="464"/>
      <c r="L83" s="381"/>
      <c r="M83" s="409"/>
      <c r="N83" s="463"/>
      <c r="O83" s="462"/>
    </row>
    <row r="85" spans="1:15" ht="15" customHeight="1">
      <c r="A85" s="767" t="s">
        <v>342</v>
      </c>
      <c r="B85" s="767"/>
      <c r="C85" s="767"/>
      <c r="D85" s="767"/>
      <c r="E85" s="767"/>
      <c r="F85" s="767"/>
      <c r="G85" s="767"/>
      <c r="H85" s="767"/>
      <c r="I85" s="767"/>
      <c r="J85" s="767"/>
      <c r="K85" s="767"/>
      <c r="L85" s="767"/>
      <c r="M85" s="767"/>
      <c r="N85" s="767"/>
      <c r="O85" s="767"/>
    </row>
    <row r="86" spans="1:15">
      <c r="K86" s="787"/>
      <c r="L86" s="787"/>
      <c r="M86" s="787"/>
      <c r="N86" s="787"/>
      <c r="O86" s="787"/>
    </row>
    <row r="87" spans="1:15">
      <c r="A87" s="89" t="s">
        <v>32</v>
      </c>
      <c r="B87" s="89" t="s">
        <v>343</v>
      </c>
      <c r="C87" s="89" t="s">
        <v>23</v>
      </c>
      <c r="D87" s="89" t="s">
        <v>351</v>
      </c>
      <c r="E87" s="477" t="s">
        <v>22</v>
      </c>
      <c r="F87" s="477" t="s">
        <v>352</v>
      </c>
      <c r="G87" s="442" t="s">
        <v>21</v>
      </c>
      <c r="H87" s="318" t="s">
        <v>353</v>
      </c>
      <c r="I87" s="442" t="s">
        <v>337</v>
      </c>
      <c r="K87" s="444" t="s">
        <v>32</v>
      </c>
      <c r="L87" s="89" t="s">
        <v>343</v>
      </c>
      <c r="M87" s="89" t="s">
        <v>23</v>
      </c>
      <c r="N87" s="89" t="s">
        <v>22</v>
      </c>
      <c r="O87" s="442" t="s">
        <v>21</v>
      </c>
    </row>
    <row r="88" spans="1:15">
      <c r="A88" s="198"/>
      <c r="B88" s="513"/>
      <c r="C88" s="287"/>
      <c r="D88" s="287"/>
      <c r="E88" s="509"/>
      <c r="F88" s="509"/>
      <c r="G88" s="511"/>
      <c r="H88" s="289"/>
      <c r="I88" s="289"/>
      <c r="K88" s="428">
        <v>1</v>
      </c>
      <c r="L88" s="425" t="e">
        <f>IF(EXACT(B88,#REF!),#REF!,"Different Name: "&amp;#REF!)</f>
        <v>#REF!</v>
      </c>
      <c r="M88" s="423">
        <f>IF('Top 20 Trending'!C88=0, 0%,(#REF!-'Top 20 Trending'!C88)/'Top 20 Trending'!C88)</f>
        <v>0</v>
      </c>
      <c r="N88" s="423">
        <f>IF('Top 20 Trending'!D88=0, 0%,(#REF!-'Top 20 Trending'!D88)/'Top 20 Trending'!D88)</f>
        <v>0</v>
      </c>
      <c r="O88" s="422" t="str">
        <f t="shared" ref="O88:O107" si="3">IF(AND(M88&lt;10%,N88&lt;10%,M88&gt;-10%,N88&gt;-10%),"Pass","Fail")</f>
        <v>Pass</v>
      </c>
    </row>
    <row r="89" spans="1:15">
      <c r="A89" s="198"/>
      <c r="B89" s="512"/>
      <c r="C89" s="287"/>
      <c r="D89" s="287"/>
      <c r="E89" s="509"/>
      <c r="F89" s="509"/>
      <c r="G89" s="511"/>
      <c r="H89" s="289"/>
      <c r="I89" s="289"/>
      <c r="K89" s="428">
        <v>2</v>
      </c>
      <c r="L89" s="425" t="e">
        <f>IF(EXACT(B89,#REF!),#REF!,"Different Name: "&amp;#REF!)</f>
        <v>#REF!</v>
      </c>
      <c r="M89" s="423">
        <f>IF('Top 20 Trending'!C89=0, 0%,(#REF!-'Top 20 Trending'!C89)/'Top 20 Trending'!C89)</f>
        <v>0</v>
      </c>
      <c r="N89" s="423">
        <f>IF('Top 20 Trending'!D89=0, 0%,(#REF!-'Top 20 Trending'!D89)/'Top 20 Trending'!D89)</f>
        <v>0</v>
      </c>
      <c r="O89" s="422" t="str">
        <f t="shared" si="3"/>
        <v>Pass</v>
      </c>
    </row>
    <row r="90" spans="1:15">
      <c r="A90" s="198"/>
      <c r="B90" s="512"/>
      <c r="C90" s="287"/>
      <c r="D90" s="287"/>
      <c r="E90" s="509"/>
      <c r="F90" s="509"/>
      <c r="G90" s="511"/>
      <c r="H90" s="289"/>
      <c r="I90" s="289"/>
      <c r="K90" s="428">
        <v>3</v>
      </c>
      <c r="L90" s="425" t="e">
        <f>IF(EXACT(B90,#REF!),#REF!,"Different Name: "&amp;#REF!)</f>
        <v>#REF!</v>
      </c>
      <c r="M90" s="423">
        <f>IF('Top 20 Trending'!C90=0, 0%,(#REF!-'Top 20 Trending'!C90)/'Top 20 Trending'!C90)</f>
        <v>0</v>
      </c>
      <c r="N90" s="423">
        <f>IF('Top 20 Trending'!D90=0, 0%,(#REF!-'Top 20 Trending'!D90)/'Top 20 Trending'!D90)</f>
        <v>0</v>
      </c>
      <c r="O90" s="422" t="str">
        <f t="shared" si="3"/>
        <v>Pass</v>
      </c>
    </row>
    <row r="91" spans="1:15">
      <c r="A91" s="198"/>
      <c r="B91" s="512"/>
      <c r="C91" s="287"/>
      <c r="D91" s="287"/>
      <c r="E91" s="509"/>
      <c r="F91" s="509"/>
      <c r="G91" s="511"/>
      <c r="H91" s="289"/>
      <c r="I91" s="289"/>
      <c r="K91" s="428">
        <v>4</v>
      </c>
      <c r="L91" s="425" t="e">
        <f>IF(EXACT(B91,#REF!),#REF!,"Different Name: "&amp;#REF!)</f>
        <v>#REF!</v>
      </c>
      <c r="M91" s="423">
        <f>IF('Top 20 Trending'!C91=0, 0%,(#REF!-'Top 20 Trending'!C91)/'Top 20 Trending'!C91)</f>
        <v>0</v>
      </c>
      <c r="N91" s="423">
        <f>IF('Top 20 Trending'!D91=0, 0%,(#REF!-'Top 20 Trending'!D91)/'Top 20 Trending'!D91)</f>
        <v>0</v>
      </c>
      <c r="O91" s="422" t="str">
        <f t="shared" si="3"/>
        <v>Pass</v>
      </c>
    </row>
    <row r="92" spans="1:15">
      <c r="A92" s="198"/>
      <c r="B92" s="512"/>
      <c r="C92" s="287"/>
      <c r="D92" s="287"/>
      <c r="E92" s="509"/>
      <c r="F92" s="509"/>
      <c r="G92" s="511"/>
      <c r="H92" s="289"/>
      <c r="I92" s="289"/>
      <c r="K92" s="428">
        <v>5</v>
      </c>
      <c r="L92" s="425" t="e">
        <f>IF(EXACT(B92,#REF!),#REF!,"Different Name: "&amp;#REF!)</f>
        <v>#REF!</v>
      </c>
      <c r="M92" s="423">
        <f>IF('Top 20 Trending'!C92=0, 0%,(#REF!-'Top 20 Trending'!C92)/'Top 20 Trending'!C92)</f>
        <v>0</v>
      </c>
      <c r="N92" s="423">
        <f>IF('Top 20 Trending'!D92=0, 0%,(#REF!-'Top 20 Trending'!D92)/'Top 20 Trending'!D92)</f>
        <v>0</v>
      </c>
      <c r="O92" s="422" t="str">
        <f t="shared" si="3"/>
        <v>Pass</v>
      </c>
    </row>
    <row r="93" spans="1:15">
      <c r="A93" s="198"/>
      <c r="B93" s="512"/>
      <c r="C93" s="287"/>
      <c r="D93" s="287"/>
      <c r="E93" s="509"/>
      <c r="F93" s="509"/>
      <c r="G93" s="511"/>
      <c r="H93" s="289"/>
      <c r="I93" s="289"/>
      <c r="K93" s="428">
        <v>6</v>
      </c>
      <c r="L93" s="425" t="e">
        <f>IF(EXACT(B93,#REF!),#REF!,"Different Name: "&amp;#REF!)</f>
        <v>#REF!</v>
      </c>
      <c r="M93" s="423">
        <f>IF('Top 20 Trending'!C93=0, 0%,(#REF!-'Top 20 Trending'!C93)/'Top 20 Trending'!C93)</f>
        <v>0</v>
      </c>
      <c r="N93" s="423">
        <f>IF('Top 20 Trending'!D93=0, 0%,(#REF!-'Top 20 Trending'!D93)/'Top 20 Trending'!D93)</f>
        <v>0</v>
      </c>
      <c r="O93" s="422" t="str">
        <f t="shared" si="3"/>
        <v>Pass</v>
      </c>
    </row>
    <row r="94" spans="1:15">
      <c r="A94" s="198"/>
      <c r="B94" s="512"/>
      <c r="C94" s="287"/>
      <c r="D94" s="287"/>
      <c r="E94" s="509"/>
      <c r="F94" s="509"/>
      <c r="G94" s="511"/>
      <c r="H94" s="289"/>
      <c r="I94" s="289"/>
      <c r="K94" s="428">
        <v>7</v>
      </c>
      <c r="L94" s="425" t="e">
        <f>IF(EXACT(B94,#REF!),#REF!,"Different Name: "&amp;#REF!)</f>
        <v>#REF!</v>
      </c>
      <c r="M94" s="423">
        <f>IF('Top 20 Trending'!C94=0, 0%,(#REF!-'Top 20 Trending'!C94)/'Top 20 Trending'!C94)</f>
        <v>0</v>
      </c>
      <c r="N94" s="423">
        <f>IF('Top 20 Trending'!D94=0, 0%,(#REF!-'Top 20 Trending'!D94)/'Top 20 Trending'!D94)</f>
        <v>0</v>
      </c>
      <c r="O94" s="422" t="str">
        <f t="shared" si="3"/>
        <v>Pass</v>
      </c>
    </row>
    <row r="95" spans="1:15">
      <c r="A95" s="198"/>
      <c r="B95" s="512"/>
      <c r="C95" s="287"/>
      <c r="D95" s="287"/>
      <c r="E95" s="509"/>
      <c r="F95" s="509"/>
      <c r="G95" s="511"/>
      <c r="H95" s="289"/>
      <c r="I95" s="289"/>
      <c r="K95" s="428">
        <v>8</v>
      </c>
      <c r="L95" s="425" t="e">
        <f>IF(EXACT(B95,#REF!),#REF!,"Different Name: "&amp;#REF!)</f>
        <v>#REF!</v>
      </c>
      <c r="M95" s="423">
        <f>IF('Top 20 Trending'!C95=0, 0%,(#REF!-'Top 20 Trending'!C95)/'Top 20 Trending'!C95)</f>
        <v>0</v>
      </c>
      <c r="N95" s="423">
        <f>IF('Top 20 Trending'!D95=0, 0%,(#REF!-'Top 20 Trending'!D95)/'Top 20 Trending'!D95)</f>
        <v>0</v>
      </c>
      <c r="O95" s="422" t="str">
        <f t="shared" si="3"/>
        <v>Pass</v>
      </c>
    </row>
    <row r="96" spans="1:15">
      <c r="A96" s="198"/>
      <c r="B96" s="512"/>
      <c r="C96" s="287"/>
      <c r="D96" s="287"/>
      <c r="E96" s="509"/>
      <c r="F96" s="509"/>
      <c r="G96" s="511"/>
      <c r="H96" s="289"/>
      <c r="I96" s="289"/>
      <c r="K96" s="428">
        <v>9</v>
      </c>
      <c r="L96" s="425" t="e">
        <f>IF(EXACT(B96,#REF!),#REF!,"Different Name: "&amp;#REF!)</f>
        <v>#REF!</v>
      </c>
      <c r="M96" s="423">
        <f>IF('Top 20 Trending'!C96=0, 0%,(#REF!-'Top 20 Trending'!C96)/'Top 20 Trending'!C96)</f>
        <v>0</v>
      </c>
      <c r="N96" s="423">
        <f>IF('Top 20 Trending'!D96=0, 0%,(#REF!-'Top 20 Trending'!D96)/'Top 20 Trending'!D96)</f>
        <v>0</v>
      </c>
      <c r="O96" s="422" t="str">
        <f t="shared" si="3"/>
        <v>Pass</v>
      </c>
    </row>
    <row r="97" spans="1:15">
      <c r="A97" s="198"/>
      <c r="B97" s="512"/>
      <c r="C97" s="287"/>
      <c r="D97" s="287"/>
      <c r="E97" s="509"/>
      <c r="F97" s="509"/>
      <c r="G97" s="511"/>
      <c r="H97" s="289"/>
      <c r="I97" s="289"/>
      <c r="K97" s="428">
        <v>10</v>
      </c>
      <c r="L97" s="425" t="e">
        <f>IF(EXACT(B97,#REF!),#REF!,"Different Name: "&amp;#REF!)</f>
        <v>#REF!</v>
      </c>
      <c r="M97" s="423">
        <f>IF('Top 20 Trending'!C97=0, 0%,(#REF!-'Top 20 Trending'!C97)/'Top 20 Trending'!C97)</f>
        <v>0</v>
      </c>
      <c r="N97" s="423">
        <f>IF('Top 20 Trending'!D97=0, 0%,(#REF!-'Top 20 Trending'!D97)/'Top 20 Trending'!D97)</f>
        <v>0</v>
      </c>
      <c r="O97" s="422" t="str">
        <f t="shared" si="3"/>
        <v>Pass</v>
      </c>
    </row>
    <row r="98" spans="1:15">
      <c r="A98" s="198"/>
      <c r="B98" s="512"/>
      <c r="C98" s="287"/>
      <c r="D98" s="287"/>
      <c r="E98" s="509"/>
      <c r="F98" s="509"/>
      <c r="G98" s="511"/>
      <c r="H98" s="289"/>
      <c r="I98" s="289"/>
      <c r="K98" s="428">
        <v>11</v>
      </c>
      <c r="L98" s="425" t="e">
        <f>IF(EXACT(B98,#REF!),#REF!,"Different Name: "&amp;#REF!)</f>
        <v>#REF!</v>
      </c>
      <c r="M98" s="423">
        <f>IF('Top 20 Trending'!C98=0, 0%,(#REF!-'Top 20 Trending'!C98)/'Top 20 Trending'!C98)</f>
        <v>0</v>
      </c>
      <c r="N98" s="423">
        <f>IF('Top 20 Trending'!D98=0, 0%,(#REF!-'Top 20 Trending'!D98)/'Top 20 Trending'!D98)</f>
        <v>0</v>
      </c>
      <c r="O98" s="422" t="str">
        <f t="shared" si="3"/>
        <v>Pass</v>
      </c>
    </row>
    <row r="99" spans="1:15">
      <c r="A99" s="198"/>
      <c r="B99" s="512"/>
      <c r="C99" s="287"/>
      <c r="D99" s="287"/>
      <c r="E99" s="509"/>
      <c r="F99" s="509"/>
      <c r="G99" s="511"/>
      <c r="H99" s="289"/>
      <c r="I99" s="289"/>
      <c r="K99" s="428">
        <v>12</v>
      </c>
      <c r="L99" s="425" t="e">
        <f>IF(EXACT(B99,#REF!),#REF!,"Different Name: "&amp;#REF!)</f>
        <v>#REF!</v>
      </c>
      <c r="M99" s="423">
        <f>IF('Top 20 Trending'!C99=0, 0%,(#REF!-'Top 20 Trending'!C99)/'Top 20 Trending'!C99)</f>
        <v>0</v>
      </c>
      <c r="N99" s="423">
        <f>IF('Top 20 Trending'!D99=0, 0%,(#REF!-'Top 20 Trending'!D99)/'Top 20 Trending'!D99)</f>
        <v>0</v>
      </c>
      <c r="O99" s="422" t="str">
        <f t="shared" si="3"/>
        <v>Pass</v>
      </c>
    </row>
    <row r="100" spans="1:15">
      <c r="A100" s="198"/>
      <c r="B100" s="512"/>
      <c r="C100" s="287"/>
      <c r="D100" s="287"/>
      <c r="E100" s="509"/>
      <c r="F100" s="509"/>
      <c r="G100" s="511"/>
      <c r="H100" s="289"/>
      <c r="I100" s="289"/>
      <c r="K100" s="428">
        <v>13</v>
      </c>
      <c r="L100" s="425" t="e">
        <f>IF(EXACT(B100,#REF!),#REF!,"Different Name: "&amp;#REF!)</f>
        <v>#REF!</v>
      </c>
      <c r="M100" s="423">
        <f>IF('Top 20 Trending'!C100=0, 0%,(#REF!-'Top 20 Trending'!C100)/'Top 20 Trending'!C100)</f>
        <v>0</v>
      </c>
      <c r="N100" s="423">
        <f>IF('Top 20 Trending'!D100=0, 0%,(#REF!-'Top 20 Trending'!D100)/'Top 20 Trending'!D100)</f>
        <v>0</v>
      </c>
      <c r="O100" s="422" t="str">
        <f t="shared" si="3"/>
        <v>Pass</v>
      </c>
    </row>
    <row r="101" spans="1:15">
      <c r="A101" s="198"/>
      <c r="B101" s="512"/>
      <c r="C101" s="287"/>
      <c r="D101" s="287"/>
      <c r="E101" s="509"/>
      <c r="F101" s="509"/>
      <c r="G101" s="511"/>
      <c r="H101" s="289"/>
      <c r="I101" s="289"/>
      <c r="K101" s="428">
        <v>14</v>
      </c>
      <c r="L101" s="425" t="e">
        <f>IF(EXACT(B101,#REF!),#REF!,"Different Name: "&amp;#REF!)</f>
        <v>#REF!</v>
      </c>
      <c r="M101" s="423">
        <f>IF('Top 20 Trending'!C101=0, 0%,(#REF!-'Top 20 Trending'!C101)/'Top 20 Trending'!C101)</f>
        <v>0</v>
      </c>
      <c r="N101" s="423">
        <f>IF('Top 20 Trending'!D101=0, 0%,(#REF!-'Top 20 Trending'!D101)/'Top 20 Trending'!D101)</f>
        <v>0</v>
      </c>
      <c r="O101" s="422" t="str">
        <f t="shared" si="3"/>
        <v>Pass</v>
      </c>
    </row>
    <row r="102" spans="1:15">
      <c r="A102" s="198"/>
      <c r="B102" s="512"/>
      <c r="C102" s="287"/>
      <c r="D102" s="287"/>
      <c r="E102" s="509"/>
      <c r="F102" s="509"/>
      <c r="G102" s="511"/>
      <c r="H102" s="289"/>
      <c r="I102" s="289"/>
      <c r="K102" s="428">
        <v>15</v>
      </c>
      <c r="L102" s="425" t="e">
        <f>IF(EXACT(B102,#REF!),#REF!,"Different Name: "&amp;#REF!)</f>
        <v>#REF!</v>
      </c>
      <c r="M102" s="423">
        <f>IF('Top 20 Trending'!C102=0, 0%,(#REF!-'Top 20 Trending'!C102)/'Top 20 Trending'!C102)</f>
        <v>0</v>
      </c>
      <c r="N102" s="423">
        <f>IF('Top 20 Trending'!D102=0, 0%,(#REF!-'Top 20 Trending'!D102)/'Top 20 Trending'!D102)</f>
        <v>0</v>
      </c>
      <c r="O102" s="422" t="str">
        <f t="shared" si="3"/>
        <v>Pass</v>
      </c>
    </row>
    <row r="103" spans="1:15">
      <c r="A103" s="198"/>
      <c r="B103" s="230"/>
      <c r="C103" s="287"/>
      <c r="D103" s="287"/>
      <c r="E103" s="509"/>
      <c r="F103" s="509"/>
      <c r="G103" s="511"/>
      <c r="H103" s="289"/>
      <c r="I103" s="289"/>
      <c r="K103" s="428">
        <v>16</v>
      </c>
      <c r="L103" s="425" t="e">
        <f>IF(EXACT(B103,#REF!),#REF!,"Different Name: "&amp;#REF!)</f>
        <v>#REF!</v>
      </c>
      <c r="M103" s="423">
        <f>IF('Top 20 Trending'!C103=0, 0%,(#REF!-'Top 20 Trending'!C103)/'Top 20 Trending'!C103)</f>
        <v>0</v>
      </c>
      <c r="N103" s="423">
        <f>IF('Top 20 Trending'!D103=0, 0%,(#REF!-'Top 20 Trending'!D103)/'Top 20 Trending'!D103)</f>
        <v>0</v>
      </c>
      <c r="O103" s="422" t="str">
        <f t="shared" si="3"/>
        <v>Pass</v>
      </c>
    </row>
    <row r="104" spans="1:15">
      <c r="A104" s="198"/>
      <c r="B104" s="230"/>
      <c r="C104" s="287"/>
      <c r="D104" s="287"/>
      <c r="E104" s="509"/>
      <c r="F104" s="509"/>
      <c r="G104" s="510"/>
      <c r="H104" s="263"/>
      <c r="I104" s="263"/>
      <c r="K104" s="428">
        <v>17</v>
      </c>
      <c r="L104" s="425" t="e">
        <f>IF(EXACT(B104,#REF!),#REF!,"Different Name: "&amp;#REF!)</f>
        <v>#REF!</v>
      </c>
      <c r="M104" s="423">
        <f>IF('Top 20 Trending'!C104=0, 0%,(#REF!-'Top 20 Trending'!C104)/'Top 20 Trending'!C104)</f>
        <v>0</v>
      </c>
      <c r="N104" s="423">
        <f>IF('Top 20 Trending'!D104=0, 0%,(#REF!-'Top 20 Trending'!D104)/'Top 20 Trending'!D104)</f>
        <v>0</v>
      </c>
      <c r="O104" s="422" t="str">
        <f t="shared" si="3"/>
        <v>Pass</v>
      </c>
    </row>
    <row r="105" spans="1:15">
      <c r="A105" s="198"/>
      <c r="B105" s="230"/>
      <c r="C105" s="287"/>
      <c r="D105" s="287"/>
      <c r="E105" s="509"/>
      <c r="F105" s="509"/>
      <c r="G105" s="508"/>
      <c r="H105" s="263"/>
      <c r="I105" s="263"/>
      <c r="K105" s="428">
        <v>18</v>
      </c>
      <c r="L105" s="425" t="e">
        <f>IF(EXACT(B105,#REF!),#REF!,"Different Name: "&amp;#REF!)</f>
        <v>#REF!</v>
      </c>
      <c r="M105" s="423">
        <f>IF('Top 20 Trending'!C105=0, 0%,(#REF!-'Top 20 Trending'!C105)/'Top 20 Trending'!C105)</f>
        <v>0</v>
      </c>
      <c r="N105" s="423">
        <f>IF('Top 20 Trending'!D105=0, 0%,(#REF!-'Top 20 Trending'!D105)/'Top 20 Trending'!D105)</f>
        <v>0</v>
      </c>
      <c r="O105" s="422" t="str">
        <f t="shared" si="3"/>
        <v>Pass</v>
      </c>
    </row>
    <row r="106" spans="1:15">
      <c r="A106" s="198"/>
      <c r="B106" s="198"/>
      <c r="C106" s="268"/>
      <c r="D106" s="268"/>
      <c r="E106" s="269"/>
      <c r="F106" s="269"/>
      <c r="G106" s="508"/>
      <c r="H106" s="263"/>
      <c r="I106" s="263"/>
      <c r="K106" s="428">
        <v>19</v>
      </c>
      <c r="L106" s="425" t="e">
        <f>IF(EXACT(B106,#REF!),#REF!,"Different Name: "&amp;#REF!)</f>
        <v>#REF!</v>
      </c>
      <c r="M106" s="423">
        <f>IF('Top 20 Trending'!C106=0, 0%,(#REF!-'Top 20 Trending'!C106)/'Top 20 Trending'!C106)</f>
        <v>0</v>
      </c>
      <c r="N106" s="423">
        <f>IF('Top 20 Trending'!D106=0, 0%,(#REF!-'Top 20 Trending'!D106)/'Top 20 Trending'!D106)</f>
        <v>0</v>
      </c>
      <c r="O106" s="422" t="str">
        <f t="shared" si="3"/>
        <v>Pass</v>
      </c>
    </row>
    <row r="107" spans="1:15">
      <c r="A107" s="198"/>
      <c r="B107" s="198"/>
      <c r="C107" s="268"/>
      <c r="D107" s="268"/>
      <c r="E107" s="269"/>
      <c r="F107" s="269"/>
      <c r="G107" s="508"/>
      <c r="H107" s="263"/>
      <c r="I107" s="263"/>
      <c r="K107" s="428">
        <v>20</v>
      </c>
      <c r="L107" s="425" t="e">
        <f>IF(EXACT(B107,#REF!),#REF!,"Different Name: "&amp;#REF!)</f>
        <v>#REF!</v>
      </c>
      <c r="M107" s="423">
        <f>IF('Top 20 Trending'!C107=0, 0%,(#REF!-'Top 20 Trending'!C107)/'Top 20 Trending'!C107)</f>
        <v>0</v>
      </c>
      <c r="N107" s="423">
        <f>IF('Top 20 Trending'!D107=0, 0%,(#REF!-'Top 20 Trending'!D107)/'Top 20 Trending'!D107)</f>
        <v>0</v>
      </c>
      <c r="O107" s="422" t="str">
        <f t="shared" si="3"/>
        <v>Pass</v>
      </c>
    </row>
    <row r="108" spans="1:15" s="452" customFormat="1">
      <c r="A108" s="198"/>
      <c r="B108" s="198"/>
      <c r="C108" s="268"/>
      <c r="D108" s="268"/>
      <c r="E108" s="269"/>
      <c r="F108" s="269"/>
      <c r="G108" s="508"/>
      <c r="H108" s="263"/>
      <c r="I108" s="270"/>
      <c r="K108" s="464"/>
      <c r="L108" s="453"/>
      <c r="M108" s="466"/>
      <c r="N108" s="463"/>
      <c r="O108" s="422"/>
    </row>
    <row r="109" spans="1:15" s="452" customFormat="1">
      <c r="A109" s="198"/>
      <c r="B109" s="198"/>
      <c r="C109" s="268"/>
      <c r="D109" s="268"/>
      <c r="E109" s="269"/>
      <c r="F109" s="269"/>
      <c r="G109" s="198"/>
      <c r="H109" s="263"/>
      <c r="I109" s="270"/>
      <c r="K109" s="464"/>
      <c r="L109" s="453"/>
      <c r="M109" s="407"/>
      <c r="N109" s="407"/>
      <c r="O109" s="462"/>
    </row>
    <row r="110" spans="1:15" s="452" customFormat="1">
      <c r="A110" s="198"/>
      <c r="B110" s="198"/>
      <c r="C110" s="268"/>
      <c r="D110" s="268"/>
      <c r="E110" s="269"/>
      <c r="F110" s="269"/>
      <c r="G110" s="198"/>
      <c r="H110" s="263"/>
      <c r="I110" s="270"/>
      <c r="K110" s="464"/>
      <c r="L110" s="453"/>
      <c r="M110" s="409"/>
      <c r="N110" s="409"/>
      <c r="O110" s="462"/>
    </row>
    <row r="112" spans="1:15" ht="15" customHeight="1">
      <c r="A112" s="767" t="s">
        <v>344</v>
      </c>
      <c r="B112" s="767"/>
      <c r="C112" s="767"/>
      <c r="D112" s="767"/>
      <c r="E112" s="767"/>
      <c r="F112" s="767"/>
      <c r="G112" s="767"/>
      <c r="H112" s="767"/>
      <c r="I112" s="767"/>
      <c r="J112" s="767"/>
      <c r="K112" s="767"/>
      <c r="L112" s="767"/>
      <c r="M112" s="767"/>
      <c r="N112" s="767"/>
      <c r="O112" s="767"/>
    </row>
    <row r="113" spans="1:15">
      <c r="K113" s="413"/>
      <c r="L113" s="507"/>
      <c r="M113" s="787"/>
      <c r="N113" s="787"/>
      <c r="O113" s="787"/>
    </row>
    <row r="114" spans="1:15">
      <c r="A114" s="89" t="s">
        <v>32</v>
      </c>
      <c r="B114" s="89" t="s">
        <v>345</v>
      </c>
      <c r="C114" s="89" t="s">
        <v>346</v>
      </c>
      <c r="D114" s="89" t="s">
        <v>23</v>
      </c>
      <c r="E114" s="477" t="s">
        <v>347</v>
      </c>
      <c r="F114" s="477" t="s">
        <v>353</v>
      </c>
      <c r="G114" s="89" t="s">
        <v>22</v>
      </c>
      <c r="H114" s="318" t="s">
        <v>21</v>
      </c>
      <c r="I114" s="89" t="s">
        <v>337</v>
      </c>
      <c r="K114" s="444" t="s">
        <v>32</v>
      </c>
      <c r="L114" s="89" t="s">
        <v>345</v>
      </c>
      <c r="M114" s="89" t="s">
        <v>23</v>
      </c>
      <c r="N114" s="443" t="s">
        <v>22</v>
      </c>
      <c r="O114" s="442" t="s">
        <v>399</v>
      </c>
    </row>
    <row r="115" spans="1:15">
      <c r="A115" s="499"/>
      <c r="B115" s="498"/>
      <c r="C115" s="497"/>
      <c r="D115" s="486"/>
      <c r="E115" s="496"/>
      <c r="F115" s="496"/>
      <c r="G115" s="485"/>
      <c r="H115" s="484"/>
      <c r="I115" s="495"/>
      <c r="K115" s="428">
        <v>1</v>
      </c>
      <c r="L115" s="425" t="e">
        <f>IF(EXACT(B115,#REF!),#REF!,"Different Name: "&amp;#REF!)</f>
        <v>#REF!</v>
      </c>
      <c r="M115" s="423">
        <f>IF('Top 20 Trending'!D115=0, 0%,(#REF!-'Top 20 Trending'!D115)/'Top 20 Trending'!D115)</f>
        <v>0</v>
      </c>
      <c r="N115" s="423">
        <f>IF('Top 20 Trending'!G115=0, 0%,(#REF!-'Top 20 Trending'!G115)/'Top 20 Trending'!G115)</f>
        <v>0</v>
      </c>
      <c r="O115" s="422" t="str">
        <f t="shared" ref="O115:O134" si="4">IF(AND(M115&lt;10%,N115&lt;10%,M115&gt;-10%,N115&gt;-10%),"Pass","Fail")</f>
        <v>Pass</v>
      </c>
    </row>
    <row r="116" spans="1:15">
      <c r="A116" s="504"/>
      <c r="B116" s="503"/>
      <c r="C116" s="502"/>
      <c r="D116" s="493"/>
      <c r="E116" s="501"/>
      <c r="F116" s="501"/>
      <c r="G116" s="492"/>
      <c r="H116" s="491"/>
      <c r="I116" s="500"/>
      <c r="K116" s="428">
        <v>2</v>
      </c>
      <c r="L116" s="425" t="e">
        <f>IF(EXACT(B116,#REF!),#REF!,"Different Name: "&amp;#REF!)</f>
        <v>#REF!</v>
      </c>
      <c r="M116" s="423">
        <f>IF('Top 20 Trending'!D116=0, 0%,(#REF!-'Top 20 Trending'!D116)/'Top 20 Trending'!D116)</f>
        <v>0</v>
      </c>
      <c r="N116" s="423">
        <f>IF('Top 20 Trending'!G116=0, 0%,(#REF!-'Top 20 Trending'!G116)/'Top 20 Trending'!G116)</f>
        <v>0</v>
      </c>
      <c r="O116" s="422" t="str">
        <f t="shared" si="4"/>
        <v>Pass</v>
      </c>
    </row>
    <row r="117" spans="1:15">
      <c r="A117" s="499"/>
      <c r="B117" s="498"/>
      <c r="C117" s="497"/>
      <c r="D117" s="486"/>
      <c r="E117" s="496"/>
      <c r="F117" s="496"/>
      <c r="G117" s="485"/>
      <c r="H117" s="484"/>
      <c r="I117" s="495"/>
      <c r="K117" s="428">
        <v>3</v>
      </c>
      <c r="L117" s="425" t="e">
        <f>IF(EXACT(B117,#REF!),#REF!,"Different Name: "&amp;#REF!)</f>
        <v>#REF!</v>
      </c>
      <c r="M117" s="423">
        <f>IF('Top 20 Trending'!D117=0, 0%,(#REF!-'Top 20 Trending'!D117)/'Top 20 Trending'!D117)</f>
        <v>0</v>
      </c>
      <c r="N117" s="423">
        <f>IF('Top 20 Trending'!G117=0, 0%,(#REF!-'Top 20 Trending'!G117)/'Top 20 Trending'!G117)</f>
        <v>0</v>
      </c>
      <c r="O117" s="422" t="str">
        <f t="shared" si="4"/>
        <v>Pass</v>
      </c>
    </row>
    <row r="118" spans="1:15" ht="13.5" customHeight="1">
      <c r="A118" s="504"/>
      <c r="B118" s="503"/>
      <c r="C118" s="502"/>
      <c r="D118" s="493"/>
      <c r="E118" s="506"/>
      <c r="F118" s="501"/>
      <c r="G118" s="492"/>
      <c r="H118" s="491"/>
      <c r="I118" s="500"/>
      <c r="K118" s="428">
        <v>4</v>
      </c>
      <c r="L118" s="425" t="e">
        <f>IF(EXACT(B118,#REF!),#REF!,"Different Name: "&amp;#REF!)</f>
        <v>#REF!</v>
      </c>
      <c r="M118" s="423">
        <f>IF('Top 20 Trending'!D118=0, 0%,(#REF!-'Top 20 Trending'!D118)/'Top 20 Trending'!D118)</f>
        <v>0</v>
      </c>
      <c r="N118" s="423">
        <f>IF('Top 20 Trending'!G118=0, 0%,(#REF!-'Top 20 Trending'!G118)/'Top 20 Trending'!G118)</f>
        <v>0</v>
      </c>
      <c r="O118" s="422" t="str">
        <f t="shared" si="4"/>
        <v>Pass</v>
      </c>
    </row>
    <row r="119" spans="1:15">
      <c r="A119" s="499"/>
      <c r="B119" s="498"/>
      <c r="C119" s="497"/>
      <c r="D119" s="486"/>
      <c r="E119" s="496"/>
      <c r="F119" s="496"/>
      <c r="G119" s="485"/>
      <c r="H119" s="484"/>
      <c r="I119" s="495"/>
      <c r="K119" s="428">
        <v>5</v>
      </c>
      <c r="L119" s="425" t="e">
        <f>IF(EXACT(B119,#REF!),#REF!,"Different Name: "&amp;#REF!)</f>
        <v>#REF!</v>
      </c>
      <c r="M119" s="423">
        <f>IF('Top 20 Trending'!D119=0, 0%,(#REF!-'Top 20 Trending'!D119)/'Top 20 Trending'!D119)</f>
        <v>0</v>
      </c>
      <c r="N119" s="423">
        <f>IF('Top 20 Trending'!G119=0, 0%,(#REF!-'Top 20 Trending'!G119)/'Top 20 Trending'!G119)</f>
        <v>0</v>
      </c>
      <c r="O119" s="422" t="str">
        <f t="shared" si="4"/>
        <v>Pass</v>
      </c>
    </row>
    <row r="120" spans="1:15" ht="12.75" customHeight="1">
      <c r="A120" s="504"/>
      <c r="B120" s="503"/>
      <c r="C120" s="502"/>
      <c r="D120" s="493"/>
      <c r="E120" s="501"/>
      <c r="F120" s="501"/>
      <c r="G120" s="492"/>
      <c r="H120" s="491"/>
      <c r="I120" s="500"/>
      <c r="K120" s="428">
        <v>6</v>
      </c>
      <c r="L120" s="425" t="e">
        <f>IF(EXACT(B120,#REF!),#REF!,"Different Name: "&amp;#REF!)</f>
        <v>#REF!</v>
      </c>
      <c r="M120" s="423">
        <f>IF('Top 20 Trending'!D120=0, 0%,(#REF!-'Top 20 Trending'!D120)/'Top 20 Trending'!D120)</f>
        <v>0</v>
      </c>
      <c r="N120" s="423">
        <f>IF('Top 20 Trending'!G120=0, 0%,(#REF!-'Top 20 Trending'!G120)/'Top 20 Trending'!G120)</f>
        <v>0</v>
      </c>
      <c r="O120" s="422" t="str">
        <f t="shared" si="4"/>
        <v>Pass</v>
      </c>
    </row>
    <row r="121" spans="1:15">
      <c r="A121" s="499"/>
      <c r="B121" s="498"/>
      <c r="C121" s="497"/>
      <c r="D121" s="486"/>
      <c r="E121" s="496"/>
      <c r="F121" s="496"/>
      <c r="G121" s="485"/>
      <c r="H121" s="484"/>
      <c r="I121" s="495"/>
      <c r="K121" s="428">
        <v>7</v>
      </c>
      <c r="L121" s="425" t="e">
        <f>IF(EXACT(B121,#REF!),#REF!,"Different Name: "&amp;#REF!)</f>
        <v>#REF!</v>
      </c>
      <c r="M121" s="423">
        <f>IF('Top 20 Trending'!D121=0, 0%,(#REF!-'Top 20 Trending'!D121)/'Top 20 Trending'!D121)</f>
        <v>0</v>
      </c>
      <c r="N121" s="423">
        <f>IF('Top 20 Trending'!G121=0, 0%,(#REF!-'Top 20 Trending'!G121)/'Top 20 Trending'!G121)</f>
        <v>0</v>
      </c>
      <c r="O121" s="422" t="str">
        <f t="shared" si="4"/>
        <v>Pass</v>
      </c>
    </row>
    <row r="122" spans="1:15">
      <c r="A122" s="504"/>
      <c r="B122" s="503"/>
      <c r="C122" s="502"/>
      <c r="D122" s="493"/>
      <c r="E122" s="501"/>
      <c r="F122" s="501"/>
      <c r="G122" s="492"/>
      <c r="H122" s="491"/>
      <c r="I122" s="500"/>
      <c r="K122" s="428">
        <v>8</v>
      </c>
      <c r="L122" s="425" t="e">
        <f>IF(EXACT(B122,#REF!),#REF!,"Different Name: "&amp;#REF!)</f>
        <v>#REF!</v>
      </c>
      <c r="M122" s="423">
        <f>IF('Top 20 Trending'!D122=0, 0%,(#REF!-'Top 20 Trending'!D122)/'Top 20 Trending'!D122)</f>
        <v>0</v>
      </c>
      <c r="N122" s="423">
        <f>IF('Top 20 Trending'!G122=0, 0%,(#REF!-'Top 20 Trending'!G122)/'Top 20 Trending'!G122)</f>
        <v>0</v>
      </c>
      <c r="O122" s="422" t="str">
        <f t="shared" si="4"/>
        <v>Pass</v>
      </c>
    </row>
    <row r="123" spans="1:15">
      <c r="A123" s="499"/>
      <c r="B123" s="498"/>
      <c r="C123" s="497"/>
      <c r="D123" s="486"/>
      <c r="E123" s="496"/>
      <c r="F123" s="496"/>
      <c r="G123" s="485"/>
      <c r="H123" s="484"/>
      <c r="I123" s="495"/>
      <c r="K123" s="428">
        <v>9</v>
      </c>
      <c r="L123" s="425" t="e">
        <f>IF(EXACT(B123,#REF!),#REF!,"Different Name: "&amp;#REF!)</f>
        <v>#REF!</v>
      </c>
      <c r="M123" s="423">
        <f>IF('Top 20 Trending'!D123=0, 0%,(#REF!-'Top 20 Trending'!D123)/'Top 20 Trending'!D123)</f>
        <v>0</v>
      </c>
      <c r="N123" s="423">
        <f>IF('Top 20 Trending'!G123=0, 0%,(#REF!-'Top 20 Trending'!G123)/'Top 20 Trending'!G123)</f>
        <v>0</v>
      </c>
      <c r="O123" s="422" t="str">
        <f t="shared" si="4"/>
        <v>Pass</v>
      </c>
    </row>
    <row r="124" spans="1:15">
      <c r="A124" s="504"/>
      <c r="B124" s="503"/>
      <c r="C124" s="502"/>
      <c r="D124" s="493"/>
      <c r="E124" s="501"/>
      <c r="F124" s="501"/>
      <c r="G124" s="492"/>
      <c r="H124" s="491"/>
      <c r="I124" s="500"/>
      <c r="K124" s="428">
        <v>10</v>
      </c>
      <c r="L124" s="425" t="e">
        <f>IF(EXACT(B124,#REF!),#REF!,"Different Name: "&amp;#REF!)</f>
        <v>#REF!</v>
      </c>
      <c r="M124" s="423">
        <f>IF('Top 20 Trending'!D124=0, 0%,(#REF!-'Top 20 Trending'!D124)/'Top 20 Trending'!D124)</f>
        <v>0</v>
      </c>
      <c r="N124" s="423">
        <f>IF('Top 20 Trending'!G124=0, 0%,(#REF!-'Top 20 Trending'!G124)/'Top 20 Trending'!G124)</f>
        <v>0</v>
      </c>
      <c r="O124" s="422" t="str">
        <f t="shared" si="4"/>
        <v>Pass</v>
      </c>
    </row>
    <row r="125" spans="1:15">
      <c r="A125" s="499"/>
      <c r="B125" s="498"/>
      <c r="C125" s="497"/>
      <c r="D125" s="486"/>
      <c r="E125" s="496"/>
      <c r="F125" s="496"/>
      <c r="G125" s="485"/>
      <c r="H125" s="484"/>
      <c r="I125" s="495"/>
      <c r="K125" s="428">
        <v>11</v>
      </c>
      <c r="L125" s="425" t="e">
        <f>IF(EXACT(B125,#REF!),#REF!,"Different Name: "&amp;#REF!)</f>
        <v>#REF!</v>
      </c>
      <c r="M125" s="423">
        <f>IF('Top 20 Trending'!D125=0, 0%,(#REF!-'Top 20 Trending'!D125)/'Top 20 Trending'!D125)</f>
        <v>0</v>
      </c>
      <c r="N125" s="423">
        <f>IF('Top 20 Trending'!G125=0, 0%,(#REF!-'Top 20 Trending'!G125)/'Top 20 Trending'!G125)</f>
        <v>0</v>
      </c>
      <c r="O125" s="422" t="str">
        <f t="shared" si="4"/>
        <v>Pass</v>
      </c>
    </row>
    <row r="126" spans="1:15">
      <c r="A126" s="504"/>
      <c r="B126" s="503"/>
      <c r="C126" s="502"/>
      <c r="D126" s="493"/>
      <c r="E126" s="501"/>
      <c r="F126" s="501"/>
      <c r="G126" s="492"/>
      <c r="H126" s="491"/>
      <c r="I126" s="500"/>
      <c r="K126" s="428">
        <v>12</v>
      </c>
      <c r="L126" s="425" t="e">
        <f>IF(EXACT(B126,#REF!),#REF!,"Different Name: "&amp;#REF!)</f>
        <v>#REF!</v>
      </c>
      <c r="M126" s="423">
        <f>IF('Top 20 Trending'!D126=0, 0%,(#REF!-'Top 20 Trending'!D126)/'Top 20 Trending'!D126)</f>
        <v>0</v>
      </c>
      <c r="N126" s="423">
        <f>IF('Top 20 Trending'!G126=0, 0%,(#REF!-'Top 20 Trending'!G126)/'Top 20 Trending'!G126)</f>
        <v>0</v>
      </c>
      <c r="O126" s="422" t="str">
        <f t="shared" si="4"/>
        <v>Pass</v>
      </c>
    </row>
    <row r="127" spans="1:15" ht="12.75" customHeight="1">
      <c r="A127" s="499"/>
      <c r="B127" s="498"/>
      <c r="C127" s="497"/>
      <c r="D127" s="486"/>
      <c r="E127" s="496"/>
      <c r="F127" s="496"/>
      <c r="G127" s="485"/>
      <c r="H127" s="484"/>
      <c r="I127" s="495"/>
      <c r="K127" s="428">
        <v>13</v>
      </c>
      <c r="L127" s="425" t="e">
        <f>IF(EXACT(B127,#REF!),#REF!,"Different Name: "&amp;#REF!)</f>
        <v>#REF!</v>
      </c>
      <c r="M127" s="423">
        <f>IF('Top 20 Trending'!D127=0, 0%,(#REF!-'Top 20 Trending'!D127)/'Top 20 Trending'!D127)</f>
        <v>0</v>
      </c>
      <c r="N127" s="423">
        <f>IF('Top 20 Trending'!G127=0, 0%,(#REF!-'Top 20 Trending'!G127)/'Top 20 Trending'!G127)</f>
        <v>0</v>
      </c>
      <c r="O127" s="422" t="str">
        <f t="shared" si="4"/>
        <v>Pass</v>
      </c>
    </row>
    <row r="128" spans="1:15" ht="12.75" customHeight="1">
      <c r="A128" s="504"/>
      <c r="B128" s="503"/>
      <c r="C128" s="502"/>
      <c r="D128" s="493"/>
      <c r="E128" s="501"/>
      <c r="F128" s="501"/>
      <c r="G128" s="492"/>
      <c r="H128" s="491"/>
      <c r="I128" s="500"/>
      <c r="K128" s="428">
        <v>14</v>
      </c>
      <c r="L128" s="425" t="e">
        <f>IF(EXACT(B128,#REF!),#REF!,"Different Name: "&amp;#REF!)</f>
        <v>#REF!</v>
      </c>
      <c r="M128" s="423">
        <f>IF('Top 20 Trending'!D128=0, 0%,(#REF!-'Top 20 Trending'!D128)/'Top 20 Trending'!D128)</f>
        <v>0</v>
      </c>
      <c r="N128" s="423">
        <f>IF('Top 20 Trending'!G128=0, 0%,(#REF!-'Top 20 Trending'!G128)/'Top 20 Trending'!G128)</f>
        <v>0</v>
      </c>
      <c r="O128" s="422" t="str">
        <f t="shared" si="4"/>
        <v>Pass</v>
      </c>
    </row>
    <row r="129" spans="1:15" ht="13.5" customHeight="1">
      <c r="A129" s="499"/>
      <c r="B129" s="498"/>
      <c r="C129" s="497"/>
      <c r="D129" s="486"/>
      <c r="E129" s="505"/>
      <c r="F129" s="496"/>
      <c r="G129" s="485"/>
      <c r="H129" s="484"/>
      <c r="I129" s="495"/>
      <c r="K129" s="428">
        <v>15</v>
      </c>
      <c r="L129" s="425" t="e">
        <f>IF(EXACT(B129,#REF!),#REF!,"Different Name: "&amp;#REF!)</f>
        <v>#REF!</v>
      </c>
      <c r="M129" s="423">
        <f>IF('Top 20 Trending'!D129=0, 0%,(#REF!-'Top 20 Trending'!D129)/'Top 20 Trending'!D129)</f>
        <v>0</v>
      </c>
      <c r="N129" s="423">
        <f>IF('Top 20 Trending'!G129=0, 0%,(#REF!-'Top 20 Trending'!G129)/'Top 20 Trending'!G129)</f>
        <v>0</v>
      </c>
      <c r="O129" s="422" t="str">
        <f t="shared" si="4"/>
        <v>Pass</v>
      </c>
    </row>
    <row r="130" spans="1:15" ht="12.75" customHeight="1">
      <c r="A130" s="504"/>
      <c r="B130" s="503"/>
      <c r="C130" s="502"/>
      <c r="D130" s="493"/>
      <c r="E130" s="501"/>
      <c r="F130" s="501"/>
      <c r="G130" s="492"/>
      <c r="H130" s="491"/>
      <c r="I130" s="500"/>
      <c r="K130" s="428">
        <v>16</v>
      </c>
      <c r="L130" s="425" t="e">
        <f>IF(EXACT(B130,#REF!),#REF!,"Different Name: "&amp;#REF!)</f>
        <v>#REF!</v>
      </c>
      <c r="M130" s="423">
        <f>IF('Top 20 Trending'!D130=0, 0%,(#REF!-'Top 20 Trending'!D130)/'Top 20 Trending'!D130)</f>
        <v>0</v>
      </c>
      <c r="N130" s="423">
        <f>IF('Top 20 Trending'!G130=0, 0%,(#REF!-'Top 20 Trending'!G130)/'Top 20 Trending'!G130)</f>
        <v>0</v>
      </c>
      <c r="O130" s="422" t="str">
        <f t="shared" si="4"/>
        <v>Pass</v>
      </c>
    </row>
    <row r="131" spans="1:15" ht="12.75" customHeight="1">
      <c r="A131" s="499"/>
      <c r="B131" s="498"/>
      <c r="C131" s="497"/>
      <c r="D131" s="486"/>
      <c r="E131" s="496"/>
      <c r="F131" s="496"/>
      <c r="G131" s="485"/>
      <c r="H131" s="484"/>
      <c r="I131" s="495"/>
      <c r="K131" s="428">
        <v>17</v>
      </c>
      <c r="L131" s="425" t="e">
        <f>IF(EXACT(B131,#REF!),#REF!,"Different Name: "&amp;#REF!)</f>
        <v>#REF!</v>
      </c>
      <c r="M131" s="423">
        <f>IF('Top 20 Trending'!D131=0, 0%,(#REF!-'Top 20 Trending'!D131)/'Top 20 Trending'!D131)</f>
        <v>0</v>
      </c>
      <c r="N131" s="423">
        <f>IF('Top 20 Trending'!G131=0, 0%,(#REF!-'Top 20 Trending'!G131)/'Top 20 Trending'!G131)</f>
        <v>0</v>
      </c>
      <c r="O131" s="422" t="str">
        <f t="shared" si="4"/>
        <v>Pass</v>
      </c>
    </row>
    <row r="132" spans="1:15" ht="12.75" customHeight="1">
      <c r="A132" s="482"/>
      <c r="B132" s="481"/>
      <c r="C132" s="494"/>
      <c r="D132" s="493"/>
      <c r="E132" s="493"/>
      <c r="F132" s="493"/>
      <c r="G132" s="492"/>
      <c r="H132" s="491"/>
      <c r="I132" s="490"/>
      <c r="K132" s="428">
        <v>18</v>
      </c>
      <c r="L132" s="425" t="e">
        <f>IF(EXACT(B132,#REF!),#REF!,"Different Name: "&amp;#REF!)</f>
        <v>#REF!</v>
      </c>
      <c r="M132" s="423">
        <f>IF('Top 20 Trending'!D132=0, 0%,(#REF!-'Top 20 Trending'!D132)/'Top 20 Trending'!D132)</f>
        <v>0</v>
      </c>
      <c r="N132" s="423">
        <f>IF('Top 20 Trending'!G132=0, 0%,(#REF!-'Top 20 Trending'!G132)/'Top 20 Trending'!G132)</f>
        <v>0</v>
      </c>
      <c r="O132" s="422" t="str">
        <f t="shared" si="4"/>
        <v>Pass</v>
      </c>
    </row>
    <row r="133" spans="1:15" ht="14.25" customHeight="1">
      <c r="A133" s="489"/>
      <c r="B133" s="488"/>
      <c r="C133" s="487"/>
      <c r="D133" s="486"/>
      <c r="E133" s="486"/>
      <c r="F133" s="486"/>
      <c r="G133" s="485"/>
      <c r="H133" s="484"/>
      <c r="I133" s="483"/>
      <c r="K133" s="428">
        <v>19</v>
      </c>
      <c r="L133" s="425" t="e">
        <f>IF(EXACT(B133,#REF!),#REF!,"Different Name: "&amp;#REF!)</f>
        <v>#REF!</v>
      </c>
      <c r="M133" s="423">
        <f>IF('Top 20 Trending'!D133=0, 0%,(#REF!-'Top 20 Trending'!D133)/'Top 20 Trending'!D133)</f>
        <v>0</v>
      </c>
      <c r="N133" s="423">
        <f>IF('Top 20 Trending'!G133=0, 0%,(#REF!-'Top 20 Trending'!G133)/'Top 20 Trending'!G133)</f>
        <v>0</v>
      </c>
      <c r="O133" s="422" t="str">
        <f t="shared" si="4"/>
        <v>Pass</v>
      </c>
    </row>
    <row r="134" spans="1:15" ht="12.75" customHeight="1">
      <c r="A134" s="482"/>
      <c r="B134" s="481"/>
      <c r="C134" s="494"/>
      <c r="D134" s="493"/>
      <c r="E134" s="493"/>
      <c r="F134" s="493"/>
      <c r="G134" s="492"/>
      <c r="H134" s="491"/>
      <c r="I134" s="490"/>
      <c r="K134" s="428">
        <v>20</v>
      </c>
      <c r="L134" s="425" t="e">
        <f>IF(EXACT(B134,#REF!),#REF!,"Different Name: "&amp;#REF!)</f>
        <v>#REF!</v>
      </c>
      <c r="M134" s="423">
        <f>IF('Top 20 Trending'!D134=0, 0%,(#REF!-'Top 20 Trending'!D134)/'Top 20 Trending'!D134)</f>
        <v>0</v>
      </c>
      <c r="N134" s="423">
        <f>IF('Top 20 Trending'!G134=0, 0%,(#REF!-'Top 20 Trending'!G134)/'Top 20 Trending'!G134)</f>
        <v>0</v>
      </c>
      <c r="O134" s="422" t="str">
        <f t="shared" si="4"/>
        <v>Pass</v>
      </c>
    </row>
    <row r="135" spans="1:15" s="452" customFormat="1">
      <c r="A135" s="322"/>
      <c r="B135" s="322"/>
      <c r="C135" s="193"/>
      <c r="D135" s="193"/>
      <c r="E135" s="250"/>
      <c r="F135" s="250"/>
      <c r="G135" s="250"/>
      <c r="H135" s="362"/>
      <c r="I135" s="302"/>
      <c r="K135" s="464"/>
      <c r="L135" s="453"/>
      <c r="M135" s="466"/>
      <c r="N135" s="463"/>
      <c r="O135" s="480"/>
    </row>
    <row r="136" spans="1:15" s="452" customFormat="1">
      <c r="A136" s="322"/>
      <c r="B136" s="322"/>
      <c r="C136" s="193"/>
      <c r="D136" s="193"/>
      <c r="E136" s="250"/>
      <c r="F136" s="250"/>
      <c r="G136" s="206"/>
      <c r="H136" s="309"/>
      <c r="I136" s="251"/>
      <c r="K136" s="464"/>
      <c r="L136" s="453"/>
      <c r="M136" s="479"/>
      <c r="N136" s="407"/>
      <c r="O136" s="407"/>
    </row>
    <row r="137" spans="1:15">
      <c r="A137" s="322"/>
      <c r="B137" s="322"/>
      <c r="C137" s="193"/>
      <c r="D137" s="193"/>
      <c r="E137" s="250"/>
      <c r="F137" s="250"/>
      <c r="G137" s="206"/>
      <c r="H137" s="309"/>
      <c r="I137" s="251"/>
      <c r="K137" s="464"/>
      <c r="L137" s="453"/>
      <c r="M137" s="421"/>
      <c r="N137" s="409"/>
      <c r="O137" s="409"/>
    </row>
    <row r="139" spans="1:15" ht="15" customHeight="1">
      <c r="A139" s="767" t="s">
        <v>348</v>
      </c>
      <c r="B139" s="767"/>
      <c r="C139" s="767"/>
      <c r="D139" s="767"/>
      <c r="E139" s="767"/>
      <c r="F139" s="767"/>
      <c r="G139" s="767"/>
      <c r="H139" s="767"/>
      <c r="I139" s="767"/>
      <c r="J139" s="767"/>
      <c r="K139" s="767"/>
      <c r="L139" s="767"/>
      <c r="M139" s="767"/>
      <c r="N139" s="767"/>
      <c r="O139" s="767"/>
    </row>
    <row r="140" spans="1:15" s="450" customFormat="1" ht="15"/>
    <row r="141" spans="1:15">
      <c r="A141" s="478" t="s">
        <v>32</v>
      </c>
      <c r="B141" s="89" t="s">
        <v>320</v>
      </c>
      <c r="C141" s="89" t="s">
        <v>23</v>
      </c>
      <c r="D141" s="477" t="s">
        <v>22</v>
      </c>
      <c r="E141" s="477" t="s">
        <v>21</v>
      </c>
      <c r="F141" s="477" t="s">
        <v>354</v>
      </c>
      <c r="G141" s="442" t="s">
        <v>337</v>
      </c>
      <c r="H141" s="445"/>
      <c r="I141" s="445"/>
      <c r="K141" s="444" t="s">
        <v>32</v>
      </c>
      <c r="L141" s="89" t="s">
        <v>320</v>
      </c>
      <c r="M141" s="89" t="s">
        <v>23</v>
      </c>
      <c r="N141" s="443" t="s">
        <v>22</v>
      </c>
      <c r="O141" s="442" t="s">
        <v>399</v>
      </c>
    </row>
    <row r="142" spans="1:15">
      <c r="A142" s="198"/>
      <c r="B142" s="279"/>
      <c r="C142" s="280"/>
      <c r="D142" s="280"/>
      <c r="E142" s="281"/>
      <c r="F142" s="282"/>
      <c r="G142" s="283"/>
      <c r="H142" s="472"/>
      <c r="I142" s="476"/>
      <c r="K142" s="428">
        <v>1</v>
      </c>
      <c r="L142" s="425" t="e">
        <f>IF(EXACT(B142,#REF!),#REF!,"Different Name: "&amp;#REF!)</f>
        <v>#REF!</v>
      </c>
      <c r="M142" s="423">
        <f>IF('Top 20 Trending'!C142=0, 0%,(#REF!-'Top 20 Trending'!C142)/'Top 20 Trending'!C142)</f>
        <v>0</v>
      </c>
      <c r="N142" s="423">
        <f>IF('Top 20 Trending'!D142=0, 0%,(#REF!-'Top 20 Trending'!D142)/'Top 20 Trending'!D142)</f>
        <v>0</v>
      </c>
      <c r="O142" s="422" t="str">
        <f t="shared" ref="O142:O161" si="5">IF(AND(M142&lt;10%,N142&lt;10%,M142&gt;-10%,N142&gt;-10%),"Pass","Fail")</f>
        <v>Pass</v>
      </c>
    </row>
    <row r="143" spans="1:15">
      <c r="A143" s="198"/>
      <c r="B143" s="230"/>
      <c r="C143" s="280"/>
      <c r="D143" s="280"/>
      <c r="E143" s="281"/>
      <c r="F143" s="282"/>
      <c r="G143" s="283"/>
      <c r="H143" s="472"/>
      <c r="I143" s="476"/>
      <c r="K143" s="428">
        <v>2</v>
      </c>
      <c r="L143" s="425" t="e">
        <f>IF(EXACT(B143,#REF!),#REF!,"Different Name: "&amp;#REF!)</f>
        <v>#REF!</v>
      </c>
      <c r="M143" s="423">
        <f>IF('Top 20 Trending'!C143=0, 0%,(#REF!-'Top 20 Trending'!C143)/'Top 20 Trending'!C143)</f>
        <v>0</v>
      </c>
      <c r="N143" s="423">
        <f>IF('Top 20 Trending'!D143=0, 0%,(#REF!-'Top 20 Trending'!D143)/'Top 20 Trending'!D143)</f>
        <v>0</v>
      </c>
      <c r="O143" s="422" t="str">
        <f t="shared" si="5"/>
        <v>Pass</v>
      </c>
    </row>
    <row r="144" spans="1:15">
      <c r="A144" s="198"/>
      <c r="B144" s="230"/>
      <c r="C144" s="280"/>
      <c r="D144" s="280"/>
      <c r="E144" s="281"/>
      <c r="F144" s="282"/>
      <c r="G144" s="283"/>
      <c r="H144" s="472"/>
      <c r="I144" s="476"/>
      <c r="K144" s="428">
        <v>3</v>
      </c>
      <c r="L144" s="425" t="e">
        <f>IF(EXACT(B144,#REF!),#REF!,"Different Name: "&amp;#REF!)</f>
        <v>#REF!</v>
      </c>
      <c r="M144" s="423">
        <f>IF('Top 20 Trending'!C144=0, 0%,(#REF!-'Top 20 Trending'!C144)/'Top 20 Trending'!C144)</f>
        <v>0</v>
      </c>
      <c r="N144" s="423">
        <f>IF('Top 20 Trending'!D144=0, 0%,(#REF!-'Top 20 Trending'!D144)/'Top 20 Trending'!D144)</f>
        <v>0</v>
      </c>
      <c r="O144" s="422" t="str">
        <f t="shared" si="5"/>
        <v>Pass</v>
      </c>
    </row>
    <row r="145" spans="1:15">
      <c r="A145" s="198"/>
      <c r="B145" s="230"/>
      <c r="C145" s="280"/>
      <c r="D145" s="280"/>
      <c r="E145" s="281"/>
      <c r="F145" s="282"/>
      <c r="G145" s="283"/>
      <c r="H145" s="472"/>
      <c r="I145" s="473"/>
      <c r="K145" s="428">
        <v>4</v>
      </c>
      <c r="L145" s="425" t="e">
        <f>IF(EXACT(B145,#REF!),#REF!,"Different Name: "&amp;#REF!)</f>
        <v>#REF!</v>
      </c>
      <c r="M145" s="423">
        <f>IF('Top 20 Trending'!C145=0, 0%,(#REF!-'Top 20 Trending'!C145)/'Top 20 Trending'!C145)</f>
        <v>0</v>
      </c>
      <c r="N145" s="423">
        <f>IF('Top 20 Trending'!D145=0, 0%,(#REF!-'Top 20 Trending'!D145)/'Top 20 Trending'!D145)</f>
        <v>0</v>
      </c>
      <c r="O145" s="422" t="str">
        <f t="shared" si="5"/>
        <v>Pass</v>
      </c>
    </row>
    <row r="146" spans="1:15">
      <c r="A146" s="198"/>
      <c r="B146" s="230"/>
      <c r="C146" s="280"/>
      <c r="D146" s="280"/>
      <c r="E146" s="281"/>
      <c r="F146" s="282"/>
      <c r="G146" s="283"/>
      <c r="H146" s="472"/>
      <c r="I146" s="476"/>
      <c r="K146" s="428">
        <v>5</v>
      </c>
      <c r="L146" s="425" t="e">
        <f>IF(EXACT(B146,#REF!),#REF!,"Different Name: "&amp;#REF!)</f>
        <v>#REF!</v>
      </c>
      <c r="M146" s="423">
        <f>IF('Top 20 Trending'!C146=0, 0%,(#REF!-'Top 20 Trending'!C146)/'Top 20 Trending'!C146)</f>
        <v>0</v>
      </c>
      <c r="N146" s="423">
        <f>IF('Top 20 Trending'!D146=0, 0%,(#REF!-'Top 20 Trending'!D146)/'Top 20 Trending'!D146)</f>
        <v>0</v>
      </c>
      <c r="O146" s="422" t="str">
        <f t="shared" si="5"/>
        <v>Pass</v>
      </c>
    </row>
    <row r="147" spans="1:15">
      <c r="A147" s="198"/>
      <c r="B147" s="230"/>
      <c r="C147" s="280"/>
      <c r="D147" s="280"/>
      <c r="E147" s="281"/>
      <c r="F147" s="282"/>
      <c r="G147" s="283"/>
      <c r="H147" s="472"/>
      <c r="I147" s="476"/>
      <c r="K147" s="428">
        <v>6</v>
      </c>
      <c r="L147" s="425" t="e">
        <f>IF(EXACT(B147,#REF!),#REF!,"Different Name: "&amp;#REF!)</f>
        <v>#REF!</v>
      </c>
      <c r="M147" s="423">
        <f>IF('Top 20 Trending'!C147=0, 0%,(#REF!-'Top 20 Trending'!C147)/'Top 20 Trending'!C147)</f>
        <v>0</v>
      </c>
      <c r="N147" s="423">
        <f>IF('Top 20 Trending'!D147=0, 0%,(#REF!-'Top 20 Trending'!D147)/'Top 20 Trending'!D147)</f>
        <v>0</v>
      </c>
      <c r="O147" s="422" t="str">
        <f t="shared" si="5"/>
        <v>Pass</v>
      </c>
    </row>
    <row r="148" spans="1:15">
      <c r="A148" s="198"/>
      <c r="B148" s="230"/>
      <c r="C148" s="280"/>
      <c r="D148" s="280"/>
      <c r="E148" s="281"/>
      <c r="F148" s="282"/>
      <c r="G148" s="283"/>
      <c r="H148" s="472"/>
      <c r="I148" s="476"/>
      <c r="K148" s="428">
        <v>7</v>
      </c>
      <c r="L148" s="425" t="e">
        <f>IF(EXACT(B148,#REF!),#REF!,"Different Name: "&amp;#REF!)</f>
        <v>#REF!</v>
      </c>
      <c r="M148" s="423">
        <f>IF('Top 20 Trending'!C148=0, 0%,(#REF!-'Top 20 Trending'!C148)/'Top 20 Trending'!C148)</f>
        <v>0</v>
      </c>
      <c r="N148" s="423">
        <f>IF('Top 20 Trending'!D148=0, 0%,(#REF!-'Top 20 Trending'!D148)/'Top 20 Trending'!D148)</f>
        <v>0</v>
      </c>
      <c r="O148" s="422" t="str">
        <f t="shared" si="5"/>
        <v>Pass</v>
      </c>
    </row>
    <row r="149" spans="1:15">
      <c r="A149" s="198"/>
      <c r="B149" s="230"/>
      <c r="C149" s="280"/>
      <c r="D149" s="280"/>
      <c r="E149" s="281"/>
      <c r="F149" s="282"/>
      <c r="G149" s="283"/>
      <c r="H149" s="472"/>
      <c r="I149" s="473"/>
      <c r="K149" s="428">
        <v>8</v>
      </c>
      <c r="L149" s="425" t="e">
        <f>IF(EXACT(B149,#REF!),#REF!,"Different Name: "&amp;#REF!)</f>
        <v>#REF!</v>
      </c>
      <c r="M149" s="423">
        <f>IF('Top 20 Trending'!C149=0, 0%,(#REF!-'Top 20 Trending'!C149)/'Top 20 Trending'!C149)</f>
        <v>0</v>
      </c>
      <c r="N149" s="423">
        <f>IF('Top 20 Trending'!D149=0, 0%,(#REF!-'Top 20 Trending'!D149)/'Top 20 Trending'!D149)</f>
        <v>0</v>
      </c>
      <c r="O149" s="422" t="str">
        <f t="shared" si="5"/>
        <v>Pass</v>
      </c>
    </row>
    <row r="150" spans="1:15">
      <c r="A150" s="198"/>
      <c r="B150" s="230"/>
      <c r="C150" s="280"/>
      <c r="D150" s="280"/>
      <c r="E150" s="281"/>
      <c r="F150" s="282"/>
      <c r="G150" s="283"/>
      <c r="H150" s="289"/>
      <c r="I150" s="289"/>
      <c r="K150" s="428">
        <v>9</v>
      </c>
      <c r="L150" s="425" t="e">
        <f>IF(EXACT(B150,#REF!),#REF!,"Different Name: "&amp;#REF!)</f>
        <v>#REF!</v>
      </c>
      <c r="M150" s="423">
        <f>IF('Top 20 Trending'!C150=0, 0%,(#REF!-'Top 20 Trending'!C150)/'Top 20 Trending'!C150)</f>
        <v>0</v>
      </c>
      <c r="N150" s="423">
        <f>IF('Top 20 Trending'!D150=0, 0%,(#REF!-'Top 20 Trending'!D150)/'Top 20 Trending'!D150)</f>
        <v>0</v>
      </c>
      <c r="O150" s="422" t="str">
        <f t="shared" si="5"/>
        <v>Pass</v>
      </c>
    </row>
    <row r="151" spans="1:15">
      <c r="A151" s="198"/>
      <c r="B151" s="230"/>
      <c r="C151" s="280"/>
      <c r="D151" s="280"/>
      <c r="E151" s="281"/>
      <c r="F151" s="282"/>
      <c r="G151" s="283"/>
      <c r="H151" s="472"/>
      <c r="I151" s="473"/>
      <c r="K151" s="428">
        <v>10</v>
      </c>
      <c r="L151" s="425" t="e">
        <f>IF(EXACT(B151,#REF!),#REF!,"Different Name: "&amp;#REF!)</f>
        <v>#REF!</v>
      </c>
      <c r="M151" s="423">
        <f>IF('Top 20 Trending'!C151=0, 0%,(#REF!-'Top 20 Trending'!C151)/'Top 20 Trending'!C151)</f>
        <v>0</v>
      </c>
      <c r="N151" s="423">
        <f>IF('Top 20 Trending'!D151=0, 0%,(#REF!-'Top 20 Trending'!D151)/'Top 20 Trending'!D151)</f>
        <v>0</v>
      </c>
      <c r="O151" s="422" t="str">
        <f t="shared" si="5"/>
        <v>Pass</v>
      </c>
    </row>
    <row r="152" spans="1:15">
      <c r="A152" s="198"/>
      <c r="B152" s="230"/>
      <c r="C152" s="280"/>
      <c r="D152" s="280"/>
      <c r="E152" s="281"/>
      <c r="F152" s="282"/>
      <c r="G152" s="283"/>
      <c r="H152" s="472"/>
      <c r="I152" s="473"/>
      <c r="K152" s="428">
        <v>11</v>
      </c>
      <c r="L152" s="425" t="e">
        <f>IF(EXACT(B152,#REF!),#REF!,"Different Name: "&amp;#REF!)</f>
        <v>#REF!</v>
      </c>
      <c r="M152" s="423">
        <f>IF('Top 20 Trending'!C152=0, 0%,(#REF!-'Top 20 Trending'!C152)/'Top 20 Trending'!C152)</f>
        <v>0</v>
      </c>
      <c r="N152" s="423">
        <f>IF('Top 20 Trending'!D152=0, 0%,(#REF!-'Top 20 Trending'!D152)/'Top 20 Trending'!D152)</f>
        <v>0</v>
      </c>
      <c r="O152" s="422" t="str">
        <f t="shared" si="5"/>
        <v>Pass</v>
      </c>
    </row>
    <row r="153" spans="1:15">
      <c r="A153" s="198"/>
      <c r="B153" s="230"/>
      <c r="C153" s="280"/>
      <c r="D153" s="280"/>
      <c r="E153" s="281"/>
      <c r="F153" s="282"/>
      <c r="G153" s="283"/>
      <c r="H153" s="472"/>
      <c r="I153" s="473"/>
      <c r="K153" s="428">
        <v>12</v>
      </c>
      <c r="L153" s="425" t="e">
        <f>IF(EXACT(B153,#REF!),#REF!,"Different Name: "&amp;#REF!)</f>
        <v>#REF!</v>
      </c>
      <c r="M153" s="423">
        <f>IF('Top 20 Trending'!C153=0, 0%,(#REF!-'Top 20 Trending'!C153)/'Top 20 Trending'!C153)</f>
        <v>0</v>
      </c>
      <c r="N153" s="423">
        <f>IF('Top 20 Trending'!D153=0, 0%,(#REF!-'Top 20 Trending'!D153)/'Top 20 Trending'!D153)</f>
        <v>0</v>
      </c>
      <c r="O153" s="422" t="str">
        <f t="shared" si="5"/>
        <v>Pass</v>
      </c>
    </row>
    <row r="154" spans="1:15">
      <c r="A154" s="198"/>
      <c r="B154" s="230"/>
      <c r="C154" s="287"/>
      <c r="D154" s="287"/>
      <c r="E154" s="288"/>
      <c r="F154" s="289"/>
      <c r="G154" s="290"/>
      <c r="H154" s="472"/>
      <c r="I154" s="473"/>
      <c r="K154" s="428">
        <v>13</v>
      </c>
      <c r="L154" s="425" t="e">
        <f>IF(EXACT(B154,#REF!),#REF!,"Different Name: "&amp;#REF!)</f>
        <v>#REF!</v>
      </c>
      <c r="M154" s="423">
        <f>IF('Top 20 Trending'!C154=0, 0%,(#REF!-'Top 20 Trending'!C154)/'Top 20 Trending'!C154)</f>
        <v>0</v>
      </c>
      <c r="N154" s="423">
        <f>IF('Top 20 Trending'!D154=0, 0%,(#REF!-'Top 20 Trending'!D154)/'Top 20 Trending'!D154)</f>
        <v>0</v>
      </c>
      <c r="O154" s="422" t="str">
        <f t="shared" si="5"/>
        <v>Pass</v>
      </c>
    </row>
    <row r="155" spans="1:15" s="427" customFormat="1">
      <c r="A155" s="198"/>
      <c r="B155" s="230"/>
      <c r="C155" s="287"/>
      <c r="D155" s="287"/>
      <c r="E155" s="288"/>
      <c r="F155" s="289"/>
      <c r="G155" s="290"/>
      <c r="H155" s="472"/>
      <c r="I155" s="473"/>
      <c r="K155" s="428">
        <v>14</v>
      </c>
      <c r="L155" s="425" t="e">
        <f>IF(EXACT(B155,#REF!),#REF!,"Different Name: "&amp;#REF!)</f>
        <v>#REF!</v>
      </c>
      <c r="M155" s="423">
        <f>IF('Top 20 Trending'!C155=0, 0%,(#REF!-'Top 20 Trending'!C155)/'Top 20 Trending'!C155)</f>
        <v>0</v>
      </c>
      <c r="N155" s="423">
        <f>IF('Top 20 Trending'!D155=0, 0%,(#REF!-'Top 20 Trending'!D155)/'Top 20 Trending'!D155)</f>
        <v>0</v>
      </c>
      <c r="O155" s="422" t="str">
        <f t="shared" si="5"/>
        <v>Pass</v>
      </c>
    </row>
    <row r="156" spans="1:15" s="456" customFormat="1">
      <c r="A156" s="198"/>
      <c r="B156" s="230"/>
      <c r="C156" s="287"/>
      <c r="D156" s="287"/>
      <c r="E156" s="288"/>
      <c r="F156" s="289"/>
      <c r="G156" s="290"/>
      <c r="H156" s="472"/>
      <c r="I156" s="472"/>
      <c r="K156" s="428">
        <v>15</v>
      </c>
      <c r="L156" s="425" t="e">
        <f>IF(EXACT(B156,#REF!),#REF!,"Different Name: "&amp;#REF!)</f>
        <v>#REF!</v>
      </c>
      <c r="M156" s="423">
        <f>IF('Top 20 Trending'!C156=0, 0%,(#REF!-'Top 20 Trending'!C156)/'Top 20 Trending'!C156)</f>
        <v>0</v>
      </c>
      <c r="N156" s="423">
        <f>IF('Top 20 Trending'!D156=0, 0%,(#REF!-'Top 20 Trending'!D156)/'Top 20 Trending'!D156)</f>
        <v>0</v>
      </c>
      <c r="O156" s="422" t="str">
        <f t="shared" si="5"/>
        <v>Pass</v>
      </c>
    </row>
    <row r="157" spans="1:15">
      <c r="A157" s="198"/>
      <c r="B157" s="230"/>
      <c r="C157" s="287"/>
      <c r="D157" s="287"/>
      <c r="E157" s="288"/>
      <c r="F157" s="289"/>
      <c r="G157" s="290"/>
      <c r="H157" s="197"/>
      <c r="I157" s="197"/>
      <c r="K157" s="428">
        <v>16</v>
      </c>
      <c r="L157" s="425" t="e">
        <f>IF(EXACT(B157,#REF!),#REF!,"Different Name: "&amp;#REF!)</f>
        <v>#REF!</v>
      </c>
      <c r="M157" s="423">
        <f>IF('Top 20 Trending'!C157=0, 0%,(#REF!-'Top 20 Trending'!C157)/'Top 20 Trending'!C157)</f>
        <v>0</v>
      </c>
      <c r="N157" s="423">
        <f>IF('Top 20 Trending'!D157=0, 0%,(#REF!-'Top 20 Trending'!D157)/'Top 20 Trending'!D157)</f>
        <v>0</v>
      </c>
      <c r="O157" s="422" t="str">
        <f t="shared" si="5"/>
        <v>Pass</v>
      </c>
    </row>
    <row r="158" spans="1:15">
      <c r="A158" s="198"/>
      <c r="B158" s="199"/>
      <c r="C158" s="280"/>
      <c r="D158" s="280"/>
      <c r="E158" s="281"/>
      <c r="F158" s="282"/>
      <c r="G158" s="283"/>
      <c r="H158" s="197"/>
      <c r="I158" s="388"/>
      <c r="K158" s="428">
        <v>17</v>
      </c>
      <c r="L158" s="425" t="e">
        <f>IF(EXACT(B158,#REF!),#REF!,"Different Name: "&amp;#REF!)</f>
        <v>#REF!</v>
      </c>
      <c r="M158" s="423">
        <f>IF('Top 20 Trending'!C158=0, 0%,(#REF!-'Top 20 Trending'!C158)/'Top 20 Trending'!C158)</f>
        <v>0</v>
      </c>
      <c r="N158" s="423">
        <f>IF('Top 20 Trending'!D158=0, 0%,(#REF!-'Top 20 Trending'!D158)/'Top 20 Trending'!D158)</f>
        <v>0</v>
      </c>
      <c r="O158" s="422" t="str">
        <f t="shared" si="5"/>
        <v>Pass</v>
      </c>
    </row>
    <row r="159" spans="1:15">
      <c r="A159" s="198"/>
      <c r="B159" s="199"/>
      <c r="C159" s="280"/>
      <c r="D159" s="280"/>
      <c r="E159" s="281"/>
      <c r="F159" s="282"/>
      <c r="G159" s="283"/>
      <c r="H159" s="197"/>
      <c r="I159" s="197"/>
      <c r="K159" s="428">
        <v>18</v>
      </c>
      <c r="L159" s="425" t="e">
        <f>IF(EXACT(B159,#REF!),#REF!,"Different Name: "&amp;#REF!)</f>
        <v>#REF!</v>
      </c>
      <c r="M159" s="423">
        <f>IF('Top 20 Trending'!C159=0, 0%,(#REF!-'Top 20 Trending'!C159)/'Top 20 Trending'!C159)</f>
        <v>0</v>
      </c>
      <c r="N159" s="423">
        <f>IF('Top 20 Trending'!D159=0, 0%,(#REF!-'Top 20 Trending'!D159)/'Top 20 Trending'!D159)</f>
        <v>0</v>
      </c>
      <c r="O159" s="422" t="str">
        <f t="shared" si="5"/>
        <v>Pass</v>
      </c>
    </row>
    <row r="160" spans="1:15">
      <c r="A160" s="198"/>
      <c r="B160" s="199"/>
      <c r="C160" s="280"/>
      <c r="D160" s="280"/>
      <c r="E160" s="281"/>
      <c r="F160" s="282"/>
      <c r="G160" s="291"/>
      <c r="H160" s="197"/>
      <c r="I160" s="278"/>
      <c r="K160" s="428">
        <v>19</v>
      </c>
      <c r="L160" s="425" t="e">
        <f>IF(EXACT(B160,#REF!),#REF!,"Different Name: "&amp;#REF!)</f>
        <v>#REF!</v>
      </c>
      <c r="M160" s="423">
        <f>IF('Top 20 Trending'!C160=0, 0%,(#REF!-'Top 20 Trending'!C160)/'Top 20 Trending'!C160)</f>
        <v>0</v>
      </c>
      <c r="N160" s="423">
        <f>IF('Top 20 Trending'!D160=0, 0%,(#REF!-'Top 20 Trending'!D160)/'Top 20 Trending'!D160)</f>
        <v>0</v>
      </c>
      <c r="O160" s="422" t="str">
        <f t="shared" si="5"/>
        <v>Pass</v>
      </c>
    </row>
    <row r="161" spans="1:15">
      <c r="A161" s="294"/>
      <c r="B161" s="199"/>
      <c r="C161" s="280"/>
      <c r="D161" s="280"/>
      <c r="E161" s="281"/>
      <c r="F161" s="282"/>
      <c r="G161" s="292"/>
      <c r="H161" s="197"/>
      <c r="I161" s="389"/>
      <c r="K161" s="428">
        <v>20</v>
      </c>
      <c r="L161" s="425" t="e">
        <f>IF(EXACT(B161,#REF!),#REF!,"Different Name: "&amp;#REF!)</f>
        <v>#REF!</v>
      </c>
      <c r="M161" s="423">
        <f>IF('Top 20 Trending'!C161=0, 0%,(#REF!-'Top 20 Trending'!C161)/'Top 20 Trending'!C161)</f>
        <v>0</v>
      </c>
      <c r="N161" s="423">
        <f>IF('Top 20 Trending'!D161=0, 0%,(#REF!-'Top 20 Trending'!D161)/'Top 20 Trending'!D161)</f>
        <v>0</v>
      </c>
      <c r="O161" s="422" t="str">
        <f t="shared" si="5"/>
        <v>Pass</v>
      </c>
    </row>
    <row r="162" spans="1:15" s="452" customFormat="1">
      <c r="A162" s="103"/>
      <c r="B162" s="103"/>
      <c r="C162" s="193"/>
      <c r="D162" s="193"/>
      <c r="E162" s="357"/>
      <c r="F162" s="250"/>
      <c r="G162" s="357"/>
      <c r="H162" s="197"/>
      <c r="I162" s="389"/>
      <c r="K162" s="464"/>
      <c r="L162" s="453"/>
      <c r="M162" s="466"/>
      <c r="N162" s="420"/>
      <c r="O162" s="454"/>
    </row>
    <row r="163" spans="1:15" s="452" customFormat="1">
      <c r="A163" s="103"/>
      <c r="B163" s="358"/>
      <c r="C163" s="359"/>
      <c r="D163" s="359"/>
      <c r="E163" s="360"/>
      <c r="F163" s="360"/>
      <c r="G163" s="103"/>
      <c r="H163" s="197"/>
      <c r="I163" s="389"/>
      <c r="K163" s="464"/>
      <c r="L163" s="453"/>
      <c r="M163" s="407"/>
      <c r="N163" s="465"/>
      <c r="O163" s="462"/>
    </row>
    <row r="164" spans="1:15" s="452" customFormat="1">
      <c r="A164" s="103"/>
      <c r="B164" s="103"/>
      <c r="C164" s="193"/>
      <c r="D164" s="193"/>
      <c r="E164" s="250"/>
      <c r="F164" s="250"/>
      <c r="G164" s="103"/>
      <c r="H164" s="197"/>
      <c r="I164" s="278"/>
      <c r="K164" s="464"/>
      <c r="L164" s="453"/>
      <c r="M164" s="409"/>
      <c r="N164" s="463"/>
      <c r="O164" s="462"/>
    </row>
    <row r="165" spans="1:15">
      <c r="L165" s="461"/>
      <c r="M165" s="460"/>
    </row>
    <row r="166" spans="1:15" ht="15" customHeight="1">
      <c r="A166" s="767" t="s">
        <v>349</v>
      </c>
      <c r="B166" s="767"/>
      <c r="C166" s="767"/>
      <c r="D166" s="767"/>
      <c r="E166" s="767"/>
      <c r="F166" s="767"/>
      <c r="G166" s="767"/>
      <c r="H166" s="767"/>
      <c r="I166" s="767"/>
      <c r="J166" s="767"/>
      <c r="K166" s="767"/>
      <c r="L166" s="767"/>
      <c r="M166" s="767"/>
      <c r="N166" s="767"/>
      <c r="O166" s="767"/>
    </row>
    <row r="167" spans="1:15">
      <c r="K167" s="787"/>
      <c r="L167" s="787"/>
      <c r="M167" s="787"/>
      <c r="N167" s="787"/>
      <c r="O167" s="787"/>
    </row>
    <row r="168" spans="1:15">
      <c r="A168" s="89" t="s">
        <v>32</v>
      </c>
      <c r="B168" s="89" t="s">
        <v>350</v>
      </c>
      <c r="C168" s="459" t="s">
        <v>23</v>
      </c>
      <c r="D168" s="458" t="s">
        <v>22</v>
      </c>
      <c r="E168" s="411" t="s">
        <v>21</v>
      </c>
      <c r="F168" s="457" t="s">
        <v>337</v>
      </c>
      <c r="G168" s="445"/>
      <c r="H168" s="445"/>
      <c r="I168" s="445"/>
      <c r="K168" s="444" t="s">
        <v>32</v>
      </c>
      <c r="L168" s="89" t="s">
        <v>350</v>
      </c>
      <c r="M168" s="89" t="s">
        <v>23</v>
      </c>
      <c r="N168" s="443" t="s">
        <v>22</v>
      </c>
      <c r="O168" s="442" t="s">
        <v>399</v>
      </c>
    </row>
    <row r="169" spans="1:15">
      <c r="A169" s="198"/>
      <c r="B169" s="279"/>
      <c r="C169" s="280"/>
      <c r="D169" s="280"/>
      <c r="E169" s="281"/>
      <c r="F169" s="282"/>
      <c r="G169" s="283"/>
      <c r="H169" s="282"/>
      <c r="I169" s="282"/>
      <c r="K169" s="426">
        <v>1</v>
      </c>
      <c r="L169" s="425" t="e">
        <f>IF(EXACT(B169,#REF!),#REF!,"Different Name: "&amp;#REF!)</f>
        <v>#REF!</v>
      </c>
      <c r="M169" s="423">
        <f>IF('Top 20 Trending'!C169=0, 0%,(#REF!-'Top 20 Trending'!C169)/'Top 20 Trending'!C169)</f>
        <v>0</v>
      </c>
      <c r="N169" s="423">
        <f>IF('Top 20 Trending'!D169=0, 0%,(#REF!-'Top 20 Trending'!D169)/'Top 20 Trending'!D169)</f>
        <v>0</v>
      </c>
      <c r="O169" s="422" t="str">
        <f t="shared" ref="O169:O188" si="6">IF(AND(M169&lt;10%,N169&lt;10%,M169&gt;-10%,N169&gt;-10%),"Pass","Fail")</f>
        <v>Pass</v>
      </c>
    </row>
    <row r="170" spans="1:15">
      <c r="A170" s="198"/>
      <c r="B170" s="230"/>
      <c r="C170" s="280"/>
      <c r="D170" s="280"/>
      <c r="E170" s="281"/>
      <c r="F170" s="282"/>
      <c r="G170" s="283"/>
      <c r="H170" s="282"/>
      <c r="I170" s="282"/>
      <c r="K170" s="426">
        <v>2</v>
      </c>
      <c r="L170" s="425" t="e">
        <f>IF(EXACT(B170,#REF!),#REF!,"Different Name: "&amp;#REF!)</f>
        <v>#REF!</v>
      </c>
      <c r="M170" s="423">
        <f>IF('Top 20 Trending'!C170=0, 0%,(#REF!-'Top 20 Trending'!C170)/'Top 20 Trending'!C170)</f>
        <v>0</v>
      </c>
      <c r="N170" s="423">
        <f>IF('Top 20 Trending'!D170=0, 0%,(#REF!-'Top 20 Trending'!D170)/'Top 20 Trending'!D170)</f>
        <v>0</v>
      </c>
      <c r="O170" s="422" t="str">
        <f t="shared" si="6"/>
        <v>Pass</v>
      </c>
    </row>
    <row r="171" spans="1:15" s="456" customFormat="1">
      <c r="A171" s="198"/>
      <c r="B171" s="230"/>
      <c r="C171" s="280"/>
      <c r="D171" s="280"/>
      <c r="E171" s="281"/>
      <c r="F171" s="282"/>
      <c r="G171" s="283"/>
      <c r="H171" s="282"/>
      <c r="I171" s="282"/>
      <c r="K171" s="426">
        <v>3</v>
      </c>
      <c r="L171" s="425" t="e">
        <f>IF(EXACT(B171,#REF!),#REF!,"Different Name: "&amp;#REF!)</f>
        <v>#REF!</v>
      </c>
      <c r="M171" s="423">
        <f>IF('Top 20 Trending'!C171=0, 0%,(#REF!-'Top 20 Trending'!C171)/'Top 20 Trending'!C171)</f>
        <v>0</v>
      </c>
      <c r="N171" s="423">
        <f>IF('Top 20 Trending'!D171=0, 0%,(#REF!-'Top 20 Trending'!D171)/'Top 20 Trending'!D171)</f>
        <v>0</v>
      </c>
      <c r="O171" s="422" t="str">
        <f t="shared" si="6"/>
        <v>Pass</v>
      </c>
    </row>
    <row r="172" spans="1:15" s="456" customFormat="1">
      <c r="A172" s="198"/>
      <c r="B172" s="230"/>
      <c r="C172" s="280"/>
      <c r="D172" s="280"/>
      <c r="E172" s="281"/>
      <c r="F172" s="282"/>
      <c r="G172" s="283"/>
      <c r="H172" s="282"/>
      <c r="I172" s="282"/>
      <c r="K172" s="426">
        <v>4</v>
      </c>
      <c r="L172" s="425" t="e">
        <f>IF(EXACT(B172,#REF!),#REF!,"Different Name: "&amp;#REF!)</f>
        <v>#REF!</v>
      </c>
      <c r="M172" s="423">
        <f>IF('Top 20 Trending'!C172=0, 0%,(#REF!-'Top 20 Trending'!C172)/'Top 20 Trending'!C172)</f>
        <v>0</v>
      </c>
      <c r="N172" s="423">
        <f>IF('Top 20 Trending'!D172=0, 0%,(#REF!-'Top 20 Trending'!D172)/'Top 20 Trending'!D172)</f>
        <v>0</v>
      </c>
      <c r="O172" s="422" t="str">
        <f t="shared" si="6"/>
        <v>Pass</v>
      </c>
    </row>
    <row r="173" spans="1:15" s="456" customFormat="1">
      <c r="A173" s="198"/>
      <c r="B173" s="230"/>
      <c r="C173" s="280"/>
      <c r="D173" s="280"/>
      <c r="E173" s="281"/>
      <c r="F173" s="282"/>
      <c r="G173" s="283"/>
      <c r="H173" s="282"/>
      <c r="I173" s="282"/>
      <c r="K173" s="426">
        <v>5</v>
      </c>
      <c r="L173" s="425" t="e">
        <f>IF(EXACT(B173,#REF!),#REF!,"Different Name: "&amp;#REF!)</f>
        <v>#REF!</v>
      </c>
      <c r="M173" s="423">
        <f>IF('Top 20 Trending'!C173=0, 0%,(#REF!-'Top 20 Trending'!C173)/'Top 20 Trending'!C173)</f>
        <v>0</v>
      </c>
      <c r="N173" s="423">
        <f>IF('Top 20 Trending'!D173=0, 0%,(#REF!-'Top 20 Trending'!D173)/'Top 20 Trending'!D173)</f>
        <v>0</v>
      </c>
      <c r="O173" s="422" t="str">
        <f t="shared" si="6"/>
        <v>Pass</v>
      </c>
    </row>
    <row r="174" spans="1:15" s="456" customFormat="1">
      <c r="A174" s="198"/>
      <c r="B174" s="230"/>
      <c r="C174" s="280"/>
      <c r="D174" s="280"/>
      <c r="E174" s="281"/>
      <c r="F174" s="282"/>
      <c r="G174" s="283"/>
      <c r="H174" s="282"/>
      <c r="I174" s="282"/>
      <c r="K174" s="428">
        <v>6</v>
      </c>
      <c r="L174" s="425" t="e">
        <f>IF(EXACT(B174,#REF!),#REF!,"Different Name: "&amp;#REF!)</f>
        <v>#REF!</v>
      </c>
      <c r="M174" s="423">
        <f>IF('Top 20 Trending'!C174=0, 0%,(#REF!-'Top 20 Trending'!C174)/'Top 20 Trending'!C174)</f>
        <v>0</v>
      </c>
      <c r="N174" s="423">
        <f>IF('Top 20 Trending'!D174=0, 0%,(#REF!-'Top 20 Trending'!D174)/'Top 20 Trending'!D174)</f>
        <v>0</v>
      </c>
      <c r="O174" s="422" t="str">
        <f t="shared" si="6"/>
        <v>Pass</v>
      </c>
    </row>
    <row r="175" spans="1:15">
      <c r="A175" s="198"/>
      <c r="B175" s="230"/>
      <c r="C175" s="280"/>
      <c r="D175" s="280"/>
      <c r="E175" s="281"/>
      <c r="F175" s="282"/>
      <c r="G175" s="283"/>
      <c r="H175" s="282"/>
      <c r="I175" s="282"/>
      <c r="K175" s="426">
        <v>7</v>
      </c>
      <c r="L175" s="425" t="e">
        <f>IF(EXACT(B175,#REF!),#REF!,"Different Name: "&amp;#REF!)</f>
        <v>#REF!</v>
      </c>
      <c r="M175" s="423">
        <f>IF('Top 20 Trending'!C175=0, 0%,(#REF!-'Top 20 Trending'!C175)/'Top 20 Trending'!C175)</f>
        <v>0</v>
      </c>
      <c r="N175" s="423">
        <f>IF('Top 20 Trending'!D175=0, 0%,(#REF!-'Top 20 Trending'!D175)/'Top 20 Trending'!D175)</f>
        <v>0</v>
      </c>
      <c r="O175" s="422" t="str">
        <f t="shared" si="6"/>
        <v>Pass</v>
      </c>
    </row>
    <row r="176" spans="1:15" s="456" customFormat="1">
      <c r="A176" s="198"/>
      <c r="B176" s="230"/>
      <c r="C176" s="280"/>
      <c r="D176" s="280"/>
      <c r="E176" s="281"/>
      <c r="F176" s="282"/>
      <c r="G176" s="283"/>
      <c r="H176" s="282"/>
      <c r="I176" s="282"/>
      <c r="K176" s="426">
        <v>8</v>
      </c>
      <c r="L176" s="425" t="e">
        <f>IF(EXACT(B176,#REF!),#REF!,"Different Name: "&amp;#REF!)</f>
        <v>#REF!</v>
      </c>
      <c r="M176" s="423">
        <f>IF('Top 20 Trending'!C176=0, 0%,(#REF!-'Top 20 Trending'!C176)/'Top 20 Trending'!C176)</f>
        <v>0</v>
      </c>
      <c r="N176" s="423">
        <f>IF('Top 20 Trending'!D176=0, 0%,(#REF!-'Top 20 Trending'!D176)/'Top 20 Trending'!D176)</f>
        <v>0</v>
      </c>
      <c r="O176" s="422" t="str">
        <f t="shared" si="6"/>
        <v>Pass</v>
      </c>
    </row>
    <row r="177" spans="1:15" s="456" customFormat="1">
      <c r="A177" s="198"/>
      <c r="B177" s="230"/>
      <c r="C177" s="280"/>
      <c r="D177" s="280"/>
      <c r="E177" s="281"/>
      <c r="F177" s="282"/>
      <c r="G177" s="283"/>
      <c r="H177" s="282"/>
      <c r="I177" s="282"/>
      <c r="K177" s="426">
        <v>9</v>
      </c>
      <c r="L177" s="425" t="e">
        <f>IF(EXACT(B177,#REF!),#REF!,"Different Name: "&amp;#REF!)</f>
        <v>#REF!</v>
      </c>
      <c r="M177" s="423">
        <f>IF('Top 20 Trending'!C177=0, 0%,(#REF!-'Top 20 Trending'!C177)/'Top 20 Trending'!C177)</f>
        <v>0</v>
      </c>
      <c r="N177" s="423">
        <f>IF('Top 20 Trending'!D177=0, 0%,(#REF!-'Top 20 Trending'!D177)/'Top 20 Trending'!D177)</f>
        <v>0</v>
      </c>
      <c r="O177" s="422" t="str">
        <f t="shared" si="6"/>
        <v>Pass</v>
      </c>
    </row>
    <row r="178" spans="1:15">
      <c r="A178" s="198"/>
      <c r="B178" s="230"/>
      <c r="C178" s="280"/>
      <c r="D178" s="280"/>
      <c r="E178" s="281"/>
      <c r="F178" s="282"/>
      <c r="G178" s="283"/>
      <c r="H178" s="282"/>
      <c r="I178" s="282"/>
      <c r="K178" s="428">
        <v>10</v>
      </c>
      <c r="L178" s="425" t="e">
        <f>IF(EXACT(B178,#REF!),#REF!,"Different Name: "&amp;#REF!)</f>
        <v>#REF!</v>
      </c>
      <c r="M178" s="423">
        <f>IF('Top 20 Trending'!C178=0, 0%,(#REF!-'Top 20 Trending'!C178)/'Top 20 Trending'!C178)</f>
        <v>0</v>
      </c>
      <c r="N178" s="423">
        <f>IF('Top 20 Trending'!D178=0, 0%,(#REF!-'Top 20 Trending'!D178)/'Top 20 Trending'!D178)</f>
        <v>0</v>
      </c>
      <c r="O178" s="422" t="str">
        <f t="shared" si="6"/>
        <v>Pass</v>
      </c>
    </row>
    <row r="179" spans="1:15">
      <c r="A179" s="198"/>
      <c r="B179" s="230"/>
      <c r="C179" s="280"/>
      <c r="D179" s="280"/>
      <c r="E179" s="281"/>
      <c r="F179" s="282"/>
      <c r="G179" s="283"/>
      <c r="H179" s="282"/>
      <c r="I179" s="282"/>
      <c r="K179" s="426">
        <v>11</v>
      </c>
      <c r="L179" s="425" t="e">
        <f>IF(EXACT(B179,#REF!),#REF!,"Different Name: "&amp;#REF!)</f>
        <v>#REF!</v>
      </c>
      <c r="M179" s="423">
        <f>IF('Top 20 Trending'!C179=0, 0%,(#REF!-'Top 20 Trending'!C179)/'Top 20 Trending'!C179)</f>
        <v>0</v>
      </c>
      <c r="N179" s="423">
        <f>IF('Top 20 Trending'!D179=0, 0%,(#REF!-'Top 20 Trending'!D179)/'Top 20 Trending'!D179)</f>
        <v>0</v>
      </c>
      <c r="O179" s="422" t="str">
        <f t="shared" si="6"/>
        <v>Pass</v>
      </c>
    </row>
    <row r="180" spans="1:15">
      <c r="A180" s="198"/>
      <c r="B180" s="230"/>
      <c r="C180" s="280"/>
      <c r="D180" s="280"/>
      <c r="E180" s="281"/>
      <c r="F180" s="282"/>
      <c r="G180" s="283"/>
      <c r="H180" s="282"/>
      <c r="I180" s="282"/>
      <c r="K180" s="426">
        <v>12</v>
      </c>
      <c r="L180" s="425" t="e">
        <f>IF(EXACT(B180,#REF!),#REF!,"Different Name: "&amp;#REF!)</f>
        <v>#REF!</v>
      </c>
      <c r="M180" s="423">
        <f>IF('Top 20 Trending'!C180=0, 0%,(#REF!-'Top 20 Trending'!C180)/'Top 20 Trending'!C180)</f>
        <v>0</v>
      </c>
      <c r="N180" s="423">
        <f>IF('Top 20 Trending'!D180=0, 0%,(#REF!-'Top 20 Trending'!D180)/'Top 20 Trending'!D180)</f>
        <v>0</v>
      </c>
      <c r="O180" s="422" t="str">
        <f t="shared" si="6"/>
        <v>Pass</v>
      </c>
    </row>
    <row r="181" spans="1:15">
      <c r="A181" s="198"/>
      <c r="B181" s="230"/>
      <c r="C181" s="287"/>
      <c r="D181" s="287"/>
      <c r="E181" s="288"/>
      <c r="F181" s="289"/>
      <c r="G181" s="290"/>
      <c r="H181" s="289"/>
      <c r="I181" s="289"/>
      <c r="K181" s="426">
        <v>13</v>
      </c>
      <c r="L181" s="425" t="e">
        <f>IF(EXACT(B181,#REF!),#REF!,"Different Name: "&amp;#REF!)</f>
        <v>#REF!</v>
      </c>
      <c r="M181" s="423">
        <f>IF('Top 20 Trending'!C181=0, 0%,(#REF!-'Top 20 Trending'!C181)/'Top 20 Trending'!C181)</f>
        <v>0</v>
      </c>
      <c r="N181" s="423">
        <f>IF('Top 20 Trending'!D181=0, 0%,(#REF!-'Top 20 Trending'!D181)/'Top 20 Trending'!D181)</f>
        <v>0</v>
      </c>
      <c r="O181" s="422" t="str">
        <f t="shared" si="6"/>
        <v>Pass</v>
      </c>
    </row>
    <row r="182" spans="1:15" s="456" customFormat="1">
      <c r="A182" s="198"/>
      <c r="B182" s="230"/>
      <c r="C182" s="287"/>
      <c r="D182" s="287"/>
      <c r="E182" s="288"/>
      <c r="F182" s="289"/>
      <c r="G182" s="290"/>
      <c r="H182" s="289"/>
      <c r="I182" s="289"/>
      <c r="K182" s="428">
        <v>14</v>
      </c>
      <c r="L182" s="425" t="e">
        <f>IF(EXACT(B182,#REF!),#REF!,"Different Name: "&amp;#REF!)</f>
        <v>#REF!</v>
      </c>
      <c r="M182" s="423">
        <f>IF('Top 20 Trending'!C182=0, 0%,(#REF!-'Top 20 Trending'!C182)/'Top 20 Trending'!C182)</f>
        <v>0</v>
      </c>
      <c r="N182" s="423">
        <f>IF('Top 20 Trending'!D182=0, 0%,(#REF!-'Top 20 Trending'!D182)/'Top 20 Trending'!D182)</f>
        <v>0</v>
      </c>
      <c r="O182" s="422" t="str">
        <f t="shared" si="6"/>
        <v>Pass</v>
      </c>
    </row>
    <row r="183" spans="1:15">
      <c r="A183" s="198"/>
      <c r="B183" s="230"/>
      <c r="C183" s="287"/>
      <c r="D183" s="287"/>
      <c r="E183" s="288"/>
      <c r="F183" s="289"/>
      <c r="G183" s="290"/>
      <c r="H183" s="289"/>
      <c r="I183" s="289"/>
      <c r="K183" s="426">
        <v>15</v>
      </c>
      <c r="L183" s="425" t="e">
        <f>IF(EXACT(B183,#REF!),#REF!,"Different Name: "&amp;#REF!)</f>
        <v>#REF!</v>
      </c>
      <c r="M183" s="423">
        <f>IF('Top 20 Trending'!C183=0, 0%,(#REF!-'Top 20 Trending'!C183)/'Top 20 Trending'!C183)</f>
        <v>0</v>
      </c>
      <c r="N183" s="423">
        <f>IF('Top 20 Trending'!D183=0, 0%,(#REF!-'Top 20 Trending'!D183)/'Top 20 Trending'!D183)</f>
        <v>0</v>
      </c>
      <c r="O183" s="422" t="str">
        <f t="shared" si="6"/>
        <v>Pass</v>
      </c>
    </row>
    <row r="184" spans="1:15">
      <c r="A184" s="198"/>
      <c r="B184" s="230"/>
      <c r="C184" s="287"/>
      <c r="D184" s="287"/>
      <c r="E184" s="288"/>
      <c r="F184" s="289"/>
      <c r="G184" s="290"/>
      <c r="H184" s="289"/>
      <c r="I184" s="289"/>
      <c r="K184" s="426">
        <v>16</v>
      </c>
      <c r="L184" s="425" t="e">
        <f>IF(EXACT(B184,#REF!),#REF!,"Different Name: "&amp;#REF!)</f>
        <v>#REF!</v>
      </c>
      <c r="M184" s="423">
        <f>IF('Top 20 Trending'!C184=0, 0%,(#REF!-'Top 20 Trending'!C184)/'Top 20 Trending'!C184)</f>
        <v>0</v>
      </c>
      <c r="N184" s="423">
        <f>IF('Top 20 Trending'!D184=0, 0%,(#REF!-'Top 20 Trending'!D184)/'Top 20 Trending'!D184)</f>
        <v>0</v>
      </c>
      <c r="O184" s="422" t="str">
        <f t="shared" si="6"/>
        <v>Pass</v>
      </c>
    </row>
    <row r="185" spans="1:15" s="455" customFormat="1">
      <c r="A185" s="198"/>
      <c r="B185" s="199"/>
      <c r="C185" s="280"/>
      <c r="D185" s="280"/>
      <c r="E185" s="281"/>
      <c r="F185" s="282"/>
      <c r="G185" s="283"/>
      <c r="H185" s="282"/>
      <c r="I185" s="282"/>
      <c r="K185" s="426">
        <v>17</v>
      </c>
      <c r="L185" s="425" t="e">
        <f>IF(EXACT(B185,#REF!),#REF!,"Different Name: "&amp;#REF!)</f>
        <v>#REF!</v>
      </c>
      <c r="M185" s="423">
        <f>IF('Top 20 Trending'!C185=0, 0%,(#REF!-'Top 20 Trending'!C185)/'Top 20 Trending'!C185)</f>
        <v>0</v>
      </c>
      <c r="N185" s="423">
        <f>IF('Top 20 Trending'!D185=0, 0%,(#REF!-'Top 20 Trending'!D185)/'Top 20 Trending'!D185)</f>
        <v>0</v>
      </c>
      <c r="O185" s="422" t="str">
        <f t="shared" si="6"/>
        <v>Pass</v>
      </c>
    </row>
    <row r="186" spans="1:15" s="455" customFormat="1">
      <c r="A186" s="198"/>
      <c r="B186" s="199"/>
      <c r="C186" s="280"/>
      <c r="D186" s="280"/>
      <c r="E186" s="281"/>
      <c r="F186" s="282"/>
      <c r="G186" s="291"/>
      <c r="H186" s="263"/>
      <c r="I186" s="263"/>
      <c r="K186" s="426">
        <v>18</v>
      </c>
      <c r="L186" s="425" t="e">
        <f>IF(EXACT(B186,#REF!),#REF!,"Different Name: "&amp;#REF!)</f>
        <v>#REF!</v>
      </c>
      <c r="M186" s="423">
        <f>IF('Top 20 Trending'!C186=0, 0%,(#REF!-'Top 20 Trending'!C186)/'Top 20 Trending'!C186)</f>
        <v>0</v>
      </c>
      <c r="N186" s="423">
        <f>IF('Top 20 Trending'!D186=0, 0%,(#REF!-'Top 20 Trending'!D186)/'Top 20 Trending'!D186)</f>
        <v>0</v>
      </c>
      <c r="O186" s="422" t="str">
        <f t="shared" si="6"/>
        <v>Pass</v>
      </c>
    </row>
    <row r="187" spans="1:15" s="455" customFormat="1">
      <c r="A187" s="198"/>
      <c r="B187" s="199"/>
      <c r="C187" s="280"/>
      <c r="D187" s="280"/>
      <c r="E187" s="281"/>
      <c r="F187" s="282"/>
      <c r="G187" s="292"/>
      <c r="H187" s="263"/>
      <c r="I187" s="263"/>
      <c r="K187" s="426">
        <v>19</v>
      </c>
      <c r="L187" s="425" t="e">
        <f>IF(EXACT(B187,#REF!),#REF!,"Different Name: "&amp;#REF!)</f>
        <v>#REF!</v>
      </c>
      <c r="M187" s="423">
        <f>IF('Top 20 Trending'!C187=0, 0%,(#REF!-'Top 20 Trending'!C187)/'Top 20 Trending'!C187)</f>
        <v>0</v>
      </c>
      <c r="N187" s="423">
        <f>IF('Top 20 Trending'!D187=0, 0%,(#REF!-'Top 20 Trending'!D187)/'Top 20 Trending'!D187)</f>
        <v>0</v>
      </c>
      <c r="O187" s="422" t="str">
        <f t="shared" si="6"/>
        <v>Pass</v>
      </c>
    </row>
    <row r="188" spans="1:15" s="455" customFormat="1">
      <c r="A188" s="294"/>
      <c r="B188" s="294"/>
      <c r="C188" s="295"/>
      <c r="D188" s="295"/>
      <c r="E188" s="296"/>
      <c r="F188" s="297"/>
      <c r="G188" s="390"/>
      <c r="H188" s="391"/>
      <c r="I188" s="391"/>
      <c r="K188" s="426">
        <v>20</v>
      </c>
      <c r="L188" s="425" t="e">
        <f>IF(EXACT(B188,#REF!),#REF!,"Different Name: "&amp;#REF!)</f>
        <v>#REF!</v>
      </c>
      <c r="M188" s="423">
        <f>IF('Top 20 Trending'!C188=0, 0%,(#REF!-'Top 20 Trending'!C188)/'Top 20 Trending'!C188)</f>
        <v>0</v>
      </c>
      <c r="N188" s="423">
        <f>IF('Top 20 Trending'!D188=0, 0%,(#REF!-'Top 20 Trending'!D188)/'Top 20 Trending'!D188)</f>
        <v>0</v>
      </c>
      <c r="O188" s="422" t="str">
        <f t="shared" si="6"/>
        <v>Pass</v>
      </c>
    </row>
    <row r="189" spans="1:15" s="452" customFormat="1">
      <c r="A189" s="103"/>
      <c r="B189" s="103"/>
      <c r="C189" s="193"/>
      <c r="D189" s="193"/>
      <c r="E189" s="357"/>
      <c r="F189" s="250"/>
      <c r="G189" s="393"/>
      <c r="H189" s="387"/>
      <c r="I189" s="386"/>
      <c r="K189" s="417"/>
      <c r="L189" s="453"/>
      <c r="M189" s="421"/>
      <c r="N189" s="420"/>
      <c r="O189" s="454"/>
    </row>
    <row r="190" spans="1:15" s="452" customFormat="1">
      <c r="A190" s="103"/>
      <c r="B190" s="358"/>
      <c r="C190" s="359"/>
      <c r="D190" s="359"/>
      <c r="E190" s="360"/>
      <c r="F190" s="360"/>
      <c r="G190" s="392"/>
      <c r="H190" s="387"/>
      <c r="I190" s="394"/>
      <c r="K190" s="417"/>
      <c r="L190" s="453"/>
      <c r="M190" s="407"/>
      <c r="N190" s="407"/>
      <c r="O190" s="418"/>
    </row>
    <row r="191" spans="1:15" s="452" customFormat="1">
      <c r="A191" s="103"/>
      <c r="B191" s="103"/>
      <c r="C191" s="193"/>
      <c r="D191" s="193"/>
      <c r="E191" s="250"/>
      <c r="F191" s="250"/>
      <c r="G191" s="103"/>
      <c r="H191" s="309"/>
      <c r="I191" s="302"/>
      <c r="K191" s="417"/>
      <c r="L191" s="453"/>
      <c r="M191" s="409"/>
      <c r="N191" s="409"/>
      <c r="O191" s="415"/>
    </row>
    <row r="192" spans="1:15">
      <c r="O192" s="451"/>
    </row>
    <row r="193" spans="1:15" ht="15" customHeight="1">
      <c r="A193" s="767" t="s">
        <v>355</v>
      </c>
      <c r="B193" s="767"/>
      <c r="C193" s="767"/>
      <c r="D193" s="767"/>
      <c r="E193" s="767"/>
      <c r="F193" s="767"/>
      <c r="G193" s="767"/>
      <c r="H193" s="767"/>
      <c r="I193" s="767"/>
      <c r="J193" s="767"/>
      <c r="K193" s="767"/>
      <c r="L193" s="767"/>
      <c r="M193" s="767"/>
      <c r="N193" s="767"/>
      <c r="O193" s="767"/>
    </row>
    <row r="194" spans="1:15" s="450" customFormat="1" ht="15"/>
    <row r="195" spans="1:15">
      <c r="A195" s="449" t="s">
        <v>32</v>
      </c>
      <c r="B195" s="448" t="s">
        <v>389</v>
      </c>
      <c r="C195" s="448" t="s">
        <v>23</v>
      </c>
      <c r="D195" s="448" t="s">
        <v>351</v>
      </c>
      <c r="E195" s="448" t="s">
        <v>22</v>
      </c>
      <c r="F195" s="448" t="s">
        <v>352</v>
      </c>
      <c r="G195" s="447" t="s">
        <v>21</v>
      </c>
      <c r="H195" s="446" t="s">
        <v>337</v>
      </c>
      <c r="I195" s="445"/>
      <c r="K195" s="444" t="s">
        <v>32</v>
      </c>
      <c r="L195" s="89" t="s">
        <v>389</v>
      </c>
      <c r="M195" s="89" t="s">
        <v>23</v>
      </c>
      <c r="N195" s="443" t="s">
        <v>22</v>
      </c>
      <c r="O195" s="442" t="s">
        <v>399</v>
      </c>
    </row>
    <row r="196" spans="1:15">
      <c r="A196" s="438"/>
      <c r="B196" s="437"/>
      <c r="C196" s="436"/>
      <c r="D196" s="436"/>
      <c r="E196" s="436"/>
      <c r="F196" s="436"/>
      <c r="G196" s="435"/>
      <c r="H196" s="434"/>
      <c r="I196" s="441"/>
      <c r="K196" s="426">
        <v>1</v>
      </c>
      <c r="L196" s="425" t="e">
        <f>IF(EXACT(B196,#REF!),#REF!,"Different Name: "&amp;#REF!)</f>
        <v>#REF!</v>
      </c>
      <c r="M196" s="423">
        <f>IF('Top 20 Trending'!C196=0, 0%,(#REF!-'Top 20 Trending'!C196)/'Top 20 Trending'!C196)</f>
        <v>0</v>
      </c>
      <c r="N196" s="423">
        <f>IF('Top 20 Trending'!E196=0, 0%,(#REF!-'Top 20 Trending'!E196)/'Top 20 Trending'!E196)</f>
        <v>0</v>
      </c>
      <c r="O196" s="422" t="str">
        <f t="shared" ref="O196:O215" si="7">IF(AND(M196&lt;10%,N196&lt;10%,M196&gt;-10%,N196&gt;-10%),"Pass","Fail")</f>
        <v>Pass</v>
      </c>
    </row>
    <row r="197" spans="1:15">
      <c r="A197" s="438"/>
      <c r="B197" s="437"/>
      <c r="C197" s="436"/>
      <c r="D197" s="436"/>
      <c r="E197" s="436"/>
      <c r="F197" s="436"/>
      <c r="G197" s="435"/>
      <c r="H197" s="434"/>
      <c r="I197" s="441"/>
      <c r="K197" s="426">
        <v>2</v>
      </c>
      <c r="L197" s="425" t="e">
        <f>IF(EXACT(B197,#REF!),#REF!,"Different Name: "&amp;#REF!)</f>
        <v>#REF!</v>
      </c>
      <c r="M197" s="423">
        <f>IF('Top 20 Trending'!C197=0, 0%,('Top 20 Trending'!C197-#REF!)/#REF!)</f>
        <v>0</v>
      </c>
      <c r="N197" s="423">
        <f>IF('Top 20 Trending'!E197=0, 0%,(#REF!-'Top 20 Trending'!E197)/'Top 20 Trending'!E197)</f>
        <v>0</v>
      </c>
      <c r="O197" s="422" t="str">
        <f t="shared" si="7"/>
        <v>Pass</v>
      </c>
    </row>
    <row r="198" spans="1:15">
      <c r="A198" s="431"/>
      <c r="B198" s="437"/>
      <c r="C198" s="436"/>
      <c r="D198" s="436"/>
      <c r="E198" s="436"/>
      <c r="F198" s="436"/>
      <c r="G198" s="435"/>
      <c r="H198" s="434"/>
      <c r="I198" s="441"/>
      <c r="K198" s="426">
        <v>3</v>
      </c>
      <c r="L198" s="425" t="e">
        <f>IF(EXACT(B198,#REF!),#REF!,"Different Name: "&amp;#REF!)</f>
        <v>#REF!</v>
      </c>
      <c r="M198" s="423">
        <f>IF('Top 20 Trending'!C198=0, 0%,('Top 20 Trending'!C198-#REF!)/#REF!)</f>
        <v>0</v>
      </c>
      <c r="N198" s="423">
        <f>IF('Top 20 Trending'!E198=0, 0%,(#REF!-'Top 20 Trending'!E198)/'Top 20 Trending'!E198)</f>
        <v>0</v>
      </c>
      <c r="O198" s="422" t="str">
        <f t="shared" si="7"/>
        <v>Pass</v>
      </c>
    </row>
    <row r="199" spans="1:15">
      <c r="A199" s="438"/>
      <c r="B199" s="437"/>
      <c r="C199" s="436"/>
      <c r="D199" s="436"/>
      <c r="E199" s="436"/>
      <c r="F199" s="436"/>
      <c r="G199" s="435"/>
      <c r="H199" s="434"/>
      <c r="I199" s="441"/>
      <c r="K199" s="426">
        <v>4</v>
      </c>
      <c r="L199" s="425" t="e">
        <f>IF(EXACT(B199,#REF!),#REF!,"Different Name: "&amp;#REF!)</f>
        <v>#REF!</v>
      </c>
      <c r="M199" s="423">
        <f>IF('Top 20 Trending'!C199=0, 0%,('Top 20 Trending'!C199-#REF!)/#REF!)</f>
        <v>0</v>
      </c>
      <c r="N199" s="423">
        <f>IF('Top 20 Trending'!E199=0, 0%,(#REF!-'Top 20 Trending'!E199)/'Top 20 Trending'!E199)</f>
        <v>0</v>
      </c>
      <c r="O199" s="422" t="str">
        <f t="shared" si="7"/>
        <v>Pass</v>
      </c>
    </row>
    <row r="200" spans="1:15">
      <c r="A200" s="438"/>
      <c r="B200" s="437"/>
      <c r="C200" s="436"/>
      <c r="D200" s="436"/>
      <c r="E200" s="436"/>
      <c r="F200" s="436"/>
      <c r="G200" s="435"/>
      <c r="H200" s="434"/>
      <c r="I200" s="441"/>
      <c r="K200" s="426">
        <v>5</v>
      </c>
      <c r="L200" s="425" t="e">
        <f>IF(EXACT(B200,#REF!),#REF!,"Different Name: "&amp;#REF!)</f>
        <v>#REF!</v>
      </c>
      <c r="M200" s="423">
        <f>IF('Top 20 Trending'!C200=0, 0%,('Top 20 Trending'!C200-#REF!)/#REF!)</f>
        <v>0</v>
      </c>
      <c r="N200" s="423">
        <f>IF('Top 20 Trending'!E200=0, 0%,(#REF!-'Top 20 Trending'!E200)/'Top 20 Trending'!E200)</f>
        <v>0</v>
      </c>
      <c r="O200" s="422" t="str">
        <f t="shared" si="7"/>
        <v>Pass</v>
      </c>
    </row>
    <row r="201" spans="1:15">
      <c r="A201" s="438"/>
      <c r="B201" s="437"/>
      <c r="C201" s="436"/>
      <c r="D201" s="436"/>
      <c r="E201" s="436"/>
      <c r="F201" s="436"/>
      <c r="G201" s="435"/>
      <c r="H201" s="434"/>
      <c r="I201" s="441"/>
      <c r="K201" s="428">
        <v>6</v>
      </c>
      <c r="L201" s="425" t="e">
        <f>IF(EXACT(B201,#REF!),#REF!,"Different Name: "&amp;#REF!)</f>
        <v>#REF!</v>
      </c>
      <c r="M201" s="423">
        <f>IF('Top 20 Trending'!C201=0, 0%,('Top 20 Trending'!C201-#REF!)/#REF!)</f>
        <v>0</v>
      </c>
      <c r="N201" s="423">
        <f>IF('Top 20 Trending'!E201=0, 0%,(#REF!-'Top 20 Trending'!E201)/'Top 20 Trending'!E201)</f>
        <v>0</v>
      </c>
      <c r="O201" s="422" t="str">
        <f t="shared" si="7"/>
        <v>Pass</v>
      </c>
    </row>
    <row r="202" spans="1:15" s="432" customFormat="1">
      <c r="A202" s="198"/>
      <c r="B202" s="437"/>
      <c r="C202" s="436"/>
      <c r="D202" s="436"/>
      <c r="E202" s="436"/>
      <c r="F202" s="436"/>
      <c r="G202" s="435"/>
      <c r="H202" s="434"/>
      <c r="I202" s="439"/>
      <c r="K202" s="426">
        <v>7</v>
      </c>
      <c r="L202" s="425" t="e">
        <f>IF(EXACT(B202,#REF!),#REF!,"Different Name: "&amp;#REF!)</f>
        <v>#REF!</v>
      </c>
      <c r="M202" s="423">
        <f>IF('Top 20 Trending'!C202=0, 0%,('Top 20 Trending'!C202-#REF!)/#REF!)</f>
        <v>0</v>
      </c>
      <c r="N202" s="423">
        <f>IF('Top 20 Trending'!E202=0, 0%,(#REF!-'Top 20 Trending'!E202)/'Top 20 Trending'!E202)</f>
        <v>0</v>
      </c>
      <c r="O202" s="422" t="str">
        <f t="shared" si="7"/>
        <v>Pass</v>
      </c>
    </row>
    <row r="203" spans="1:15">
      <c r="A203" s="440"/>
      <c r="B203" s="437"/>
      <c r="C203" s="436"/>
      <c r="D203" s="436"/>
      <c r="E203" s="436"/>
      <c r="F203" s="436"/>
      <c r="G203" s="435"/>
      <c r="H203" s="434"/>
      <c r="I203" s="439"/>
      <c r="K203" s="426">
        <v>8</v>
      </c>
      <c r="L203" s="425" t="e">
        <f>IF(EXACT(B203,#REF!),#REF!,"Different Name: "&amp;#REF!)</f>
        <v>#REF!</v>
      </c>
      <c r="M203" s="423">
        <f>IF('Top 20 Trending'!C203=0, 0%,('Top 20 Trending'!C203-#REF!)/#REF!)</f>
        <v>0</v>
      </c>
      <c r="N203" s="423">
        <f>IF('Top 20 Trending'!E203=0, 0%,(#REF!-'Top 20 Trending'!E203)/'Top 20 Trending'!E203)</f>
        <v>0</v>
      </c>
      <c r="O203" s="422" t="str">
        <f t="shared" si="7"/>
        <v>Pass</v>
      </c>
    </row>
    <row r="204" spans="1:15">
      <c r="A204" s="440"/>
      <c r="B204" s="437"/>
      <c r="C204" s="436"/>
      <c r="D204" s="436"/>
      <c r="E204" s="436"/>
      <c r="F204" s="436"/>
      <c r="G204" s="435"/>
      <c r="H204" s="434"/>
      <c r="I204" s="439"/>
      <c r="K204" s="426">
        <v>9</v>
      </c>
      <c r="L204" s="425" t="e">
        <f>IF(EXACT(B204,#REF!),#REF!,"Different Name: "&amp;#REF!)</f>
        <v>#REF!</v>
      </c>
      <c r="M204" s="423">
        <f>IF('Top 20 Trending'!C204=0, 0%,('Top 20 Trending'!C204-#REF!)/#REF!)</f>
        <v>0</v>
      </c>
      <c r="N204" s="423">
        <f>IF('Top 20 Trending'!E204=0, 0%,(#REF!-'Top 20 Trending'!E204)/'Top 20 Trending'!E204)</f>
        <v>0</v>
      </c>
      <c r="O204" s="422" t="str">
        <f t="shared" si="7"/>
        <v>Pass</v>
      </c>
    </row>
    <row r="205" spans="1:15">
      <c r="A205" s="438"/>
      <c r="B205" s="437"/>
      <c r="C205" s="436"/>
      <c r="D205" s="436"/>
      <c r="E205" s="436"/>
      <c r="F205" s="436"/>
      <c r="G205" s="435"/>
      <c r="H205" s="434"/>
      <c r="I205" s="433"/>
      <c r="K205" s="428">
        <v>10</v>
      </c>
      <c r="L205" s="425" t="e">
        <f>IF(EXACT(B205,#REF!),#REF!,"Different Name: "&amp;#REF!)</f>
        <v>#REF!</v>
      </c>
      <c r="M205" s="423">
        <f>IF('Top 20 Trending'!C205=0, 0%,('Top 20 Trending'!C205-#REF!)/#REF!)</f>
        <v>0</v>
      </c>
      <c r="N205" s="423">
        <f>IF('Top 20 Trending'!E205=0, 0%,(#REF!-'Top 20 Trending'!E205)/'Top 20 Trending'!E205)</f>
        <v>0</v>
      </c>
      <c r="O205" s="422" t="str">
        <f t="shared" si="7"/>
        <v>Pass</v>
      </c>
    </row>
    <row r="206" spans="1:15" s="432" customFormat="1">
      <c r="A206" s="438"/>
      <c r="B206" s="437"/>
      <c r="C206" s="436"/>
      <c r="D206" s="436"/>
      <c r="E206" s="436"/>
      <c r="F206" s="436"/>
      <c r="G206" s="435"/>
      <c r="H206" s="434"/>
      <c r="I206" s="433"/>
      <c r="K206" s="426">
        <v>11</v>
      </c>
      <c r="L206" s="425" t="e">
        <f>IF(EXACT(B206,#REF!),#REF!,"Different Name: "&amp;#REF!)</f>
        <v>#REF!</v>
      </c>
      <c r="M206" s="423">
        <f>IF('Top 20 Trending'!C206=0, 0%,('Top 20 Trending'!C206-#REF!)/#REF!)</f>
        <v>0</v>
      </c>
      <c r="N206" s="423">
        <f>IF('Top 20 Trending'!E206=0, 0%,(#REF!-'Top 20 Trending'!E206)/'Top 20 Trending'!E206)</f>
        <v>0</v>
      </c>
      <c r="O206" s="422" t="str">
        <f t="shared" si="7"/>
        <v>Pass</v>
      </c>
    </row>
    <row r="207" spans="1:15">
      <c r="A207" s="431"/>
      <c r="B207" s="431"/>
      <c r="C207" s="430"/>
      <c r="D207" s="430"/>
      <c r="E207" s="430"/>
      <c r="F207" s="430"/>
      <c r="G207" s="429"/>
      <c r="H207" s="307"/>
      <c r="I207" s="308"/>
      <c r="K207" s="426">
        <v>12</v>
      </c>
      <c r="L207" s="425" t="e">
        <f>IF(EXACT(B207,#REF!),#REF!,"Different Name: "&amp;#REF!)</f>
        <v>#REF!</v>
      </c>
      <c r="M207" s="423">
        <f>IF('Top 20 Trending'!C207=0, 0%,('Top 20 Trending'!C207-#REF!)/#REF!)</f>
        <v>0</v>
      </c>
      <c r="N207" s="423">
        <f>IF('Top 20 Trending'!E207=0, 0%,(#REF!-'Top 20 Trending'!E207)/'Top 20 Trending'!E207)</f>
        <v>0</v>
      </c>
      <c r="O207" s="422" t="str">
        <f t="shared" si="7"/>
        <v>Pass</v>
      </c>
    </row>
    <row r="208" spans="1:15">
      <c r="A208" s="322"/>
      <c r="B208" s="322"/>
      <c r="C208" s="193"/>
      <c r="D208" s="193"/>
      <c r="E208" s="250"/>
      <c r="F208" s="250"/>
      <c r="G208" s="242"/>
      <c r="H208" s="309"/>
      <c r="I208" s="251"/>
      <c r="K208" s="426">
        <v>13</v>
      </c>
      <c r="L208" s="425" t="e">
        <f>IF(EXACT(B208,#REF!),#REF!,"Different Name: "&amp;#REF!)</f>
        <v>#REF!</v>
      </c>
      <c r="M208" s="423">
        <f>IF('Top 20 Trending'!C208=0, 0%,('Top 20 Trending'!C208-#REF!)/#REF!)</f>
        <v>0</v>
      </c>
      <c r="N208" s="423">
        <f>IF('Top 20 Trending'!E208=0, 0%,(#REF!-'Top 20 Trending'!E208)/'Top 20 Trending'!E208)</f>
        <v>0</v>
      </c>
      <c r="O208" s="422" t="str">
        <f t="shared" si="7"/>
        <v>Pass</v>
      </c>
    </row>
    <row r="209" spans="1:15">
      <c r="A209" s="322"/>
      <c r="B209" s="322"/>
      <c r="C209" s="193"/>
      <c r="D209" s="193"/>
      <c r="E209" s="250"/>
      <c r="F209" s="250"/>
      <c r="G209" s="242"/>
      <c r="H209" s="309"/>
      <c r="I209" s="251"/>
      <c r="K209" s="428">
        <v>14</v>
      </c>
      <c r="L209" s="425" t="e">
        <f>IF(EXACT(B209,#REF!),#REF!,"Different Name: "&amp;#REF!)</f>
        <v>#REF!</v>
      </c>
      <c r="M209" s="423">
        <f>IF('Top 20 Trending'!C209=0, 0%,('Top 20 Trending'!C209-#REF!)/#REF!)</f>
        <v>0</v>
      </c>
      <c r="N209" s="423">
        <f>IF('Top 20 Trending'!E209=0, 0%,(#REF!-'Top 20 Trending'!E209)/'Top 20 Trending'!E209)</f>
        <v>0</v>
      </c>
      <c r="O209" s="422" t="str">
        <f t="shared" si="7"/>
        <v>Pass</v>
      </c>
    </row>
    <row r="210" spans="1:15" s="427" customFormat="1">
      <c r="A210" s="322"/>
      <c r="B210" s="322"/>
      <c r="C210" s="193"/>
      <c r="D210" s="193"/>
      <c r="E210" s="250"/>
      <c r="F210" s="250"/>
      <c r="G210" s="242"/>
      <c r="H210" s="309"/>
      <c r="I210" s="251"/>
      <c r="K210" s="426">
        <v>15</v>
      </c>
      <c r="L210" s="425" t="e">
        <f>IF(EXACT(B210,#REF!),#REF!,"Different Name: "&amp;#REF!)</f>
        <v>#REF!</v>
      </c>
      <c r="M210" s="423">
        <f>IF('Top 20 Trending'!C210=0, 0%,('Top 20 Trending'!C210-#REF!)/#REF!)</f>
        <v>0</v>
      </c>
      <c r="N210" s="423">
        <f>IF('Top 20 Trending'!E210=0, 0%,(#REF!-'Top 20 Trending'!E210)/'Top 20 Trending'!E210)</f>
        <v>0</v>
      </c>
      <c r="O210" s="422" t="str">
        <f t="shared" si="7"/>
        <v>Pass</v>
      </c>
    </row>
    <row r="211" spans="1:15">
      <c r="A211" s="322"/>
      <c r="B211" s="322"/>
      <c r="C211" s="193"/>
      <c r="D211" s="193"/>
      <c r="E211" s="250"/>
      <c r="F211" s="250"/>
      <c r="G211" s="242"/>
      <c r="H211" s="309"/>
      <c r="I211" s="251"/>
      <c r="K211" s="426">
        <v>16</v>
      </c>
      <c r="L211" s="425" t="e">
        <f>IF(EXACT(B211,#REF!),#REF!,"Different Name: "&amp;#REF!)</f>
        <v>#REF!</v>
      </c>
      <c r="M211" s="423">
        <f>IF('Top 20 Trending'!C211=0, 0%,('Top 20 Trending'!C211-#REF!)/#REF!)</f>
        <v>0</v>
      </c>
      <c r="N211" s="423">
        <f>IF('Top 20 Trending'!E211=0, 0%,(#REF!-'Top 20 Trending'!E211)/'Top 20 Trending'!E211)</f>
        <v>0</v>
      </c>
      <c r="O211" s="422" t="str">
        <f t="shared" si="7"/>
        <v>Pass</v>
      </c>
    </row>
    <row r="212" spans="1:15">
      <c r="A212" s="322"/>
      <c r="B212" s="322"/>
      <c r="C212" s="193"/>
      <c r="D212" s="193"/>
      <c r="E212" s="250"/>
      <c r="F212" s="250"/>
      <c r="G212" s="242"/>
      <c r="H212" s="309"/>
      <c r="I212" s="251"/>
      <c r="K212" s="426">
        <v>17</v>
      </c>
      <c r="L212" s="425" t="e">
        <f>IF(EXACT(B212,#REF!),#REF!,"Different Name: "&amp;#REF!)</f>
        <v>#REF!</v>
      </c>
      <c r="M212" s="423">
        <f>IF('Top 20 Trending'!C212=0, 0%,('Top 20 Trending'!C212-#REF!)/#REF!)</f>
        <v>0</v>
      </c>
      <c r="N212" s="423">
        <f>IF('Top 20 Trending'!E212=0, 0%,(#REF!-'Top 20 Trending'!E212)/'Top 20 Trending'!E212)</f>
        <v>0</v>
      </c>
      <c r="O212" s="422" t="str">
        <f t="shared" si="7"/>
        <v>Pass</v>
      </c>
    </row>
    <row r="213" spans="1:15">
      <c r="A213" s="322"/>
      <c r="B213" s="322"/>
      <c r="C213" s="193"/>
      <c r="D213" s="193"/>
      <c r="E213" s="250"/>
      <c r="F213" s="250"/>
      <c r="G213" s="242"/>
      <c r="H213" s="309"/>
      <c r="I213" s="243"/>
      <c r="K213" s="426">
        <v>18</v>
      </c>
      <c r="L213" s="425" t="e">
        <f>IF(EXACT(B213,#REF!),#REF!,"Different Name: "&amp;#REF!)</f>
        <v>#REF!</v>
      </c>
      <c r="M213" s="423">
        <f>IF('Top 20 Trending'!C213=0, 0%,('Top 20 Trending'!C213-#REF!)/#REF!)</f>
        <v>0</v>
      </c>
      <c r="N213" s="423">
        <f>IF('Top 20 Trending'!E213=0, 0%,(#REF!-'Top 20 Trending'!E213)/'Top 20 Trending'!E213)</f>
        <v>0</v>
      </c>
      <c r="O213" s="422" t="str">
        <f t="shared" si="7"/>
        <v>Pass</v>
      </c>
    </row>
    <row r="214" spans="1:15">
      <c r="A214" s="322"/>
      <c r="B214" s="322"/>
      <c r="C214" s="193"/>
      <c r="D214" s="193"/>
      <c r="E214" s="250"/>
      <c r="F214" s="250"/>
      <c r="G214" s="242"/>
      <c r="H214" s="309"/>
      <c r="I214" s="251"/>
      <c r="K214" s="426">
        <v>19</v>
      </c>
      <c r="L214" s="425" t="e">
        <f>IF(EXACT(B214,#REF!),#REF!,"Different Name: "&amp;#REF!)</f>
        <v>#REF!</v>
      </c>
      <c r="M214" s="423">
        <f>IF('Top 20 Trending'!C214=0, 0%,('Top 20 Trending'!C214-#REF!)/#REF!)</f>
        <v>0</v>
      </c>
      <c r="N214" s="423">
        <f>IF('Top 20 Trending'!E214=0, 0%,(#REF!-'Top 20 Trending'!E214)/'Top 20 Trending'!E214)</f>
        <v>0</v>
      </c>
      <c r="O214" s="422" t="str">
        <f t="shared" si="7"/>
        <v>Pass</v>
      </c>
    </row>
    <row r="215" spans="1:15">
      <c r="A215" s="322"/>
      <c r="B215" s="322"/>
      <c r="C215" s="193"/>
      <c r="D215" s="193"/>
      <c r="E215" s="250"/>
      <c r="F215" s="250"/>
      <c r="G215" s="242"/>
      <c r="H215" s="309"/>
      <c r="I215" s="251"/>
      <c r="K215" s="426">
        <v>20</v>
      </c>
      <c r="L215" s="425" t="e">
        <f>IF(EXACT(B215,#REF!),#REF!,"Different Name: "&amp;#REF!)</f>
        <v>#REF!</v>
      </c>
      <c r="M215" s="423">
        <f>IF('Top 20 Trending'!C215=0, 0%,('Top 20 Trending'!C215-#REF!)/#REF!)</f>
        <v>0</v>
      </c>
      <c r="N215" s="423">
        <f>IF('Top 20 Trending'!E215=0, 0%,(#REF!-'Top 20 Trending'!E215)/'Top 20 Trending'!E215)</f>
        <v>0</v>
      </c>
      <c r="O215" s="422" t="str">
        <f t="shared" si="7"/>
        <v>Pass</v>
      </c>
    </row>
    <row r="216" spans="1:15">
      <c r="A216" s="322"/>
      <c r="B216" s="437"/>
      <c r="C216" s="436"/>
      <c r="D216" s="436"/>
      <c r="E216" s="436"/>
      <c r="F216" s="436"/>
      <c r="G216" s="435"/>
      <c r="H216" s="434"/>
      <c r="I216" s="251"/>
      <c r="K216" s="417"/>
      <c r="L216" s="419"/>
      <c r="M216" s="421"/>
      <c r="N216" s="421"/>
      <c r="O216" s="420"/>
    </row>
    <row r="217" spans="1:15">
      <c r="A217" s="322"/>
      <c r="B217" s="437"/>
      <c r="C217" s="436"/>
      <c r="D217" s="436"/>
      <c r="E217" s="436"/>
      <c r="F217" s="436"/>
      <c r="G217" s="435"/>
      <c r="H217" s="434"/>
      <c r="I217" s="251"/>
      <c r="K217" s="417"/>
      <c r="L217" s="419"/>
      <c r="M217" s="407"/>
      <c r="N217" s="407"/>
      <c r="O217" s="418"/>
    </row>
    <row r="218" spans="1:15">
      <c r="A218" s="322"/>
      <c r="B218" s="431"/>
      <c r="C218" s="430"/>
      <c r="D218" s="430"/>
      <c r="E218" s="430"/>
      <c r="F218" s="430"/>
      <c r="G218" s="429"/>
      <c r="H218" s="307"/>
      <c r="I218" s="251"/>
      <c r="K218" s="417"/>
      <c r="L218" s="416"/>
      <c r="M218" s="407"/>
      <c r="N218" s="409"/>
      <c r="O218" s="415"/>
    </row>
    <row r="236" spans="11:31" s="313" customFormat="1">
      <c r="K236" s="190"/>
      <c r="L236" s="45"/>
      <c r="M236" s="45"/>
      <c r="N236" s="45"/>
      <c r="O236" s="414"/>
      <c r="P236" s="45"/>
      <c r="Q236" s="45"/>
      <c r="R236" s="45"/>
      <c r="S236" s="45"/>
      <c r="T236" s="45"/>
      <c r="U236" s="45"/>
      <c r="V236" s="45"/>
      <c r="W236" s="45"/>
      <c r="X236" s="45"/>
      <c r="Y236" s="45"/>
      <c r="Z236" s="45"/>
      <c r="AA236" s="45"/>
      <c r="AB236" s="45"/>
      <c r="AC236" s="45"/>
      <c r="AD236" s="45"/>
      <c r="AE236" s="45"/>
    </row>
    <row r="238" spans="11:31" s="313" customFormat="1">
      <c r="K238" s="190"/>
      <c r="L238" s="45"/>
      <c r="M238" s="45"/>
      <c r="N238" s="45"/>
      <c r="O238" s="414"/>
      <c r="P238" s="45"/>
      <c r="Q238" s="45"/>
      <c r="R238" s="45"/>
      <c r="S238" s="45"/>
      <c r="T238" s="45"/>
      <c r="U238" s="45"/>
      <c r="V238" s="45"/>
      <c r="W238" s="45"/>
      <c r="X238" s="45"/>
      <c r="Y238" s="45"/>
      <c r="Z238" s="45"/>
      <c r="AA238" s="45"/>
      <c r="AB238" s="45"/>
      <c r="AC238" s="45"/>
      <c r="AD238" s="45"/>
      <c r="AE238" s="45"/>
    </row>
  </sheetData>
  <mergeCells count="14">
    <mergeCell ref="A1:B1"/>
    <mergeCell ref="A2:I2"/>
    <mergeCell ref="K2:O2"/>
    <mergeCell ref="A4:O4"/>
    <mergeCell ref="A31:O31"/>
    <mergeCell ref="A139:O139"/>
    <mergeCell ref="A166:O166"/>
    <mergeCell ref="K167:O167"/>
    <mergeCell ref="A193:O193"/>
    <mergeCell ref="A58:O58"/>
    <mergeCell ref="A85:O85"/>
    <mergeCell ref="K86:O86"/>
    <mergeCell ref="A112:O112"/>
    <mergeCell ref="M113:O113"/>
  </mergeCells>
  <conditionalFormatting sqref="O7:O26">
    <cfRule type="containsText" dxfId="257" priority="44" operator="containsText" text="Pass">
      <formula>NOT(ISERROR(SEARCH("Pass",O7)))</formula>
    </cfRule>
  </conditionalFormatting>
  <conditionalFormatting sqref="O7:O26">
    <cfRule type="cellIs" dxfId="256" priority="43" operator="equal">
      <formula>"Fail"</formula>
    </cfRule>
  </conditionalFormatting>
  <conditionalFormatting sqref="O34:O53">
    <cfRule type="containsText" dxfId="255" priority="42" operator="containsText" text="Pass">
      <formula>NOT(ISERROR(SEARCH("Pass",O34)))</formula>
    </cfRule>
  </conditionalFormatting>
  <conditionalFormatting sqref="O61:O80">
    <cfRule type="containsText" dxfId="254" priority="41" operator="containsText" text="Pass">
      <formula>NOT(ISERROR(SEARCH("Pass",O61)))</formula>
    </cfRule>
  </conditionalFormatting>
  <conditionalFormatting sqref="O88:O107">
    <cfRule type="containsText" dxfId="253" priority="40" operator="containsText" text="Pass">
      <formula>NOT(ISERROR(SEARCH("Pass",O88)))</formula>
    </cfRule>
  </conditionalFormatting>
  <conditionalFormatting sqref="O115:O134">
    <cfRule type="containsText" dxfId="252" priority="39" operator="containsText" text="Pass">
      <formula>NOT(ISERROR(SEARCH("Pass",O115)))</formula>
    </cfRule>
  </conditionalFormatting>
  <conditionalFormatting sqref="O142:O161">
    <cfRule type="containsText" dxfId="251" priority="38" operator="containsText" text="Pass">
      <formula>NOT(ISERROR(SEARCH("Pass",O142)))</formula>
    </cfRule>
  </conditionalFormatting>
  <conditionalFormatting sqref="O169:O188">
    <cfRule type="containsText" dxfId="250" priority="37" operator="containsText" text="Pass">
      <formula>NOT(ISERROR(SEARCH("Pass",O169)))</formula>
    </cfRule>
  </conditionalFormatting>
  <conditionalFormatting sqref="O196:O215">
    <cfRule type="containsText" dxfId="249" priority="36" operator="containsText" text="Pass">
      <formula>NOT(ISERROR(SEARCH("Pass",O196)))</formula>
    </cfRule>
  </conditionalFormatting>
  <conditionalFormatting sqref="O34:O53">
    <cfRule type="containsText" dxfId="248" priority="35" operator="containsText" text="Pass">
      <formula>NOT(ISERROR(SEARCH("Pass",O34)))</formula>
    </cfRule>
  </conditionalFormatting>
  <conditionalFormatting sqref="O34:O53">
    <cfRule type="cellIs" dxfId="247" priority="34" operator="equal">
      <formula>"Fail"</formula>
    </cfRule>
  </conditionalFormatting>
  <conditionalFormatting sqref="O61:O80">
    <cfRule type="containsText" dxfId="246" priority="33" operator="containsText" text="Pass">
      <formula>NOT(ISERROR(SEARCH("Pass",O61)))</formula>
    </cfRule>
  </conditionalFormatting>
  <conditionalFormatting sqref="O61:O80">
    <cfRule type="containsText" dxfId="245" priority="32" operator="containsText" text="Pass">
      <formula>NOT(ISERROR(SEARCH("Pass",O61)))</formula>
    </cfRule>
  </conditionalFormatting>
  <conditionalFormatting sqref="O61:O80">
    <cfRule type="cellIs" dxfId="244" priority="31" operator="equal">
      <formula>"Fail"</formula>
    </cfRule>
  </conditionalFormatting>
  <conditionalFormatting sqref="O88:O107">
    <cfRule type="containsText" dxfId="243" priority="30" operator="containsText" text="Pass">
      <formula>NOT(ISERROR(SEARCH("Pass",O88)))</formula>
    </cfRule>
  </conditionalFormatting>
  <conditionalFormatting sqref="O88:O107">
    <cfRule type="containsText" dxfId="242" priority="29" operator="containsText" text="Pass">
      <formula>NOT(ISERROR(SEARCH("Pass",O88)))</formula>
    </cfRule>
  </conditionalFormatting>
  <conditionalFormatting sqref="O88:O107">
    <cfRule type="containsText" dxfId="241" priority="28" operator="containsText" text="Pass">
      <formula>NOT(ISERROR(SEARCH("Pass",O88)))</formula>
    </cfRule>
  </conditionalFormatting>
  <conditionalFormatting sqref="O88:O107">
    <cfRule type="cellIs" dxfId="240" priority="27" operator="equal">
      <formula>"Fail"</formula>
    </cfRule>
  </conditionalFormatting>
  <conditionalFormatting sqref="O115:O134">
    <cfRule type="containsText" dxfId="239" priority="26" operator="containsText" text="Pass">
      <formula>NOT(ISERROR(SEARCH("Pass",O115)))</formula>
    </cfRule>
  </conditionalFormatting>
  <conditionalFormatting sqref="O115:O134">
    <cfRule type="containsText" dxfId="238" priority="25" operator="containsText" text="Pass">
      <formula>NOT(ISERROR(SEARCH("Pass",O115)))</formula>
    </cfRule>
  </conditionalFormatting>
  <conditionalFormatting sqref="O115:O134">
    <cfRule type="containsText" dxfId="237" priority="24" operator="containsText" text="Pass">
      <formula>NOT(ISERROR(SEARCH("Pass",O115)))</formula>
    </cfRule>
  </conditionalFormatting>
  <conditionalFormatting sqref="O115:O134">
    <cfRule type="containsText" dxfId="236" priority="23" operator="containsText" text="Pass">
      <formula>NOT(ISERROR(SEARCH("Pass",O115)))</formula>
    </cfRule>
  </conditionalFormatting>
  <conditionalFormatting sqref="O115:O134">
    <cfRule type="cellIs" dxfId="235" priority="22" operator="equal">
      <formula>"Fail"</formula>
    </cfRule>
  </conditionalFormatting>
  <conditionalFormatting sqref="O142:O161">
    <cfRule type="containsText" dxfId="234" priority="21" operator="containsText" text="Pass">
      <formula>NOT(ISERROR(SEARCH("Pass",O142)))</formula>
    </cfRule>
  </conditionalFormatting>
  <conditionalFormatting sqref="O142:O161">
    <cfRule type="containsText" dxfId="233" priority="20" operator="containsText" text="Pass">
      <formula>NOT(ISERROR(SEARCH("Pass",O142)))</formula>
    </cfRule>
  </conditionalFormatting>
  <conditionalFormatting sqref="O142:O161">
    <cfRule type="containsText" dxfId="232" priority="19" operator="containsText" text="Pass">
      <formula>NOT(ISERROR(SEARCH("Pass",O142)))</formula>
    </cfRule>
  </conditionalFormatting>
  <conditionalFormatting sqref="O142:O161">
    <cfRule type="containsText" dxfId="231" priority="18" operator="containsText" text="Pass">
      <formula>NOT(ISERROR(SEARCH("Pass",O142)))</formula>
    </cfRule>
  </conditionalFormatting>
  <conditionalFormatting sqref="O142:O161">
    <cfRule type="containsText" dxfId="230" priority="17" operator="containsText" text="Pass">
      <formula>NOT(ISERROR(SEARCH("Pass",O142)))</formula>
    </cfRule>
  </conditionalFormatting>
  <conditionalFormatting sqref="O142:O161">
    <cfRule type="cellIs" dxfId="229" priority="16" operator="equal">
      <formula>"Fail"</formula>
    </cfRule>
  </conditionalFormatting>
  <conditionalFormatting sqref="O169:O188">
    <cfRule type="containsText" dxfId="228" priority="15" operator="containsText" text="Pass">
      <formula>NOT(ISERROR(SEARCH("Pass",O169)))</formula>
    </cfRule>
  </conditionalFormatting>
  <conditionalFormatting sqref="O169:O188">
    <cfRule type="containsText" dxfId="227" priority="14" operator="containsText" text="Pass">
      <formula>NOT(ISERROR(SEARCH("Pass",O169)))</formula>
    </cfRule>
  </conditionalFormatting>
  <conditionalFormatting sqref="O169:O188">
    <cfRule type="containsText" dxfId="226" priority="13" operator="containsText" text="Pass">
      <formula>NOT(ISERROR(SEARCH("Pass",O169)))</formula>
    </cfRule>
  </conditionalFormatting>
  <conditionalFormatting sqref="O169:O188">
    <cfRule type="containsText" dxfId="225" priority="12" operator="containsText" text="Pass">
      <formula>NOT(ISERROR(SEARCH("Pass",O169)))</formula>
    </cfRule>
  </conditionalFormatting>
  <conditionalFormatting sqref="O169:O188">
    <cfRule type="containsText" dxfId="224" priority="11" operator="containsText" text="Pass">
      <formula>NOT(ISERROR(SEARCH("Pass",O169)))</formula>
    </cfRule>
  </conditionalFormatting>
  <conditionalFormatting sqref="O169:O188">
    <cfRule type="containsText" dxfId="223" priority="10" operator="containsText" text="Pass">
      <formula>NOT(ISERROR(SEARCH("Pass",O169)))</formula>
    </cfRule>
  </conditionalFormatting>
  <conditionalFormatting sqref="O169:O188">
    <cfRule type="cellIs" dxfId="222" priority="9" operator="equal">
      <formula>"Fail"</formula>
    </cfRule>
  </conditionalFormatting>
  <conditionalFormatting sqref="O196:O215">
    <cfRule type="containsText" dxfId="221" priority="8" operator="containsText" text="Pass">
      <formula>NOT(ISERROR(SEARCH("Pass",O196)))</formula>
    </cfRule>
  </conditionalFormatting>
  <conditionalFormatting sqref="O196:O215">
    <cfRule type="containsText" dxfId="220" priority="7" operator="containsText" text="Pass">
      <formula>NOT(ISERROR(SEARCH("Pass",O196)))</formula>
    </cfRule>
  </conditionalFormatting>
  <conditionalFormatting sqref="O196:O215">
    <cfRule type="containsText" dxfId="219" priority="6" operator="containsText" text="Pass">
      <formula>NOT(ISERROR(SEARCH("Pass",O196)))</formula>
    </cfRule>
  </conditionalFormatting>
  <conditionalFormatting sqref="O196:O215">
    <cfRule type="containsText" dxfId="218" priority="5" operator="containsText" text="Pass">
      <formula>NOT(ISERROR(SEARCH("Pass",O196)))</formula>
    </cfRule>
  </conditionalFormatting>
  <conditionalFormatting sqref="O196:O215">
    <cfRule type="containsText" dxfId="217" priority="4" operator="containsText" text="Pass">
      <formula>NOT(ISERROR(SEARCH("Pass",O196)))</formula>
    </cfRule>
  </conditionalFormatting>
  <conditionalFormatting sqref="O196:O215">
    <cfRule type="containsText" dxfId="216" priority="3" operator="containsText" text="Pass">
      <formula>NOT(ISERROR(SEARCH("Pass",O196)))</formula>
    </cfRule>
  </conditionalFormatting>
  <conditionalFormatting sqref="O196:O215">
    <cfRule type="containsText" dxfId="215" priority="2" operator="containsText" text="Pass">
      <formula>NOT(ISERROR(SEARCH("Pass",O196)))</formula>
    </cfRule>
  </conditionalFormatting>
  <conditionalFormatting sqref="O196:O215">
    <cfRule type="cellIs" dxfId="214" priority="1" operator="equal">
      <formula>"Fail"</formula>
    </cfRule>
  </conditionalFormatting>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K58"/>
  <sheetViews>
    <sheetView showGridLines="0" zoomScale="85" zoomScaleNormal="85" workbookViewId="0">
      <selection activeCell="G50" sqref="G50"/>
    </sheetView>
  </sheetViews>
  <sheetFormatPr defaultRowHeight="15"/>
  <cols>
    <col min="1" max="1" width="44.5703125" customWidth="1"/>
    <col min="2" max="2" width="17" customWidth="1"/>
    <col min="3" max="3" width="14.85546875" customWidth="1"/>
    <col min="4" max="4" width="14.7109375" customWidth="1"/>
    <col min="5" max="5" width="10.28515625" bestFit="1" customWidth="1"/>
    <col min="6" max="6" width="7.42578125" customWidth="1"/>
    <col min="7" max="7" width="44.28515625" customWidth="1"/>
    <col min="8" max="8" width="15.7109375" bestFit="1" customWidth="1"/>
    <col min="9" max="9" width="12.7109375" customWidth="1"/>
    <col min="10" max="10" width="13.140625" customWidth="1"/>
    <col min="11" max="11" width="9.85546875" bestFit="1" customWidth="1"/>
  </cols>
  <sheetData>
    <row r="1" spans="1:11">
      <c r="A1" s="722" t="s">
        <v>385</v>
      </c>
      <c r="B1" s="723"/>
      <c r="C1" s="723"/>
      <c r="D1" s="723"/>
      <c r="E1" s="723"/>
    </row>
    <row r="2" spans="1:11">
      <c r="A2" s="728" t="s">
        <v>362</v>
      </c>
      <c r="B2" s="728"/>
      <c r="C2" s="728"/>
      <c r="D2" s="728"/>
      <c r="E2" s="728"/>
      <c r="F2" s="397"/>
      <c r="G2" s="726" t="s">
        <v>366</v>
      </c>
      <c r="H2" s="728"/>
      <c r="I2" s="728"/>
      <c r="J2" s="728"/>
      <c r="K2" s="728"/>
    </row>
    <row r="3" spans="1:11" ht="25.5">
      <c r="A3" s="343" t="s">
        <v>36</v>
      </c>
      <c r="B3" s="343" t="s">
        <v>380</v>
      </c>
      <c r="C3" s="343" t="s">
        <v>23</v>
      </c>
      <c r="D3" s="343" t="s">
        <v>22</v>
      </c>
      <c r="E3" s="343" t="s">
        <v>21</v>
      </c>
      <c r="G3" s="343" t="s">
        <v>36</v>
      </c>
      <c r="H3" s="343" t="s">
        <v>380</v>
      </c>
      <c r="I3" s="343" t="s">
        <v>23</v>
      </c>
      <c r="J3" s="343" t="s">
        <v>22</v>
      </c>
      <c r="K3" s="343" t="s">
        <v>21</v>
      </c>
    </row>
    <row r="4" spans="1:11">
      <c r="A4" s="367" t="s">
        <v>284</v>
      </c>
      <c r="B4" s="367" t="s">
        <v>35</v>
      </c>
      <c r="C4" s="565">
        <v>491876</v>
      </c>
      <c r="D4" s="565">
        <v>160974</v>
      </c>
      <c r="E4" s="368">
        <v>2.0556000000000001</v>
      </c>
      <c r="G4" s="371" t="s">
        <v>284</v>
      </c>
      <c r="H4" s="371" t="s">
        <v>35</v>
      </c>
      <c r="I4" s="697">
        <v>169863</v>
      </c>
      <c r="J4" s="697">
        <v>160255</v>
      </c>
      <c r="K4" s="372">
        <v>0.06</v>
      </c>
    </row>
    <row r="5" spans="1:11">
      <c r="A5" s="367" t="s">
        <v>37</v>
      </c>
      <c r="B5" s="367" t="s">
        <v>657</v>
      </c>
      <c r="C5" s="565">
        <v>6962</v>
      </c>
      <c r="D5" s="565">
        <v>2136</v>
      </c>
      <c r="E5" s="368">
        <v>2.2593999999999999</v>
      </c>
      <c r="G5" s="371" t="s">
        <v>37</v>
      </c>
      <c r="H5" s="371" t="s">
        <v>657</v>
      </c>
      <c r="I5" s="697">
        <v>2500</v>
      </c>
      <c r="J5" s="697">
        <v>2277</v>
      </c>
      <c r="K5" s="372">
        <v>9.7900000000000001E-2</v>
      </c>
    </row>
    <row r="6" spans="1:11">
      <c r="A6" s="370" t="s">
        <v>38</v>
      </c>
      <c r="B6" s="367" t="s">
        <v>657</v>
      </c>
      <c r="C6" s="369">
        <v>167925</v>
      </c>
      <c r="D6" s="369">
        <v>56232</v>
      </c>
      <c r="E6" s="368">
        <v>1.9863</v>
      </c>
      <c r="G6" s="371" t="s">
        <v>741</v>
      </c>
      <c r="H6" s="371" t="s">
        <v>657</v>
      </c>
      <c r="I6" s="697">
        <v>1338</v>
      </c>
      <c r="J6" s="697">
        <v>1837</v>
      </c>
      <c r="K6" s="372">
        <v>-0.27160000000000001</v>
      </c>
    </row>
    <row r="7" spans="1:11">
      <c r="A7" s="370" t="s">
        <v>73</v>
      </c>
      <c r="B7" s="367" t="s">
        <v>657</v>
      </c>
      <c r="C7" s="565">
        <v>144681</v>
      </c>
      <c r="D7" s="565">
        <v>48410</v>
      </c>
      <c r="E7" s="368">
        <v>1.9886999999999999</v>
      </c>
      <c r="G7" s="371" t="s">
        <v>38</v>
      </c>
      <c r="H7" s="371" t="s">
        <v>657</v>
      </c>
      <c r="I7" s="697">
        <v>60714</v>
      </c>
      <c r="J7" s="697">
        <v>60566</v>
      </c>
      <c r="K7" s="372">
        <v>2.3999999999999998E-3</v>
      </c>
    </row>
    <row r="8" spans="1:11">
      <c r="A8" s="370" t="s">
        <v>74</v>
      </c>
      <c r="B8" s="367" t="s">
        <v>657</v>
      </c>
      <c r="C8" s="565">
        <v>19332</v>
      </c>
      <c r="D8" s="565">
        <v>6508</v>
      </c>
      <c r="E8" s="368">
        <v>1.9704999999999999</v>
      </c>
      <c r="G8" s="371" t="s">
        <v>73</v>
      </c>
      <c r="H8" s="371" t="s">
        <v>657</v>
      </c>
      <c r="I8" s="697">
        <v>52264</v>
      </c>
      <c r="J8" s="697">
        <v>51777</v>
      </c>
      <c r="K8" s="372">
        <v>9.4000000000000004E-3</v>
      </c>
    </row>
    <row r="9" spans="1:11">
      <c r="A9" s="370" t="s">
        <v>75</v>
      </c>
      <c r="B9" s="367" t="s">
        <v>657</v>
      </c>
      <c r="C9" s="565">
        <v>0</v>
      </c>
      <c r="D9" s="565">
        <v>0</v>
      </c>
      <c r="E9" s="368">
        <v>0</v>
      </c>
      <c r="G9" s="371" t="s">
        <v>74</v>
      </c>
      <c r="H9" s="371" t="s">
        <v>657</v>
      </c>
      <c r="I9" s="697">
        <v>6734</v>
      </c>
      <c r="J9" s="697">
        <v>6900</v>
      </c>
      <c r="K9" s="372">
        <v>-2.41E-2</v>
      </c>
    </row>
    <row r="10" spans="1:11">
      <c r="A10" s="367" t="s">
        <v>381</v>
      </c>
      <c r="B10" s="367" t="s">
        <v>657</v>
      </c>
      <c r="C10" s="565">
        <v>3912</v>
      </c>
      <c r="D10" s="565">
        <v>1314</v>
      </c>
      <c r="E10" s="368">
        <v>1.9772000000000001</v>
      </c>
      <c r="G10" s="371" t="s">
        <v>75</v>
      </c>
      <c r="H10" s="371" t="s">
        <v>657</v>
      </c>
      <c r="I10" s="371">
        <v>0</v>
      </c>
      <c r="J10" s="371">
        <v>0</v>
      </c>
      <c r="K10" s="372">
        <v>0</v>
      </c>
    </row>
    <row r="11" spans="1:11">
      <c r="A11" s="367" t="s">
        <v>39</v>
      </c>
      <c r="B11" s="367" t="s">
        <v>657</v>
      </c>
      <c r="C11" s="565">
        <v>9410</v>
      </c>
      <c r="D11" s="565">
        <v>2860</v>
      </c>
      <c r="E11" s="368">
        <v>2.2902</v>
      </c>
      <c r="G11" s="371" t="s">
        <v>381</v>
      </c>
      <c r="H11" s="371" t="s">
        <v>657</v>
      </c>
      <c r="I11" s="697">
        <v>1472</v>
      </c>
      <c r="J11" s="697">
        <v>1845</v>
      </c>
      <c r="K11" s="372">
        <v>-0.20219999999999999</v>
      </c>
    </row>
    <row r="12" spans="1:11">
      <c r="A12" s="367" t="s">
        <v>40</v>
      </c>
      <c r="B12" s="367" t="s">
        <v>658</v>
      </c>
      <c r="C12" s="565">
        <v>46701</v>
      </c>
      <c r="D12" s="565">
        <v>15355</v>
      </c>
      <c r="E12" s="368">
        <v>2.0413999999999999</v>
      </c>
      <c r="G12" s="371" t="s">
        <v>39</v>
      </c>
      <c r="H12" s="371" t="s">
        <v>657</v>
      </c>
      <c r="I12" s="697">
        <v>3698</v>
      </c>
      <c r="J12" s="697">
        <v>3090</v>
      </c>
      <c r="K12" s="372">
        <v>0.1968</v>
      </c>
    </row>
    <row r="13" spans="1:11">
      <c r="A13" s="367" t="s">
        <v>41</v>
      </c>
      <c r="B13" s="367" t="s">
        <v>658</v>
      </c>
      <c r="C13" s="565">
        <v>3263</v>
      </c>
      <c r="D13" s="565">
        <v>1042</v>
      </c>
      <c r="E13" s="368">
        <v>2.1315</v>
      </c>
      <c r="G13" s="371" t="s">
        <v>40</v>
      </c>
      <c r="H13" s="371" t="s">
        <v>658</v>
      </c>
      <c r="I13" s="697">
        <v>16145</v>
      </c>
      <c r="J13" s="697">
        <v>16441</v>
      </c>
      <c r="K13" s="372">
        <v>-1.7999999999999999E-2</v>
      </c>
    </row>
    <row r="14" spans="1:11">
      <c r="A14" s="370" t="s">
        <v>42</v>
      </c>
      <c r="B14" s="367" t="s">
        <v>658</v>
      </c>
      <c r="C14" s="565">
        <v>6447</v>
      </c>
      <c r="D14" s="565">
        <v>2008</v>
      </c>
      <c r="E14" s="368">
        <v>2.2107000000000001</v>
      </c>
      <c r="G14" s="371" t="s">
        <v>41</v>
      </c>
      <c r="H14" s="371" t="s">
        <v>658</v>
      </c>
      <c r="I14" s="697">
        <v>1123</v>
      </c>
      <c r="J14" s="697">
        <v>1074</v>
      </c>
      <c r="K14" s="372">
        <v>4.5600000000000002E-2</v>
      </c>
    </row>
    <row r="15" spans="1:11">
      <c r="A15" s="367" t="s">
        <v>574</v>
      </c>
      <c r="B15" s="367" t="s">
        <v>658</v>
      </c>
      <c r="C15" s="369">
        <v>856</v>
      </c>
      <c r="D15" s="369">
        <v>263</v>
      </c>
      <c r="E15" s="368">
        <v>2.2547999999999999</v>
      </c>
      <c r="G15" s="371" t="s">
        <v>42</v>
      </c>
      <c r="H15" s="371" t="s">
        <v>658</v>
      </c>
      <c r="I15" s="697">
        <v>2219</v>
      </c>
      <c r="J15" s="697">
        <v>2071</v>
      </c>
      <c r="K15" s="372">
        <v>7.1499999999999994E-2</v>
      </c>
    </row>
    <row r="16" spans="1:11">
      <c r="A16" s="370" t="s">
        <v>43</v>
      </c>
      <c r="B16" s="367" t="s">
        <v>658</v>
      </c>
      <c r="C16" s="565">
        <v>903</v>
      </c>
      <c r="D16" s="565">
        <v>291</v>
      </c>
      <c r="E16" s="368">
        <v>2.1031</v>
      </c>
      <c r="G16" s="371" t="s">
        <v>742</v>
      </c>
      <c r="H16" s="371" t="s">
        <v>658</v>
      </c>
      <c r="I16" s="697">
        <v>1632</v>
      </c>
      <c r="J16" s="697">
        <v>1655</v>
      </c>
      <c r="K16" s="372">
        <v>-1.3899999999999999E-2</v>
      </c>
    </row>
    <row r="17" spans="1:11">
      <c r="A17" s="370" t="s">
        <v>76</v>
      </c>
      <c r="B17" s="367" t="s">
        <v>658</v>
      </c>
      <c r="C17" s="565">
        <v>535</v>
      </c>
      <c r="D17" s="565">
        <v>169</v>
      </c>
      <c r="E17" s="368">
        <v>2.1657000000000002</v>
      </c>
      <c r="G17" s="371" t="s">
        <v>743</v>
      </c>
      <c r="H17" s="371" t="s">
        <v>658</v>
      </c>
      <c r="I17" s="697">
        <v>4563</v>
      </c>
      <c r="J17" s="697">
        <v>4709</v>
      </c>
      <c r="K17" s="372">
        <v>-3.1E-2</v>
      </c>
    </row>
    <row r="18" spans="1:11">
      <c r="A18" s="370" t="s">
        <v>77</v>
      </c>
      <c r="B18" s="367" t="s">
        <v>658</v>
      </c>
      <c r="C18" s="367">
        <v>368</v>
      </c>
      <c r="D18" s="367">
        <v>122</v>
      </c>
      <c r="E18" s="368">
        <v>2.0164</v>
      </c>
      <c r="G18" s="371" t="s">
        <v>574</v>
      </c>
      <c r="H18" s="371" t="s">
        <v>658</v>
      </c>
      <c r="I18" s="371">
        <v>247</v>
      </c>
      <c r="J18" s="371">
        <v>190</v>
      </c>
      <c r="K18" s="372">
        <v>0.3</v>
      </c>
    </row>
    <row r="19" spans="1:11">
      <c r="A19" s="370" t="s">
        <v>45</v>
      </c>
      <c r="B19" s="367" t="s">
        <v>84</v>
      </c>
      <c r="C19" s="565">
        <v>13521</v>
      </c>
      <c r="D19" s="565">
        <v>4288</v>
      </c>
      <c r="E19" s="368">
        <v>2.1532</v>
      </c>
      <c r="G19" s="371" t="s">
        <v>744</v>
      </c>
      <c r="H19" s="371" t="s">
        <v>658</v>
      </c>
      <c r="I19" s="697">
        <v>1915</v>
      </c>
      <c r="J19" s="697">
        <v>2099</v>
      </c>
      <c r="K19" s="372">
        <v>-8.77E-2</v>
      </c>
    </row>
    <row r="20" spans="1:11">
      <c r="A20" s="367" t="s">
        <v>46</v>
      </c>
      <c r="B20" s="367" t="s">
        <v>659</v>
      </c>
      <c r="C20" s="369">
        <v>2868</v>
      </c>
      <c r="D20" s="369">
        <v>918</v>
      </c>
      <c r="E20" s="368">
        <v>2.1242000000000001</v>
      </c>
      <c r="G20" s="371" t="s">
        <v>43</v>
      </c>
      <c r="H20" s="371" t="s">
        <v>658</v>
      </c>
      <c r="I20" s="371">
        <v>292</v>
      </c>
      <c r="J20" s="371">
        <v>328</v>
      </c>
      <c r="K20" s="372">
        <v>-0.10979999999999999</v>
      </c>
    </row>
    <row r="21" spans="1:11">
      <c r="A21" s="367" t="s">
        <v>78</v>
      </c>
      <c r="B21" s="367" t="s">
        <v>659</v>
      </c>
      <c r="C21" s="565">
        <v>1570</v>
      </c>
      <c r="D21" s="565">
        <v>529</v>
      </c>
      <c r="E21" s="368">
        <v>1.9679</v>
      </c>
      <c r="G21" s="371" t="s">
        <v>76</v>
      </c>
      <c r="H21" s="371" t="s">
        <v>658</v>
      </c>
      <c r="I21" s="371">
        <v>166</v>
      </c>
      <c r="J21" s="371">
        <v>171</v>
      </c>
      <c r="K21" s="372">
        <v>-2.92E-2</v>
      </c>
    </row>
    <row r="22" spans="1:11">
      <c r="A22" s="367" t="s">
        <v>79</v>
      </c>
      <c r="B22" s="367" t="s">
        <v>659</v>
      </c>
      <c r="C22" s="565">
        <v>546</v>
      </c>
      <c r="D22" s="565">
        <v>161</v>
      </c>
      <c r="E22" s="368">
        <v>2.3913000000000002</v>
      </c>
      <c r="G22" s="371" t="s">
        <v>77</v>
      </c>
      <c r="H22" s="371" t="s">
        <v>658</v>
      </c>
      <c r="I22" s="371">
        <v>122</v>
      </c>
      <c r="J22" s="371">
        <v>153</v>
      </c>
      <c r="K22" s="372">
        <v>-0.2026</v>
      </c>
    </row>
    <row r="23" spans="1:11">
      <c r="A23" s="367" t="s">
        <v>80</v>
      </c>
      <c r="B23" s="367" t="s">
        <v>659</v>
      </c>
      <c r="C23" s="367">
        <v>591</v>
      </c>
      <c r="D23" s="367">
        <v>177</v>
      </c>
      <c r="E23" s="368">
        <v>2.339</v>
      </c>
      <c r="G23" s="371" t="s">
        <v>745</v>
      </c>
      <c r="H23" s="371" t="s">
        <v>84</v>
      </c>
      <c r="I23" s="371">
        <v>108</v>
      </c>
      <c r="J23" s="371">
        <v>111</v>
      </c>
      <c r="K23" s="372">
        <v>-2.7E-2</v>
      </c>
    </row>
    <row r="24" spans="1:11">
      <c r="A24" s="367" t="s">
        <v>269</v>
      </c>
      <c r="B24" s="367" t="s">
        <v>659</v>
      </c>
      <c r="C24" s="367">
        <v>158</v>
      </c>
      <c r="D24" s="367">
        <v>50</v>
      </c>
      <c r="E24" s="368">
        <v>2.16</v>
      </c>
      <c r="G24" s="371" t="s">
        <v>45</v>
      </c>
      <c r="H24" s="371" t="s">
        <v>84</v>
      </c>
      <c r="I24" s="697">
        <v>4739</v>
      </c>
      <c r="J24" s="697">
        <v>4036</v>
      </c>
      <c r="K24" s="372">
        <v>0.17419999999999999</v>
      </c>
    </row>
    <row r="25" spans="1:11">
      <c r="A25" s="367" t="s">
        <v>47</v>
      </c>
      <c r="B25" s="367" t="s">
        <v>83</v>
      </c>
      <c r="C25" s="369">
        <v>45.89</v>
      </c>
      <c r="D25" s="369">
        <v>45.75</v>
      </c>
      <c r="E25" s="368">
        <v>2.1333000000000002</v>
      </c>
      <c r="G25" s="371" t="s">
        <v>46</v>
      </c>
      <c r="H25" s="371" t="s">
        <v>659</v>
      </c>
      <c r="I25" s="371">
        <v>875</v>
      </c>
      <c r="J25" s="371">
        <v>783</v>
      </c>
      <c r="K25" s="372">
        <v>0.11749999999999999</v>
      </c>
    </row>
    <row r="26" spans="1:11">
      <c r="A26" s="367" t="s">
        <v>48</v>
      </c>
      <c r="B26" s="367" t="s">
        <v>84</v>
      </c>
      <c r="C26" s="565">
        <v>4.71</v>
      </c>
      <c r="D26" s="565">
        <v>4.67</v>
      </c>
      <c r="E26" s="368">
        <v>0</v>
      </c>
      <c r="G26" s="371" t="s">
        <v>78</v>
      </c>
      <c r="H26" s="371" t="s">
        <v>659</v>
      </c>
      <c r="I26" s="371">
        <v>132</v>
      </c>
      <c r="J26" s="371">
        <v>109</v>
      </c>
      <c r="K26" s="372">
        <v>0.21099999999999999</v>
      </c>
    </row>
    <row r="27" spans="1:11">
      <c r="A27" s="367" t="s">
        <v>49</v>
      </c>
      <c r="B27" s="367" t="s">
        <v>658</v>
      </c>
      <c r="C27" s="565">
        <v>466832</v>
      </c>
      <c r="D27" s="565">
        <v>151801</v>
      </c>
      <c r="E27" s="368">
        <v>2.0752999999999999</v>
      </c>
      <c r="G27" s="371" t="s">
        <v>79</v>
      </c>
      <c r="H27" s="371" t="s">
        <v>659</v>
      </c>
      <c r="I27" s="371">
        <v>490</v>
      </c>
      <c r="J27" s="371">
        <v>402</v>
      </c>
      <c r="K27" s="372">
        <v>0.21890000000000001</v>
      </c>
    </row>
    <row r="28" spans="1:11">
      <c r="A28" s="367" t="s">
        <v>50</v>
      </c>
      <c r="B28" s="367" t="s">
        <v>33</v>
      </c>
      <c r="C28" s="367">
        <v>4.25</v>
      </c>
      <c r="D28" s="367">
        <v>3.7</v>
      </c>
      <c r="E28" s="368">
        <v>2.5312999999999999</v>
      </c>
      <c r="G28" s="371" t="s">
        <v>80</v>
      </c>
      <c r="H28" s="371" t="s">
        <v>659</v>
      </c>
      <c r="I28" s="371">
        <v>176</v>
      </c>
      <c r="J28" s="371">
        <v>171</v>
      </c>
      <c r="K28" s="372">
        <v>2.92E-2</v>
      </c>
    </row>
    <row r="29" spans="1:11">
      <c r="A29" s="367" t="s">
        <v>382</v>
      </c>
      <c r="B29" s="367" t="s">
        <v>33</v>
      </c>
      <c r="C29" s="367">
        <v>70.19</v>
      </c>
      <c r="D29" s="367">
        <v>70.459999999999994</v>
      </c>
      <c r="E29" s="368">
        <v>2.0638000000000001</v>
      </c>
      <c r="G29" s="371" t="s">
        <v>269</v>
      </c>
      <c r="H29" s="371" t="s">
        <v>659</v>
      </c>
      <c r="I29" s="371">
        <v>58</v>
      </c>
      <c r="J29" s="371">
        <v>82</v>
      </c>
      <c r="K29" s="372">
        <v>-0.29270000000000002</v>
      </c>
    </row>
    <row r="30" spans="1:11">
      <c r="G30" s="371" t="s">
        <v>746</v>
      </c>
      <c r="H30" s="371" t="s">
        <v>659</v>
      </c>
      <c r="I30" s="371">
        <v>5</v>
      </c>
      <c r="J30" s="371">
        <v>5</v>
      </c>
      <c r="K30" s="372">
        <v>0</v>
      </c>
    </row>
    <row r="31" spans="1:11">
      <c r="A31" s="724" t="s">
        <v>363</v>
      </c>
      <c r="B31" s="725"/>
      <c r="C31" s="725"/>
      <c r="D31" s="726"/>
      <c r="F31" s="339"/>
      <c r="G31" s="698" t="s">
        <v>47</v>
      </c>
      <c r="H31" s="698" t="s">
        <v>83</v>
      </c>
      <c r="I31" s="698">
        <v>48.34</v>
      </c>
      <c r="J31" s="371">
        <v>39.08</v>
      </c>
      <c r="K31" s="372">
        <v>0.38240000000000002</v>
      </c>
    </row>
    <row r="32" spans="1:11" ht="25.5">
      <c r="A32" s="343" t="s">
        <v>36</v>
      </c>
      <c r="B32" s="343" t="s">
        <v>23</v>
      </c>
      <c r="C32" s="343" t="s">
        <v>22</v>
      </c>
      <c r="D32" s="343" t="s">
        <v>29</v>
      </c>
      <c r="G32" s="371" t="s">
        <v>758</v>
      </c>
      <c r="H32" s="371" t="s">
        <v>659</v>
      </c>
      <c r="I32" s="371">
        <v>6</v>
      </c>
      <c r="J32" s="371">
        <v>17</v>
      </c>
      <c r="K32" s="372">
        <v>-0.64710000000000001</v>
      </c>
    </row>
    <row r="33" spans="1:11">
      <c r="A33" s="367" t="s">
        <v>284</v>
      </c>
      <c r="B33" s="374">
        <f>IF(C4=0,0%,(C4-I4)/C4)</f>
        <v>0.65466296383641409</v>
      </c>
      <c r="C33" s="374">
        <f>IF(D4=0,0%,(D4-J4)/D4)</f>
        <v>4.4665598171133225E-3</v>
      </c>
      <c r="D33" s="207" t="str">
        <f>IF(AND(B33&lt;=10%,C33&lt;=10%,B33&gt;=-10%,C33&gt;=-10%),"PASS","FAIL")</f>
        <v>FAIL</v>
      </c>
      <c r="G33" s="371" t="s">
        <v>48</v>
      </c>
      <c r="H33" s="371" t="s">
        <v>84</v>
      </c>
      <c r="I33" s="371">
        <v>5.42</v>
      </c>
      <c r="J33" s="371">
        <v>5.15</v>
      </c>
      <c r="K33" s="372">
        <v>0</v>
      </c>
    </row>
    <row r="34" spans="1:11">
      <c r="A34" s="367" t="s">
        <v>37</v>
      </c>
      <c r="B34" s="374">
        <f t="shared" ref="B34:C34" si="0">IF(C5=0,0%,(C5-I5)/C5)</f>
        <v>0.64090778511921864</v>
      </c>
      <c r="C34" s="374">
        <f t="shared" si="0"/>
        <v>-6.6011235955056174E-2</v>
      </c>
      <c r="D34" s="207" t="str">
        <f t="shared" ref="D34:D58" si="1">IF(AND(B34&lt;=10%,C34&lt;=10%,B34&gt;=-10%,C34&gt;=-10%),"PASS","FAIL")</f>
        <v>FAIL</v>
      </c>
      <c r="G34" s="371" t="s">
        <v>49</v>
      </c>
      <c r="H34" s="371" t="s">
        <v>658</v>
      </c>
      <c r="I34" s="697">
        <v>160526</v>
      </c>
      <c r="J34" s="697">
        <v>153118</v>
      </c>
      <c r="K34" s="372">
        <v>4.8399999999999999E-2</v>
      </c>
    </row>
    <row r="35" spans="1:11">
      <c r="A35" s="367" t="s">
        <v>38</v>
      </c>
      <c r="B35" s="374">
        <f t="shared" ref="B35:C35" si="2">IF(C6=0,0%,(C6-I6)/C6)</f>
        <v>0.9920321572130415</v>
      </c>
      <c r="C35" s="374">
        <f t="shared" si="2"/>
        <v>0.96733176838810642</v>
      </c>
      <c r="D35" s="207" t="str">
        <f t="shared" si="1"/>
        <v>FAIL</v>
      </c>
      <c r="G35" s="371" t="s">
        <v>50</v>
      </c>
      <c r="H35" s="371" t="s">
        <v>33</v>
      </c>
      <c r="I35" s="371">
        <v>2.7</v>
      </c>
      <c r="J35" s="371">
        <v>3.51</v>
      </c>
      <c r="K35" s="372">
        <v>-0.19489999999999999</v>
      </c>
    </row>
    <row r="36" spans="1:11">
      <c r="A36" s="370" t="s">
        <v>73</v>
      </c>
      <c r="B36" s="374">
        <f t="shared" ref="B36:C36" si="3">IF(C7=0,0%,(C7-I7)/C7)</f>
        <v>0.58035954962987535</v>
      </c>
      <c r="C36" s="374">
        <f t="shared" si="3"/>
        <v>-0.25110514356537905</v>
      </c>
      <c r="D36" s="207" t="str">
        <f t="shared" si="1"/>
        <v>FAIL</v>
      </c>
      <c r="G36" s="371" t="s">
        <v>382</v>
      </c>
      <c r="H36" s="371" t="s">
        <v>33</v>
      </c>
      <c r="I36" s="371">
        <v>71.819999999999993</v>
      </c>
      <c r="J36" s="371">
        <v>70.510000000000005</v>
      </c>
      <c r="K36" s="372">
        <v>6.8000000000000005E-2</v>
      </c>
    </row>
    <row r="37" spans="1:11">
      <c r="A37" s="370" t="s">
        <v>74</v>
      </c>
      <c r="B37" s="374">
        <f t="shared" ref="B37:C37" si="4">IF(C8=0,0%,(C8-I8)/C8)</f>
        <v>-1.7034967928822677</v>
      </c>
      <c r="C37" s="374">
        <f t="shared" si="4"/>
        <v>-6.9559004302397049</v>
      </c>
      <c r="D37" s="207" t="str">
        <f t="shared" si="1"/>
        <v>FAIL</v>
      </c>
      <c r="G37" s="371"/>
      <c r="H37" s="371"/>
      <c r="I37" s="371"/>
      <c r="J37" s="371"/>
      <c r="K37" s="371"/>
    </row>
    <row r="38" spans="1:11">
      <c r="A38" s="370" t="s">
        <v>75</v>
      </c>
      <c r="B38" s="374">
        <f t="shared" ref="B38:C38" si="5">IF(C9=0,0%,(C9-I9)/C9)</f>
        <v>0</v>
      </c>
      <c r="C38" s="374">
        <f t="shared" si="5"/>
        <v>0</v>
      </c>
      <c r="D38" s="207" t="str">
        <f t="shared" si="1"/>
        <v>PASS</v>
      </c>
    </row>
    <row r="39" spans="1:11">
      <c r="A39" s="370" t="s">
        <v>381</v>
      </c>
      <c r="B39" s="374">
        <f t="shared" ref="B39:C39" si="6">IF(C10=0,0%,(C10-I10)/C10)</f>
        <v>1</v>
      </c>
      <c r="C39" s="374">
        <f t="shared" si="6"/>
        <v>1</v>
      </c>
      <c r="D39" s="207" t="str">
        <f t="shared" si="1"/>
        <v>FAIL</v>
      </c>
    </row>
    <row r="40" spans="1:11">
      <c r="A40" s="367" t="s">
        <v>39</v>
      </c>
      <c r="B40" s="374">
        <f t="shared" ref="B40:C40" si="7">IF(C11=0,0%,(C11-I11)/C11)</f>
        <v>0.84357066950053139</v>
      </c>
      <c r="C40" s="374">
        <f t="shared" si="7"/>
        <v>0.3548951048951049</v>
      </c>
      <c r="D40" s="207" t="str">
        <f t="shared" si="1"/>
        <v>FAIL</v>
      </c>
    </row>
    <row r="41" spans="1:11">
      <c r="A41" s="367" t="s">
        <v>40</v>
      </c>
      <c r="B41" s="374">
        <f t="shared" ref="B41:C41" si="8">IF(C12=0,0%,(C12-I12)/C12)</f>
        <v>0.92081540009849894</v>
      </c>
      <c r="C41" s="374">
        <f t="shared" si="8"/>
        <v>0.79876261803972648</v>
      </c>
      <c r="D41" s="207" t="str">
        <f t="shared" si="1"/>
        <v>FAIL</v>
      </c>
    </row>
    <row r="42" spans="1:11">
      <c r="A42" s="367" t="s">
        <v>41</v>
      </c>
      <c r="B42" s="374">
        <f t="shared" ref="B42:C42" si="9">IF(C13=0,0%,(C13-I13)/C13)</f>
        <v>-3.9479007048728163</v>
      </c>
      <c r="C42" s="374">
        <f t="shared" si="9"/>
        <v>-14.77831094049904</v>
      </c>
      <c r="D42" s="207" t="str">
        <f t="shared" si="1"/>
        <v>FAIL</v>
      </c>
    </row>
    <row r="43" spans="1:11">
      <c r="A43" s="367" t="s">
        <v>42</v>
      </c>
      <c r="B43" s="374">
        <f t="shared" ref="B43:C43" si="10">IF(C14=0,0%,(C14-I14)/C14)</f>
        <v>0.82581045447494961</v>
      </c>
      <c r="C43" s="374">
        <f t="shared" si="10"/>
        <v>0.46513944223107567</v>
      </c>
      <c r="D43" s="207" t="str">
        <f t="shared" si="1"/>
        <v>FAIL</v>
      </c>
    </row>
    <row r="44" spans="1:11">
      <c r="A44" s="367" t="s">
        <v>574</v>
      </c>
      <c r="B44" s="374">
        <f t="shared" ref="B44:C44" si="11">IF(C15=0,0%,(C15-I15)/C15)</f>
        <v>-1.5922897196261683</v>
      </c>
      <c r="C44" s="374">
        <f t="shared" si="11"/>
        <v>-6.8745247148288975</v>
      </c>
      <c r="D44" s="207" t="str">
        <f t="shared" si="1"/>
        <v>FAIL</v>
      </c>
    </row>
    <row r="45" spans="1:11">
      <c r="A45" s="370" t="s">
        <v>43</v>
      </c>
      <c r="B45" s="374">
        <f t="shared" ref="B45:C45" si="12">IF(C16=0,0%,(C16-I16)/C16)</f>
        <v>-0.80730897009966773</v>
      </c>
      <c r="C45" s="374">
        <f t="shared" si="12"/>
        <v>-4.6872852233676978</v>
      </c>
      <c r="D45" s="207" t="str">
        <f t="shared" si="1"/>
        <v>FAIL</v>
      </c>
    </row>
    <row r="46" spans="1:11">
      <c r="A46" s="370" t="s">
        <v>76</v>
      </c>
      <c r="B46" s="374">
        <f t="shared" ref="B46:C46" si="13">IF(C17=0,0%,(C17-I17)/C17)</f>
        <v>-7.5289719626168221</v>
      </c>
      <c r="C46" s="374">
        <f t="shared" si="13"/>
        <v>-26.863905325443788</v>
      </c>
      <c r="D46" s="207" t="str">
        <f t="shared" si="1"/>
        <v>FAIL</v>
      </c>
    </row>
    <row r="47" spans="1:11">
      <c r="A47" s="367" t="s">
        <v>77</v>
      </c>
      <c r="B47" s="374">
        <f t="shared" ref="B47:C47" si="14">IF(C18=0,0%,(C18-I18)/C18)</f>
        <v>0.32880434782608697</v>
      </c>
      <c r="C47" s="374">
        <f t="shared" si="14"/>
        <v>-0.55737704918032782</v>
      </c>
      <c r="D47" s="207" t="str">
        <f t="shared" si="1"/>
        <v>FAIL</v>
      </c>
    </row>
    <row r="48" spans="1:11">
      <c r="A48" s="367" t="s">
        <v>45</v>
      </c>
      <c r="B48" s="374">
        <f t="shared" ref="B48:C48" si="15">IF(C19=0,0%,(C19-I19)/C19)</f>
        <v>0.85836846387101551</v>
      </c>
      <c r="C48" s="374">
        <f t="shared" si="15"/>
        <v>0.51049440298507465</v>
      </c>
      <c r="D48" s="207" t="str">
        <f t="shared" si="1"/>
        <v>FAIL</v>
      </c>
    </row>
    <row r="49" spans="1:4">
      <c r="A49" s="370" t="s">
        <v>46</v>
      </c>
      <c r="B49" s="374">
        <f t="shared" ref="B49:C49" si="16">IF(C20=0,0%,(C20-I20)/C20)</f>
        <v>0.89818688981868899</v>
      </c>
      <c r="C49" s="374">
        <f t="shared" si="16"/>
        <v>0.64270152505446621</v>
      </c>
      <c r="D49" s="207" t="str">
        <f t="shared" si="1"/>
        <v>FAIL</v>
      </c>
    </row>
    <row r="50" spans="1:4">
      <c r="A50" s="370" t="s">
        <v>78</v>
      </c>
      <c r="B50" s="374">
        <f t="shared" ref="B50:C50" si="17">IF(C21=0,0%,(C21-I21)/C21)</f>
        <v>0.8942675159235669</v>
      </c>
      <c r="C50" s="374">
        <f t="shared" si="17"/>
        <v>0.67674858223062384</v>
      </c>
      <c r="D50" s="207" t="str">
        <f t="shared" si="1"/>
        <v>FAIL</v>
      </c>
    </row>
    <row r="51" spans="1:4">
      <c r="A51" s="370" t="s">
        <v>79</v>
      </c>
      <c r="B51" s="374">
        <f t="shared" ref="B51:C51" si="18">IF(C22=0,0%,(C22-I22)/C22)</f>
        <v>0.77655677655677657</v>
      </c>
      <c r="C51" s="374">
        <f t="shared" si="18"/>
        <v>4.9689440993788817E-2</v>
      </c>
      <c r="D51" s="207" t="str">
        <f t="shared" si="1"/>
        <v>FAIL</v>
      </c>
    </row>
    <row r="52" spans="1:4">
      <c r="A52" s="370" t="s">
        <v>80</v>
      </c>
      <c r="B52" s="374">
        <f t="shared" ref="B52:C52" si="19">IF(C23=0,0%,(C23-I23)/C23)</f>
        <v>0.81725888324873097</v>
      </c>
      <c r="C52" s="374">
        <f t="shared" si="19"/>
        <v>0.3728813559322034</v>
      </c>
      <c r="D52" s="207" t="str">
        <f t="shared" si="1"/>
        <v>FAIL</v>
      </c>
    </row>
    <row r="53" spans="1:4">
      <c r="A53" s="370" t="s">
        <v>269</v>
      </c>
      <c r="B53" s="374">
        <f t="shared" ref="B53:C53" si="20">IF(C24=0,0%,(C24-I24)/C24)</f>
        <v>-28.99367088607595</v>
      </c>
      <c r="C53" s="374">
        <f t="shared" si="20"/>
        <v>-79.72</v>
      </c>
      <c r="D53" s="207" t="str">
        <f t="shared" si="1"/>
        <v>FAIL</v>
      </c>
    </row>
    <row r="54" spans="1:4">
      <c r="A54" s="367" t="s">
        <v>47</v>
      </c>
      <c r="B54" s="374">
        <f t="shared" ref="B54:C54" si="21">IF(C25=0,0%,(C25-I25)/C25)</f>
        <v>-18.067334931357593</v>
      </c>
      <c r="C54" s="374">
        <f t="shared" si="21"/>
        <v>-16.114754098360656</v>
      </c>
      <c r="D54" s="207" t="str">
        <f t="shared" si="1"/>
        <v>FAIL</v>
      </c>
    </row>
    <row r="55" spans="1:4">
      <c r="A55" s="367" t="s">
        <v>48</v>
      </c>
      <c r="B55" s="374">
        <f t="shared" ref="B55:C55" si="22">IF(C26=0,0%,(C26-I26)/C26)</f>
        <v>-27.02547770700637</v>
      </c>
      <c r="C55" s="374">
        <f t="shared" si="22"/>
        <v>-22.340471092077088</v>
      </c>
      <c r="D55" s="207" t="str">
        <f t="shared" si="1"/>
        <v>FAIL</v>
      </c>
    </row>
    <row r="56" spans="1:4">
      <c r="A56" s="367" t="s">
        <v>49</v>
      </c>
      <c r="B56" s="374">
        <f t="shared" ref="B56:C56" si="23">IF(C27=0,0%,(C27-I27)/C27)</f>
        <v>0.99895037186825242</v>
      </c>
      <c r="C56" s="374">
        <f t="shared" si="23"/>
        <v>0.99735179610147495</v>
      </c>
      <c r="D56" s="207" t="str">
        <f t="shared" si="1"/>
        <v>FAIL</v>
      </c>
    </row>
    <row r="57" spans="1:4">
      <c r="A57" s="367" t="s">
        <v>50</v>
      </c>
      <c r="B57" s="374">
        <f t="shared" ref="B57:C57" si="24">IF(C28=0,0%,(C28-I28)/C28)</f>
        <v>-40.411764705882355</v>
      </c>
      <c r="C57" s="374">
        <f t="shared" si="24"/>
        <v>-45.216216216216218</v>
      </c>
      <c r="D57" s="207" t="str">
        <f t="shared" si="1"/>
        <v>FAIL</v>
      </c>
    </row>
    <row r="58" spans="1:4">
      <c r="A58" s="367" t="s">
        <v>382</v>
      </c>
      <c r="B58" s="374">
        <f t="shared" ref="B58:C58" si="25">IF(C29=0,0%,(C29-I29)/C29)</f>
        <v>0.1736714631713919</v>
      </c>
      <c r="C58" s="374">
        <f t="shared" si="25"/>
        <v>-0.16378086857791666</v>
      </c>
      <c r="D58" s="207" t="str">
        <f t="shared" si="1"/>
        <v>FAIL</v>
      </c>
    </row>
  </sheetData>
  <mergeCells count="4">
    <mergeCell ref="A2:E2"/>
    <mergeCell ref="A31:D31"/>
    <mergeCell ref="G2:K2"/>
    <mergeCell ref="A1:E1"/>
  </mergeCells>
  <conditionalFormatting sqref="D33:D58">
    <cfRule type="containsText" dxfId="213" priority="23" operator="containsText" text="FAIL">
      <formula>NOT(ISERROR(SEARCH("FAIL",D33)))</formula>
    </cfRule>
    <cfRule type="containsText" dxfId="212" priority="24" operator="containsText" text="PASS">
      <formula>NOT(ISERROR(SEARCH("PASS",D33)))</formula>
    </cfRule>
  </conditionalFormatting>
  <conditionalFormatting sqref="D33:D58">
    <cfRule type="containsText" dxfId="211" priority="21" operator="containsText" text="N">
      <formula>NOT(ISERROR(SEARCH("N",D33)))</formula>
    </cfRule>
    <cfRule type="containsText" dxfId="210" priority="22" operator="containsText" text="Y">
      <formula>NOT(ISERROR(SEARCH("Y",D33)))</formula>
    </cfRule>
  </conditionalFormatting>
  <pageMargins left="0.7" right="0.7" top="0.75" bottom="0.75" header="0.3" footer="0.3"/>
  <pageSetup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U239"/>
  <sheetViews>
    <sheetView showGridLines="0" topLeftCell="V1" zoomScale="80" zoomScaleNormal="80" workbookViewId="0">
      <pane ySplit="2" topLeftCell="A3" activePane="bottomLeft" state="frozen"/>
      <selection pane="bottomLeft" activeCell="W7" sqref="W7:AD31"/>
    </sheetView>
  </sheetViews>
  <sheetFormatPr defaultRowHeight="12.75"/>
  <cols>
    <col min="1" max="1" width="4.5703125" style="2" customWidth="1"/>
    <col min="2" max="2" width="29.28515625" style="2" bestFit="1" customWidth="1"/>
    <col min="3" max="3" width="20.85546875" style="100" customWidth="1"/>
    <col min="4" max="4" width="20.7109375" style="100" bestFit="1" customWidth="1"/>
    <col min="5" max="5" width="25.28515625" style="188" bestFit="1" customWidth="1"/>
    <col min="6" max="6" width="20.42578125" style="188" bestFit="1" customWidth="1"/>
    <col min="7" max="7" width="19" style="2" bestFit="1" customWidth="1"/>
    <col min="8" max="8" width="21.7109375" style="313" bestFit="1" customWidth="1"/>
    <col min="9" max="9" width="17.140625" style="189" customWidth="1"/>
    <col min="10" max="10" width="8.7109375" style="2" customWidth="1"/>
    <col min="11" max="11" width="3.5703125" style="190" bestFit="1" customWidth="1"/>
    <col min="12" max="12" width="41" style="191" customWidth="1"/>
    <col min="13" max="13" width="18" style="2" bestFit="1" customWidth="1"/>
    <col min="14" max="15" width="20.7109375" style="2" bestFit="1" customWidth="1"/>
    <col min="16" max="16" width="21.7109375" style="2" bestFit="1" customWidth="1"/>
    <col min="17" max="17" width="16.5703125" style="192" customWidth="1"/>
    <col min="18" max="18" width="21.7109375" style="2" bestFit="1" customWidth="1"/>
    <col min="19" max="19" width="20.28515625" style="2" bestFit="1" customWidth="1"/>
    <col min="20" max="20" width="22.42578125" style="2" bestFit="1" customWidth="1"/>
    <col min="21" max="21" width="7.42578125" style="2" bestFit="1" customWidth="1"/>
    <col min="22" max="16384" width="9.140625" style="2"/>
  </cols>
  <sheetData>
    <row r="1" spans="1:21" ht="12.75" customHeight="1">
      <c r="A1" s="721" t="s">
        <v>385</v>
      </c>
      <c r="B1" s="721"/>
    </row>
    <row r="2" spans="1:21" s="45" customFormat="1">
      <c r="A2" s="765" t="s">
        <v>383</v>
      </c>
      <c r="B2" s="765"/>
      <c r="C2" s="765"/>
      <c r="D2" s="765"/>
      <c r="E2" s="765"/>
      <c r="F2" s="765"/>
      <c r="G2" s="765"/>
      <c r="H2" s="765"/>
      <c r="I2" s="765"/>
      <c r="J2" s="549"/>
      <c r="K2" s="766" t="s">
        <v>334</v>
      </c>
      <c r="L2" s="766"/>
      <c r="M2" s="766"/>
      <c r="N2" s="766"/>
      <c r="O2" s="766"/>
      <c r="P2" s="766"/>
      <c r="Q2" s="766"/>
      <c r="R2" s="766"/>
      <c r="S2" s="766"/>
      <c r="T2" s="766"/>
      <c r="U2" s="766"/>
    </row>
    <row r="3" spans="1:21" s="450" customFormat="1" ht="15"/>
    <row r="4" spans="1:21" s="45" customFormat="1" ht="15" customHeight="1">
      <c r="A4" s="767"/>
      <c r="B4" s="767"/>
      <c r="C4" s="767"/>
      <c r="D4" s="767"/>
      <c r="E4" s="767"/>
      <c r="F4" s="767"/>
      <c r="G4" s="767"/>
      <c r="H4" s="767"/>
      <c r="I4" s="767"/>
      <c r="J4" s="767"/>
      <c r="K4" s="767"/>
      <c r="L4" s="767"/>
      <c r="M4" s="767"/>
      <c r="N4" s="767"/>
      <c r="O4" s="767"/>
      <c r="P4" s="767"/>
      <c r="Q4" s="767"/>
      <c r="R4" s="767"/>
      <c r="S4" s="767"/>
      <c r="T4" s="767"/>
      <c r="U4" s="768"/>
    </row>
    <row r="5" spans="1:21" s="450" customFormat="1" ht="15"/>
    <row r="6" spans="1:21" s="45" customFormat="1">
      <c r="A6" s="89" t="s">
        <v>32</v>
      </c>
      <c r="B6" s="89" t="s">
        <v>336</v>
      </c>
      <c r="C6" s="89" t="s">
        <v>23</v>
      </c>
      <c r="D6" s="89" t="s">
        <v>351</v>
      </c>
      <c r="E6" s="477" t="s">
        <v>22</v>
      </c>
      <c r="F6" s="477" t="s">
        <v>352</v>
      </c>
      <c r="G6" s="89" t="s">
        <v>21</v>
      </c>
      <c r="H6" s="318" t="s">
        <v>337</v>
      </c>
      <c r="I6" s="445"/>
      <c r="J6" s="52"/>
      <c r="K6" s="548" t="s">
        <v>32</v>
      </c>
      <c r="L6" s="695" t="s">
        <v>336</v>
      </c>
      <c r="M6" s="548" t="s">
        <v>23</v>
      </c>
      <c r="N6" s="548" t="s">
        <v>351</v>
      </c>
      <c r="O6" s="443" t="s">
        <v>22</v>
      </c>
      <c r="P6" s="443" t="s">
        <v>352</v>
      </c>
      <c r="Q6" s="548" t="s">
        <v>21</v>
      </c>
      <c r="R6" s="560" t="s">
        <v>337</v>
      </c>
      <c r="S6" s="342" t="s">
        <v>390</v>
      </c>
      <c r="T6" s="342" t="s">
        <v>391</v>
      </c>
      <c r="U6" s="342" t="s">
        <v>29</v>
      </c>
    </row>
    <row r="7" spans="1:21" s="45" customFormat="1">
      <c r="A7" s="62">
        <v>1</v>
      </c>
      <c r="B7" s="531" t="s">
        <v>602</v>
      </c>
      <c r="C7" s="530">
        <v>1281470.04</v>
      </c>
      <c r="D7" s="530">
        <v>7.72</v>
      </c>
      <c r="E7" s="544">
        <v>945237.19</v>
      </c>
      <c r="F7" s="544">
        <v>5.87</v>
      </c>
      <c r="G7" s="543">
        <v>0.35570000000000002</v>
      </c>
      <c r="H7" s="542">
        <v>5</v>
      </c>
      <c r="I7" s="546"/>
      <c r="K7" s="428">
        <v>1</v>
      </c>
      <c r="L7" s="453" t="s">
        <v>602</v>
      </c>
      <c r="M7" s="424">
        <v>1329402.01</v>
      </c>
      <c r="N7" s="424">
        <v>7.8259999999999996</v>
      </c>
      <c r="O7" s="424">
        <v>948192.14</v>
      </c>
      <c r="P7" s="424">
        <v>5.9169999999999998</v>
      </c>
      <c r="Q7" s="422">
        <v>-0.40200000000000002</v>
      </c>
      <c r="R7" s="556"/>
      <c r="S7" s="454">
        <f t="shared" ref="S7" si="0">M7-C7</f>
        <v>47931.969999999972</v>
      </c>
      <c r="T7" s="410">
        <f t="shared" ref="T7" si="1">O7-E7</f>
        <v>2954.9500000000698</v>
      </c>
      <c r="U7" s="345" t="str">
        <f t="shared" ref="U7:U29" si="2">IF(AND(ROUNDDOWN(S7,0)=0,ROUNDDOWN(T7,0)=0),"PASS","FAIL")</f>
        <v>FAIL</v>
      </c>
    </row>
    <row r="8" spans="1:21" s="45" customFormat="1">
      <c r="A8" s="62">
        <v>2</v>
      </c>
      <c r="B8" s="536" t="s">
        <v>600</v>
      </c>
      <c r="C8" s="535">
        <v>1212863.6399999999</v>
      </c>
      <c r="D8" s="535">
        <v>7.31</v>
      </c>
      <c r="E8" s="540">
        <v>1047648.55</v>
      </c>
      <c r="F8" s="540">
        <v>6.51</v>
      </c>
      <c r="G8" s="539">
        <v>0.15770000000000001</v>
      </c>
      <c r="H8" s="538">
        <v>2</v>
      </c>
      <c r="I8" s="541"/>
      <c r="K8" s="428">
        <v>2</v>
      </c>
      <c r="L8" s="558" t="s">
        <v>600</v>
      </c>
      <c r="M8" s="454">
        <v>1306808.8400000001</v>
      </c>
      <c r="N8" s="454">
        <v>7.6929999999999996</v>
      </c>
      <c r="O8" s="424">
        <v>1095628.3</v>
      </c>
      <c r="P8" s="424">
        <v>6.8369999999999997</v>
      </c>
      <c r="Q8" s="422">
        <v>-0.193</v>
      </c>
      <c r="R8" s="553"/>
      <c r="S8" s="454">
        <f>M8-C9</f>
        <v>51358.560000000056</v>
      </c>
      <c r="T8" s="410">
        <f>O8-E9</f>
        <v>-119436.32999999984</v>
      </c>
      <c r="U8" s="345" t="str">
        <f t="shared" si="2"/>
        <v>FAIL</v>
      </c>
    </row>
    <row r="9" spans="1:21" s="45" customFormat="1">
      <c r="A9" s="62">
        <v>3</v>
      </c>
      <c r="B9" s="531" t="s">
        <v>603</v>
      </c>
      <c r="C9" s="530">
        <v>1255450.28</v>
      </c>
      <c r="D9" s="530">
        <v>7.57</v>
      </c>
      <c r="E9" s="544">
        <v>1215064.6299999999</v>
      </c>
      <c r="F9" s="544">
        <v>7.55</v>
      </c>
      <c r="G9" s="543">
        <v>3.32E-2</v>
      </c>
      <c r="H9" s="542">
        <v>1</v>
      </c>
      <c r="I9" s="545"/>
      <c r="K9" s="428">
        <v>3</v>
      </c>
      <c r="L9" s="554" t="s">
        <v>603</v>
      </c>
      <c r="M9" s="454">
        <v>1212648.07</v>
      </c>
      <c r="N9" s="454">
        <v>7.1390000000000002</v>
      </c>
      <c r="O9" s="424">
        <v>1331881.6599999999</v>
      </c>
      <c r="P9" s="424">
        <v>8.3109999999999999</v>
      </c>
      <c r="Q9" s="422">
        <v>0.09</v>
      </c>
      <c r="R9" s="557"/>
      <c r="S9" s="454">
        <f>M9-C8</f>
        <v>-215.56999999983236</v>
      </c>
      <c r="T9" s="410">
        <f>O9-E8</f>
        <v>284233.10999999987</v>
      </c>
      <c r="U9" s="345" t="str">
        <f t="shared" si="2"/>
        <v>FAIL</v>
      </c>
    </row>
    <row r="10" spans="1:21" s="45" customFormat="1">
      <c r="A10" s="62">
        <v>4</v>
      </c>
      <c r="B10" s="536" t="s">
        <v>427</v>
      </c>
      <c r="C10" s="535">
        <v>935495.88</v>
      </c>
      <c r="D10" s="535">
        <v>5.64</v>
      </c>
      <c r="E10" s="540">
        <v>1036797.06</v>
      </c>
      <c r="F10" s="540">
        <v>6.44</v>
      </c>
      <c r="G10" s="539">
        <v>-9.7699999999999995E-2</v>
      </c>
      <c r="H10" s="538">
        <v>4</v>
      </c>
      <c r="I10" s="546"/>
      <c r="K10" s="428">
        <v>4</v>
      </c>
      <c r="L10" s="554" t="s">
        <v>427</v>
      </c>
      <c r="M10" s="454">
        <v>1020255.57</v>
      </c>
      <c r="N10" s="454">
        <v>6.0060000000000002</v>
      </c>
      <c r="O10" s="424">
        <v>1078471.57</v>
      </c>
      <c r="P10" s="424">
        <v>6.73</v>
      </c>
      <c r="Q10" s="422">
        <v>5.3999999999999999E-2</v>
      </c>
      <c r="R10" s="556"/>
      <c r="S10" s="454">
        <f>M10-C11</f>
        <v>12431.929999999935</v>
      </c>
      <c r="T10" s="410">
        <f>O10-E11</f>
        <v>37876.720000000088</v>
      </c>
      <c r="U10" s="345" t="str">
        <f t="shared" si="2"/>
        <v>FAIL</v>
      </c>
    </row>
    <row r="11" spans="1:21" s="45" customFormat="1">
      <c r="A11" s="62">
        <v>5</v>
      </c>
      <c r="B11" s="531" t="s">
        <v>576</v>
      </c>
      <c r="C11" s="530">
        <v>1007823.64</v>
      </c>
      <c r="D11" s="530">
        <v>6.07</v>
      </c>
      <c r="E11" s="544">
        <v>1040594.85</v>
      </c>
      <c r="F11" s="544">
        <v>6.46</v>
      </c>
      <c r="G11" s="543">
        <v>-3.15E-2</v>
      </c>
      <c r="H11" s="542">
        <v>3</v>
      </c>
      <c r="I11" s="537"/>
      <c r="K11" s="428">
        <v>5</v>
      </c>
      <c r="L11" s="379" t="s">
        <v>576</v>
      </c>
      <c r="M11" s="454">
        <v>966148.02</v>
      </c>
      <c r="N11" s="454">
        <v>5.6879999999999997</v>
      </c>
      <c r="O11" s="424">
        <v>964746.51</v>
      </c>
      <c r="P11" s="424">
        <v>6.02</v>
      </c>
      <c r="Q11" s="422">
        <v>-1E-3</v>
      </c>
      <c r="R11" s="557"/>
      <c r="S11" s="454">
        <f>M11-C10</f>
        <v>30652.140000000014</v>
      </c>
      <c r="T11" s="410">
        <f>O11-E10</f>
        <v>-72050.550000000047</v>
      </c>
      <c r="U11" s="345" t="str">
        <f t="shared" si="2"/>
        <v>FAIL</v>
      </c>
    </row>
    <row r="12" spans="1:21" s="45" customFormat="1">
      <c r="A12" s="62">
        <v>6</v>
      </c>
      <c r="B12" s="536" t="s">
        <v>601</v>
      </c>
      <c r="C12" s="535">
        <v>870641.94</v>
      </c>
      <c r="D12" s="535">
        <v>5.25</v>
      </c>
      <c r="E12" s="540">
        <v>906562.97</v>
      </c>
      <c r="F12" s="540">
        <v>5.63</v>
      </c>
      <c r="G12" s="539">
        <v>-3.9600000000000003E-2</v>
      </c>
      <c r="H12" s="538">
        <v>7</v>
      </c>
      <c r="I12" s="547"/>
      <c r="K12" s="428">
        <v>6</v>
      </c>
      <c r="L12" s="379" t="s">
        <v>601</v>
      </c>
      <c r="M12" s="454">
        <v>839780.98</v>
      </c>
      <c r="N12" s="454">
        <v>4.944</v>
      </c>
      <c r="O12" s="424">
        <v>1024542.68</v>
      </c>
      <c r="P12" s="424">
        <v>6.3929999999999998</v>
      </c>
      <c r="Q12" s="422">
        <v>0.18</v>
      </c>
      <c r="R12" s="556"/>
      <c r="S12" s="454">
        <f>M12-C12</f>
        <v>-30860.959999999963</v>
      </c>
      <c r="T12" s="410">
        <f>O12-E12</f>
        <v>117979.71000000008</v>
      </c>
      <c r="U12" s="345" t="str">
        <f t="shared" si="2"/>
        <v>FAIL</v>
      </c>
    </row>
    <row r="13" spans="1:21" s="45" customFormat="1">
      <c r="A13" s="62">
        <v>7</v>
      </c>
      <c r="B13" s="531" t="s">
        <v>578</v>
      </c>
      <c r="C13" s="530">
        <v>859329.18</v>
      </c>
      <c r="D13" s="530">
        <v>5.18</v>
      </c>
      <c r="E13" s="544">
        <v>691101.09</v>
      </c>
      <c r="F13" s="544">
        <v>4.29</v>
      </c>
      <c r="G13" s="543">
        <v>0.24340000000000001</v>
      </c>
      <c r="H13" s="542">
        <v>10</v>
      </c>
      <c r="I13" s="546"/>
      <c r="K13" s="428">
        <v>7</v>
      </c>
      <c r="L13" s="554" t="s">
        <v>578</v>
      </c>
      <c r="M13" s="454">
        <v>825061.69</v>
      </c>
      <c r="N13" s="454">
        <v>4.8570000000000002</v>
      </c>
      <c r="O13" s="424">
        <v>771880.12</v>
      </c>
      <c r="P13" s="424">
        <v>4.8170000000000002</v>
      </c>
      <c r="Q13" s="422">
        <v>-6.9000000000000006E-2</v>
      </c>
      <c r="R13" s="553"/>
      <c r="S13" s="454">
        <f>M13-C13</f>
        <v>-34267.490000000107</v>
      </c>
      <c r="T13" s="410">
        <f>O13-E13</f>
        <v>80779.030000000028</v>
      </c>
      <c r="U13" s="345" t="str">
        <f t="shared" si="2"/>
        <v>FAIL</v>
      </c>
    </row>
    <row r="14" spans="1:21" s="45" customFormat="1">
      <c r="A14" s="62">
        <v>8</v>
      </c>
      <c r="B14" s="536" t="s">
        <v>660</v>
      </c>
      <c r="C14" s="535">
        <v>807626.67</v>
      </c>
      <c r="D14" s="535">
        <v>4.87</v>
      </c>
      <c r="E14" s="540">
        <v>426360.75</v>
      </c>
      <c r="F14" s="540">
        <v>2.65</v>
      </c>
      <c r="G14" s="539">
        <v>0.89419999999999999</v>
      </c>
      <c r="H14" s="538">
        <v>25</v>
      </c>
      <c r="I14" s="545"/>
      <c r="K14" s="428">
        <v>8</v>
      </c>
      <c r="L14" s="554" t="s">
        <v>660</v>
      </c>
      <c r="M14" s="454">
        <v>814934.28</v>
      </c>
      <c r="N14" s="454">
        <v>4.798</v>
      </c>
      <c r="O14" s="424">
        <v>446921.53</v>
      </c>
      <c r="P14" s="424">
        <v>2.7890000000000001</v>
      </c>
      <c r="Q14" s="422">
        <v>-0.82299999999999995</v>
      </c>
      <c r="R14" s="556"/>
      <c r="S14" s="454">
        <f>M14-C14</f>
        <v>7307.609999999986</v>
      </c>
      <c r="T14" s="410">
        <f>O14-E14</f>
        <v>20560.780000000028</v>
      </c>
      <c r="U14" s="345" t="str">
        <f t="shared" si="2"/>
        <v>FAIL</v>
      </c>
    </row>
    <row r="15" spans="1:21" s="45" customFormat="1">
      <c r="A15" s="62">
        <v>9</v>
      </c>
      <c r="B15" s="531" t="s">
        <v>719</v>
      </c>
      <c r="C15" s="530">
        <v>757396.45</v>
      </c>
      <c r="D15" s="530">
        <v>4.5599999999999996</v>
      </c>
      <c r="E15" s="544">
        <v>18325.439999999999</v>
      </c>
      <c r="F15" s="544">
        <v>0.11</v>
      </c>
      <c r="G15" s="543">
        <v>40.330300000000001</v>
      </c>
      <c r="H15" s="542">
        <v>174</v>
      </c>
      <c r="I15" s="541"/>
      <c r="K15" s="428">
        <v>9</v>
      </c>
      <c r="L15" s="554" t="s">
        <v>734</v>
      </c>
      <c r="M15" s="454">
        <v>773713.8</v>
      </c>
      <c r="N15" s="454">
        <v>4.5549999999999997</v>
      </c>
      <c r="O15" s="424">
        <v>560497.46</v>
      </c>
      <c r="P15" s="424">
        <v>3.4980000000000002</v>
      </c>
      <c r="Q15" s="422">
        <v>-0.38</v>
      </c>
      <c r="R15" s="556"/>
      <c r="S15" s="454">
        <f>M15-C15</f>
        <v>16317.350000000093</v>
      </c>
      <c r="T15" s="410">
        <f>O15-E15</f>
        <v>542172.02</v>
      </c>
      <c r="U15" s="345" t="str">
        <f t="shared" si="2"/>
        <v>FAIL</v>
      </c>
    </row>
    <row r="16" spans="1:21" s="45" customFormat="1">
      <c r="A16" s="62">
        <v>10</v>
      </c>
      <c r="B16" s="531" t="s">
        <v>606</v>
      </c>
      <c r="C16" s="530">
        <v>739129.86</v>
      </c>
      <c r="D16" s="530">
        <v>4.45</v>
      </c>
      <c r="E16" s="529">
        <v>680879.72</v>
      </c>
      <c r="F16" s="529">
        <v>4.2300000000000004</v>
      </c>
      <c r="G16" s="528">
        <v>8.5599999999999996E-2</v>
      </c>
      <c r="H16" s="527">
        <v>11</v>
      </c>
      <c r="I16" s="541"/>
      <c r="K16" s="428">
        <v>10</v>
      </c>
      <c r="L16" s="554" t="s">
        <v>719</v>
      </c>
      <c r="M16" s="454">
        <v>766158.21</v>
      </c>
      <c r="N16" s="454">
        <v>4.51</v>
      </c>
      <c r="O16" s="424">
        <v>26712.93</v>
      </c>
      <c r="P16" s="424">
        <v>0.16700000000000001</v>
      </c>
      <c r="Q16" s="422">
        <v>-27.681000000000001</v>
      </c>
      <c r="R16" s="553"/>
      <c r="S16" s="454">
        <f>M16-C21</f>
        <v>17878.359999999986</v>
      </c>
      <c r="T16" s="410">
        <f>O16-E21</f>
        <v>-277349.40000000002</v>
      </c>
      <c r="U16" s="345" t="str">
        <f t="shared" si="2"/>
        <v>FAIL</v>
      </c>
    </row>
    <row r="17" spans="1:21" s="45" customFormat="1">
      <c r="A17" s="62">
        <v>13</v>
      </c>
      <c r="B17" s="531" t="s">
        <v>605</v>
      </c>
      <c r="C17" s="530">
        <v>677534.12</v>
      </c>
      <c r="D17" s="530">
        <v>4.08</v>
      </c>
      <c r="E17" s="529">
        <v>523549.89</v>
      </c>
      <c r="F17" s="529">
        <v>3.25</v>
      </c>
      <c r="G17" s="528">
        <v>0.29409999999999997</v>
      </c>
      <c r="H17" s="527">
        <v>17</v>
      </c>
      <c r="I17" s="541"/>
      <c r="K17" s="428">
        <v>11</v>
      </c>
      <c r="L17" s="554" t="s">
        <v>606</v>
      </c>
      <c r="M17" s="454">
        <v>732398.1</v>
      </c>
      <c r="N17" s="454">
        <v>4.3120000000000003</v>
      </c>
      <c r="O17" s="424">
        <v>705870.03</v>
      </c>
      <c r="P17" s="424">
        <v>4.4050000000000002</v>
      </c>
      <c r="Q17" s="422">
        <v>-3.7999999999999999E-2</v>
      </c>
      <c r="R17" s="553"/>
      <c r="S17" s="454">
        <f>M17-C16</f>
        <v>-6731.7600000000093</v>
      </c>
      <c r="T17" s="410">
        <f>O17-E16</f>
        <v>24990.310000000056</v>
      </c>
      <c r="U17" s="345" t="str">
        <f t="shared" si="2"/>
        <v>FAIL</v>
      </c>
    </row>
    <row r="18" spans="1:21" s="45" customFormat="1">
      <c r="A18" s="62">
        <v>12</v>
      </c>
      <c r="B18" s="536" t="s">
        <v>604</v>
      </c>
      <c r="C18" s="535">
        <v>684693.46</v>
      </c>
      <c r="D18" s="535">
        <v>4.13</v>
      </c>
      <c r="E18" s="534">
        <v>506735.75</v>
      </c>
      <c r="F18" s="534">
        <v>3.15</v>
      </c>
      <c r="G18" s="533">
        <v>0.35120000000000001</v>
      </c>
      <c r="H18" s="532">
        <v>18</v>
      </c>
      <c r="I18" s="545"/>
      <c r="K18" s="428">
        <v>12</v>
      </c>
      <c r="L18" s="554" t="s">
        <v>605</v>
      </c>
      <c r="M18" s="454">
        <v>712360.19</v>
      </c>
      <c r="N18" s="454">
        <v>4.194</v>
      </c>
      <c r="O18" s="424">
        <v>537492.68999999994</v>
      </c>
      <c r="P18" s="424">
        <v>3.3540000000000001</v>
      </c>
      <c r="Q18" s="422">
        <v>-0.32500000000000001</v>
      </c>
      <c r="R18" s="557"/>
      <c r="S18" s="454">
        <f>M18-C18</f>
        <v>27666.729999999981</v>
      </c>
      <c r="T18" s="410">
        <f>O18-E18</f>
        <v>30756.939999999944</v>
      </c>
      <c r="U18" s="345" t="str">
        <f t="shared" si="2"/>
        <v>FAIL</v>
      </c>
    </row>
    <row r="19" spans="1:21" s="45" customFormat="1">
      <c r="A19" s="322">
        <v>16</v>
      </c>
      <c r="B19" s="322" t="s">
        <v>720</v>
      </c>
      <c r="C19" s="205">
        <v>652444.74</v>
      </c>
      <c r="D19" s="205">
        <v>3.93</v>
      </c>
      <c r="E19" s="206">
        <v>138846.04999999999</v>
      </c>
      <c r="F19" s="206">
        <v>0.86</v>
      </c>
      <c r="G19" s="242">
        <v>3.6991000000000001</v>
      </c>
      <c r="H19" s="309">
        <v>83</v>
      </c>
      <c r="I19" s="532"/>
      <c r="K19" s="428">
        <v>13</v>
      </c>
      <c r="L19" s="554" t="s">
        <v>604</v>
      </c>
      <c r="M19" s="454">
        <v>691033.24</v>
      </c>
      <c r="N19" s="454">
        <v>4.0679999999999996</v>
      </c>
      <c r="O19" s="424">
        <v>523948.02</v>
      </c>
      <c r="P19" s="424">
        <v>3.2690000000000001</v>
      </c>
      <c r="Q19" s="422">
        <v>-0.31900000000000001</v>
      </c>
      <c r="R19" s="553"/>
      <c r="S19" s="454">
        <f>M19-C17</f>
        <v>13499.119999999995</v>
      </c>
      <c r="T19" s="410">
        <f>O19-E17</f>
        <v>398.13000000000466</v>
      </c>
      <c r="U19" s="345" t="str">
        <f t="shared" si="2"/>
        <v>FAIL</v>
      </c>
    </row>
    <row r="20" spans="1:21" s="45" customFormat="1">
      <c r="A20" s="62">
        <v>14</v>
      </c>
      <c r="B20" s="37" t="s">
        <v>607</v>
      </c>
      <c r="C20" s="205">
        <v>669439.78</v>
      </c>
      <c r="D20" s="205">
        <v>4.03</v>
      </c>
      <c r="E20" s="206">
        <v>721664.39</v>
      </c>
      <c r="F20" s="206">
        <v>4.4800000000000004</v>
      </c>
      <c r="G20" s="242">
        <v>-7.2400000000000006E-2</v>
      </c>
      <c r="H20" s="309">
        <v>9</v>
      </c>
      <c r="I20" s="537"/>
      <c r="K20" s="428">
        <v>14</v>
      </c>
      <c r="L20" s="554" t="s">
        <v>720</v>
      </c>
      <c r="M20" s="454">
        <v>668389.79</v>
      </c>
      <c r="N20" s="454">
        <v>3.9350000000000001</v>
      </c>
      <c r="O20" s="424">
        <v>122044.31</v>
      </c>
      <c r="P20" s="424">
        <v>0.76200000000000001</v>
      </c>
      <c r="Q20" s="422">
        <v>-4.4770000000000003</v>
      </c>
      <c r="R20" s="556"/>
      <c r="S20" s="454">
        <f>M20-C20</f>
        <v>-1049.9899999999907</v>
      </c>
      <c r="T20" s="410">
        <f>O20-E20</f>
        <v>-599620.08000000007</v>
      </c>
      <c r="U20" s="345" t="str">
        <f t="shared" si="2"/>
        <v>FAIL</v>
      </c>
    </row>
    <row r="21" spans="1:21" s="45" customFormat="1">
      <c r="A21" s="62">
        <v>11</v>
      </c>
      <c r="B21" s="536" t="s">
        <v>669</v>
      </c>
      <c r="C21" s="535">
        <v>748279.85</v>
      </c>
      <c r="D21" s="535">
        <v>4.51</v>
      </c>
      <c r="E21" s="540">
        <v>304062.33</v>
      </c>
      <c r="F21" s="540">
        <v>1.89</v>
      </c>
      <c r="G21" s="539">
        <v>1.4609000000000001</v>
      </c>
      <c r="H21" s="538">
        <v>38</v>
      </c>
      <c r="I21" s="537"/>
      <c r="K21" s="428">
        <v>15</v>
      </c>
      <c r="L21" s="554" t="s">
        <v>607</v>
      </c>
      <c r="M21" s="454">
        <v>657688.93000000005</v>
      </c>
      <c r="N21" s="454">
        <v>3.8719999999999999</v>
      </c>
      <c r="O21" s="424">
        <v>751380.72</v>
      </c>
      <c r="P21" s="424">
        <v>4.6890000000000001</v>
      </c>
      <c r="Q21" s="422">
        <v>0.125</v>
      </c>
      <c r="R21" s="556"/>
      <c r="S21" s="454">
        <f t="shared" ref="S21:S29" si="3">M21-C22</f>
        <v>-11013.739999999991</v>
      </c>
      <c r="T21" s="410">
        <f t="shared" ref="T21:T29" si="4">O21-E22</f>
        <v>169433.36</v>
      </c>
      <c r="U21" s="345" t="str">
        <f t="shared" si="2"/>
        <v>FAIL</v>
      </c>
    </row>
    <row r="22" spans="1:21" s="45" customFormat="1">
      <c r="A22" s="322">
        <v>15</v>
      </c>
      <c r="B22" s="322" t="s">
        <v>426</v>
      </c>
      <c r="C22" s="205">
        <v>668702.67000000004</v>
      </c>
      <c r="D22" s="205">
        <v>4.03</v>
      </c>
      <c r="E22" s="206">
        <v>581947.36</v>
      </c>
      <c r="F22" s="206">
        <v>3.62</v>
      </c>
      <c r="G22" s="242">
        <v>0.14910000000000001</v>
      </c>
      <c r="H22" s="309">
        <v>14</v>
      </c>
      <c r="I22" s="537"/>
      <c r="K22" s="428">
        <v>16</v>
      </c>
      <c r="L22" s="554" t="s">
        <v>669</v>
      </c>
      <c r="M22" s="454">
        <v>657594.92000000004</v>
      </c>
      <c r="N22" s="454">
        <v>3.871</v>
      </c>
      <c r="O22" s="424">
        <v>408988.59</v>
      </c>
      <c r="P22" s="424">
        <v>2.552</v>
      </c>
      <c r="Q22" s="422">
        <v>-0.60799999999999998</v>
      </c>
      <c r="R22" s="553"/>
      <c r="S22" s="454">
        <f t="shared" si="3"/>
        <v>5150.1800000000512</v>
      </c>
      <c r="T22" s="410">
        <f t="shared" si="4"/>
        <v>270142.54000000004</v>
      </c>
      <c r="U22" s="345" t="str">
        <f t="shared" si="2"/>
        <v>FAIL</v>
      </c>
    </row>
    <row r="23" spans="1:21" s="45" customFormat="1">
      <c r="A23" s="322">
        <v>16</v>
      </c>
      <c r="B23" s="322" t="s">
        <v>720</v>
      </c>
      <c r="C23" s="205">
        <v>652444.74</v>
      </c>
      <c r="D23" s="205">
        <v>3.93</v>
      </c>
      <c r="E23" s="206">
        <v>138846.04999999999</v>
      </c>
      <c r="F23" s="206">
        <v>0.86</v>
      </c>
      <c r="G23" s="242">
        <v>3.6991000000000001</v>
      </c>
      <c r="H23" s="309">
        <v>83</v>
      </c>
      <c r="I23" s="532"/>
      <c r="K23" s="428">
        <v>17</v>
      </c>
      <c r="L23" s="554" t="s">
        <v>748</v>
      </c>
      <c r="M23" s="454">
        <v>598495.61</v>
      </c>
      <c r="N23" s="454">
        <v>3.5230000000000001</v>
      </c>
      <c r="O23" s="424">
        <v>447056.86</v>
      </c>
      <c r="P23" s="424">
        <v>2.79</v>
      </c>
      <c r="Q23" s="422">
        <v>-0.33900000000000002</v>
      </c>
      <c r="R23" s="556"/>
      <c r="S23" s="454">
        <f t="shared" si="3"/>
        <v>21137.349999999977</v>
      </c>
      <c r="T23" s="410">
        <f t="shared" si="4"/>
        <v>-144422.25</v>
      </c>
      <c r="U23" s="345" t="str">
        <f t="shared" si="2"/>
        <v>FAIL</v>
      </c>
    </row>
    <row r="24" spans="1:21" s="45" customFormat="1">
      <c r="A24" s="322">
        <v>17</v>
      </c>
      <c r="B24" s="322" t="s">
        <v>688</v>
      </c>
      <c r="C24" s="205">
        <v>577358.26</v>
      </c>
      <c r="D24" s="205">
        <v>3.48</v>
      </c>
      <c r="E24" s="206">
        <v>591479.11</v>
      </c>
      <c r="F24" s="206">
        <v>3.67</v>
      </c>
      <c r="G24" s="242">
        <v>-2.3900000000000001E-2</v>
      </c>
      <c r="H24" s="309">
        <v>13</v>
      </c>
      <c r="I24" s="527"/>
      <c r="K24" s="428">
        <v>18</v>
      </c>
      <c r="L24" s="554" t="s">
        <v>688</v>
      </c>
      <c r="M24" s="454">
        <v>595790.77</v>
      </c>
      <c r="N24" s="454">
        <v>3.5070000000000001</v>
      </c>
      <c r="O24" s="424">
        <v>609457.23</v>
      </c>
      <c r="P24" s="424">
        <v>3.8029999999999999</v>
      </c>
      <c r="Q24" s="422">
        <v>2.1999999999999999E-2</v>
      </c>
      <c r="R24" s="556"/>
      <c r="S24" s="454">
        <f t="shared" si="3"/>
        <v>43590</v>
      </c>
      <c r="T24" s="410">
        <f t="shared" si="4"/>
        <v>470910.98</v>
      </c>
      <c r="U24" s="345" t="str">
        <f t="shared" si="2"/>
        <v>FAIL</v>
      </c>
    </row>
    <row r="25" spans="1:21" s="45" customFormat="1">
      <c r="A25" s="322">
        <v>18</v>
      </c>
      <c r="B25" s="322" t="s">
        <v>729</v>
      </c>
      <c r="C25" s="205">
        <v>552200.77</v>
      </c>
      <c r="D25" s="205">
        <v>3.33</v>
      </c>
      <c r="E25" s="206">
        <v>138546.25</v>
      </c>
      <c r="F25" s="206">
        <v>0.86</v>
      </c>
      <c r="G25" s="242">
        <v>2.9857</v>
      </c>
      <c r="H25" s="309">
        <v>84</v>
      </c>
      <c r="I25" s="251"/>
      <c r="K25" s="428">
        <v>19</v>
      </c>
      <c r="L25" s="554" t="s">
        <v>749</v>
      </c>
      <c r="M25" s="454">
        <v>595078.02</v>
      </c>
      <c r="N25" s="454">
        <v>3.5030000000000001</v>
      </c>
      <c r="O25" s="424">
        <v>522133.22</v>
      </c>
      <c r="P25" s="424">
        <v>3.258</v>
      </c>
      <c r="Q25" s="422">
        <v>-0.14000000000000001</v>
      </c>
      <c r="R25" s="556"/>
      <c r="S25" s="454">
        <f t="shared" si="3"/>
        <v>52884.140000000014</v>
      </c>
      <c r="T25" s="410">
        <f t="shared" si="4"/>
        <v>22882.339999999967</v>
      </c>
      <c r="U25" s="345" t="str">
        <f t="shared" si="2"/>
        <v>FAIL</v>
      </c>
    </row>
    <row r="26" spans="1:21" s="452" customFormat="1">
      <c r="A26" s="322">
        <v>19</v>
      </c>
      <c r="B26" s="531" t="s">
        <v>734</v>
      </c>
      <c r="C26" s="530">
        <v>542193.88</v>
      </c>
      <c r="D26" s="530">
        <v>3.27</v>
      </c>
      <c r="E26" s="544">
        <v>499250.88</v>
      </c>
      <c r="F26" s="544">
        <v>3.1</v>
      </c>
      <c r="G26" s="543">
        <v>8.5999999999999993E-2</v>
      </c>
      <c r="H26" s="542">
        <v>20</v>
      </c>
      <c r="I26" s="251"/>
      <c r="K26" s="428">
        <v>20</v>
      </c>
      <c r="L26" s="554" t="s">
        <v>729</v>
      </c>
      <c r="M26" s="454">
        <v>556342.24</v>
      </c>
      <c r="N26" s="454">
        <v>3.2749999999999999</v>
      </c>
      <c r="O26" s="424">
        <v>310462.90999999997</v>
      </c>
      <c r="P26" s="424">
        <v>1.9370000000000001</v>
      </c>
      <c r="Q26" s="422">
        <v>-0.79200000000000004</v>
      </c>
      <c r="R26" s="553">
        <v>6</v>
      </c>
      <c r="S26" s="454">
        <f t="shared" si="3"/>
        <v>21983.290000000037</v>
      </c>
      <c r="T26" s="410">
        <f t="shared" si="4"/>
        <v>-52963.97000000003</v>
      </c>
      <c r="U26" s="345" t="str">
        <f t="shared" si="2"/>
        <v>FAIL</v>
      </c>
    </row>
    <row r="27" spans="1:21" s="452" customFormat="1">
      <c r="A27" s="322">
        <v>20</v>
      </c>
      <c r="B27" s="531" t="s">
        <v>718</v>
      </c>
      <c r="C27" s="530">
        <v>534358.94999999995</v>
      </c>
      <c r="D27" s="530">
        <v>3.22</v>
      </c>
      <c r="E27" s="544">
        <v>363426.88</v>
      </c>
      <c r="F27" s="544">
        <v>2.2599999999999998</v>
      </c>
      <c r="G27" s="543">
        <v>0.4703</v>
      </c>
      <c r="H27" s="542">
        <v>29</v>
      </c>
      <c r="I27" s="251"/>
      <c r="J27" s="45"/>
      <c r="K27" s="464"/>
      <c r="L27" s="381" t="s">
        <v>338</v>
      </c>
      <c r="M27" s="466">
        <f>M28-SUM(M7:M26)</f>
        <v>22783473.620000001</v>
      </c>
      <c r="N27" s="424"/>
      <c r="O27" s="463">
        <f>O28-SUM(O7:O26)</f>
        <v>24798072.860000003</v>
      </c>
      <c r="P27" s="463"/>
      <c r="Q27" s="422">
        <f>IF(O27=0, "0",(M27-O27)/O27)</f>
        <v>-8.124015327213624E-2</v>
      </c>
      <c r="R27" s="253"/>
      <c r="S27" s="454">
        <f t="shared" si="3"/>
        <v>-3388013.8900000006</v>
      </c>
      <c r="T27" s="410">
        <f t="shared" si="4"/>
        <v>42332.970000002533</v>
      </c>
      <c r="U27" s="345" t="str">
        <f t="shared" si="2"/>
        <v>FAIL</v>
      </c>
    </row>
    <row r="28" spans="1:21" s="452" customFormat="1">
      <c r="A28" s="322"/>
      <c r="B28" s="205" t="s">
        <v>711</v>
      </c>
      <c r="C28" s="193">
        <v>26171487.510000002</v>
      </c>
      <c r="D28" s="193"/>
      <c r="E28" s="250">
        <v>24755739.890000001</v>
      </c>
      <c r="F28" s="250"/>
      <c r="G28" s="242">
        <v>5.7200000000000001E-2</v>
      </c>
      <c r="H28" s="309"/>
      <c r="I28" s="251"/>
      <c r="J28" s="45"/>
      <c r="K28" s="464"/>
      <c r="L28" s="381" t="s">
        <v>339</v>
      </c>
      <c r="M28" s="407">
        <f>[1]SP_Data!L21</f>
        <v>39103556.899999999</v>
      </c>
      <c r="N28" s="407"/>
      <c r="O28" s="407">
        <f>[1]SP_Data!M21</f>
        <v>37986382.340000004</v>
      </c>
      <c r="P28" s="463"/>
      <c r="Q28" s="462"/>
      <c r="R28" s="253"/>
      <c r="S28" s="454">
        <f t="shared" si="3"/>
        <v>-3102364.6700000018</v>
      </c>
      <c r="T28" s="410">
        <f t="shared" si="4"/>
        <v>852561.31000000238</v>
      </c>
      <c r="U28" s="345" t="str">
        <f t="shared" si="2"/>
        <v>FAIL</v>
      </c>
    </row>
    <row r="29" spans="1:21" s="45" customFormat="1">
      <c r="A29" s="322"/>
      <c r="B29" s="205" t="s">
        <v>35</v>
      </c>
      <c r="C29" s="193">
        <v>42205921.57</v>
      </c>
      <c r="D29" s="193"/>
      <c r="E29" s="250">
        <v>37133821.030000001</v>
      </c>
      <c r="F29" s="250"/>
      <c r="G29" s="322"/>
      <c r="H29" s="309"/>
      <c r="I29" s="251"/>
      <c r="K29" s="464"/>
      <c r="L29" s="381" t="s">
        <v>340</v>
      </c>
      <c r="M29" s="409">
        <f>[1]SP_Data!G31</f>
        <v>245.13</v>
      </c>
      <c r="N29" s="409"/>
      <c r="O29" s="421">
        <f>[1]SP_Data!H31</f>
        <v>232.45</v>
      </c>
      <c r="P29" s="463"/>
      <c r="Q29" s="462"/>
      <c r="R29" s="253"/>
      <c r="S29" s="454">
        <f t="shared" si="3"/>
        <v>-9.1899999999999977</v>
      </c>
      <c r="T29" s="410">
        <f t="shared" si="4"/>
        <v>1.7699999999999818</v>
      </c>
      <c r="U29" s="345" t="str">
        <f t="shared" si="2"/>
        <v>FAIL</v>
      </c>
    </row>
    <row r="30" spans="1:21">
      <c r="A30" s="322"/>
      <c r="B30" s="205" t="s">
        <v>434</v>
      </c>
      <c r="C30" s="193">
        <v>254.32</v>
      </c>
      <c r="D30" s="193"/>
      <c r="E30" s="250">
        <v>230.68</v>
      </c>
      <c r="F30" s="250"/>
      <c r="G30" s="322"/>
      <c r="H30" s="309"/>
      <c r="I30" s="251"/>
      <c r="J30" s="192"/>
      <c r="K30" s="2"/>
      <c r="L30" s="2"/>
      <c r="Q30" s="2"/>
    </row>
    <row r="31" spans="1:21" ht="15" customHeight="1">
      <c r="B31" s="672"/>
      <c r="C31" s="673"/>
      <c r="D31" s="673"/>
      <c r="E31" s="674"/>
      <c r="F31" s="674"/>
      <c r="G31" s="675"/>
      <c r="H31" s="676"/>
      <c r="I31" s="209"/>
      <c r="J31" s="691"/>
      <c r="K31" s="691"/>
      <c r="L31" s="691"/>
      <c r="M31" s="691"/>
      <c r="N31" s="691"/>
      <c r="O31" s="691"/>
      <c r="P31" s="691"/>
      <c r="Q31" s="691"/>
      <c r="R31" s="691"/>
      <c r="S31" s="691"/>
      <c r="T31" s="691"/>
      <c r="U31" s="692"/>
    </row>
    <row r="32" spans="1:21" customFormat="1" ht="15">
      <c r="A32" s="691"/>
      <c r="B32" s="691"/>
      <c r="C32" s="691"/>
      <c r="D32" s="691"/>
      <c r="E32" s="691"/>
      <c r="F32" s="691"/>
      <c r="G32" s="691"/>
      <c r="H32" s="691"/>
      <c r="I32" s="691"/>
    </row>
    <row r="33" spans="1:21" ht="15">
      <c r="A33"/>
      <c r="B33"/>
      <c r="C33"/>
      <c r="D33"/>
      <c r="E33"/>
      <c r="F33"/>
      <c r="G33"/>
      <c r="H33"/>
      <c r="I33"/>
      <c r="J33" s="213"/>
      <c r="K33" s="229" t="s">
        <v>32</v>
      </c>
      <c r="L33" s="696" t="s">
        <v>386</v>
      </c>
      <c r="M33" s="229" t="s">
        <v>23</v>
      </c>
      <c r="N33" s="229" t="s">
        <v>351</v>
      </c>
      <c r="O33" s="347" t="s">
        <v>22</v>
      </c>
      <c r="P33" s="347" t="s">
        <v>352</v>
      </c>
      <c r="Q33" s="229" t="s">
        <v>21</v>
      </c>
      <c r="R33" s="312" t="s">
        <v>337</v>
      </c>
      <c r="S33" s="208" t="s">
        <v>390</v>
      </c>
      <c r="T33" s="208" t="s">
        <v>391</v>
      </c>
      <c r="U33" s="696" t="s">
        <v>29</v>
      </c>
    </row>
    <row r="34" spans="1:21">
      <c r="A34" s="229" t="s">
        <v>32</v>
      </c>
      <c r="B34" s="696" t="s">
        <v>386</v>
      </c>
      <c r="C34" s="229" t="s">
        <v>23</v>
      </c>
      <c r="D34" s="229" t="s">
        <v>351</v>
      </c>
      <c r="E34" s="347" t="s">
        <v>22</v>
      </c>
      <c r="F34" s="347" t="s">
        <v>352</v>
      </c>
      <c r="G34" s="229" t="s">
        <v>21</v>
      </c>
      <c r="H34" s="312" t="s">
        <v>337</v>
      </c>
      <c r="I34" s="352"/>
      <c r="J34" s="213"/>
      <c r="K34" s="234">
        <v>1</v>
      </c>
      <c r="L34" s="317" t="s">
        <v>608</v>
      </c>
      <c r="M34" s="237">
        <v>9387026.5099999998</v>
      </c>
      <c r="N34" s="237">
        <v>55.262</v>
      </c>
      <c r="O34" s="237">
        <v>7783757.9000000004</v>
      </c>
      <c r="P34" s="237">
        <v>48.570999999999998</v>
      </c>
      <c r="Q34" s="319">
        <v>-0.20599999999999999</v>
      </c>
      <c r="R34" s="238"/>
      <c r="S34" s="236">
        <f t="shared" ref="S34:S56" si="5">C35-M34</f>
        <v>9.9999997764825821E-3</v>
      </c>
      <c r="T34" s="186">
        <f t="shared" ref="T34:T56" si="6">E35-O34</f>
        <v>0</v>
      </c>
      <c r="U34" s="345" t="str">
        <f t="shared" ref="U34:U56" si="7">IF(AND(ROUNDDOWN(S34,0)=0,ROUNDDOWN(T34,0)=0),"PASS","FAIL")</f>
        <v>PASS</v>
      </c>
    </row>
    <row r="35" spans="1:21">
      <c r="A35" s="115">
        <v>1</v>
      </c>
      <c r="B35" s="254" t="s">
        <v>608</v>
      </c>
      <c r="C35" s="255">
        <v>9387026.5199999996</v>
      </c>
      <c r="D35" s="255">
        <v>55.26</v>
      </c>
      <c r="E35" s="256">
        <v>7783757.9000000004</v>
      </c>
      <c r="F35" s="256">
        <v>48.57</v>
      </c>
      <c r="G35" s="40">
        <v>0.20599999999999999</v>
      </c>
      <c r="H35" s="259">
        <v>1</v>
      </c>
      <c r="I35" s="257"/>
      <c r="J35" s="213"/>
      <c r="K35" s="234">
        <v>2</v>
      </c>
      <c r="L35" s="317" t="s">
        <v>317</v>
      </c>
      <c r="M35" s="237">
        <v>5167495.74</v>
      </c>
      <c r="N35" s="237">
        <v>30.422000000000001</v>
      </c>
      <c r="O35" s="237">
        <v>4094459.76</v>
      </c>
      <c r="P35" s="237">
        <v>25.55</v>
      </c>
      <c r="Q35" s="319">
        <v>-0.26200000000000001</v>
      </c>
      <c r="R35" s="239"/>
      <c r="S35" s="236">
        <f t="shared" si="5"/>
        <v>-386135.83000000007</v>
      </c>
      <c r="T35" s="186">
        <f t="shared" si="6"/>
        <v>-36194.699999999721</v>
      </c>
      <c r="U35" s="345" t="str">
        <f t="shared" si="7"/>
        <v>FAIL</v>
      </c>
    </row>
    <row r="36" spans="1:21">
      <c r="A36" s="115">
        <v>2</v>
      </c>
      <c r="B36" s="254" t="s">
        <v>317</v>
      </c>
      <c r="C36" s="258">
        <v>4781359.91</v>
      </c>
      <c r="D36" s="258">
        <v>28.15</v>
      </c>
      <c r="E36" s="256">
        <v>4058265.06</v>
      </c>
      <c r="F36" s="256">
        <v>25.32</v>
      </c>
      <c r="G36" s="40">
        <v>0.1782</v>
      </c>
      <c r="H36" s="259">
        <v>3</v>
      </c>
      <c r="I36" s="257"/>
      <c r="J36" s="213"/>
      <c r="K36" s="234">
        <v>3</v>
      </c>
      <c r="L36" s="235" t="s">
        <v>609</v>
      </c>
      <c r="M36" s="236">
        <v>4490765.58</v>
      </c>
      <c r="N36" s="236">
        <v>26.437999999999999</v>
      </c>
      <c r="O36" s="236">
        <v>4405056.17</v>
      </c>
      <c r="P36" s="237">
        <v>27.488</v>
      </c>
      <c r="Q36" s="319">
        <v>-1.9E-2</v>
      </c>
      <c r="R36" s="241"/>
      <c r="S36" s="236">
        <f t="shared" si="5"/>
        <v>-6793.3300000000745</v>
      </c>
      <c r="T36" s="186">
        <f t="shared" si="6"/>
        <v>-37.75</v>
      </c>
      <c r="U36" s="345" t="str">
        <f t="shared" si="7"/>
        <v>FAIL</v>
      </c>
    </row>
    <row r="37" spans="1:21">
      <c r="A37" s="115">
        <v>3</v>
      </c>
      <c r="B37" s="254" t="s">
        <v>609</v>
      </c>
      <c r="C37" s="258">
        <v>4483972.25</v>
      </c>
      <c r="D37" s="258">
        <v>26.4</v>
      </c>
      <c r="E37" s="256">
        <v>4405018.42</v>
      </c>
      <c r="F37" s="256">
        <v>27.49</v>
      </c>
      <c r="G37" s="40">
        <v>1.7899999999999999E-2</v>
      </c>
      <c r="H37" s="259">
        <v>2</v>
      </c>
      <c r="I37" s="257"/>
      <c r="J37" s="213"/>
      <c r="K37" s="234">
        <v>4</v>
      </c>
      <c r="L37" s="187" t="s">
        <v>610</v>
      </c>
      <c r="M37" s="236">
        <v>3328229.03</v>
      </c>
      <c r="N37" s="236">
        <v>19.594000000000001</v>
      </c>
      <c r="O37" s="236">
        <v>2974995.88</v>
      </c>
      <c r="P37" s="237">
        <v>18.564</v>
      </c>
      <c r="Q37" s="319">
        <v>-0.11899999999999999</v>
      </c>
      <c r="R37" s="238"/>
      <c r="S37" s="236">
        <f t="shared" si="5"/>
        <v>0</v>
      </c>
      <c r="T37" s="186">
        <f t="shared" si="6"/>
        <v>-96</v>
      </c>
      <c r="U37" s="345" t="str">
        <f t="shared" si="7"/>
        <v>FAIL</v>
      </c>
    </row>
    <row r="38" spans="1:21">
      <c r="A38" s="115">
        <v>4</v>
      </c>
      <c r="B38" s="254" t="s">
        <v>610</v>
      </c>
      <c r="C38" s="258">
        <v>3328229.03</v>
      </c>
      <c r="D38" s="258">
        <v>19.59</v>
      </c>
      <c r="E38" s="256">
        <v>2974899.88</v>
      </c>
      <c r="F38" s="256">
        <v>18.559999999999999</v>
      </c>
      <c r="G38" s="40">
        <v>0.1188</v>
      </c>
      <c r="H38" s="259">
        <v>4</v>
      </c>
      <c r="I38" s="257"/>
      <c r="J38" s="213"/>
      <c r="K38" s="234">
        <v>5</v>
      </c>
      <c r="L38" s="240" t="s">
        <v>622</v>
      </c>
      <c r="M38" s="236">
        <v>1926931.82</v>
      </c>
      <c r="N38" s="236">
        <v>11.343999999999999</v>
      </c>
      <c r="O38" s="236">
        <v>492421.75</v>
      </c>
      <c r="P38" s="237">
        <v>3.073</v>
      </c>
      <c r="Q38" s="319">
        <v>-2.9129999999999998</v>
      </c>
      <c r="R38" s="241"/>
      <c r="S38" s="236">
        <f t="shared" si="5"/>
        <v>0</v>
      </c>
      <c r="T38" s="186">
        <f t="shared" si="6"/>
        <v>0</v>
      </c>
      <c r="U38" s="345" t="str">
        <f t="shared" si="7"/>
        <v>PASS</v>
      </c>
    </row>
    <row r="39" spans="1:21">
      <c r="A39" s="115">
        <v>5</v>
      </c>
      <c r="B39" s="254" t="s">
        <v>622</v>
      </c>
      <c r="C39" s="258">
        <v>1926931.82</v>
      </c>
      <c r="D39" s="258">
        <v>11.34</v>
      </c>
      <c r="E39" s="256">
        <v>492421.75</v>
      </c>
      <c r="F39" s="256">
        <v>3.07</v>
      </c>
      <c r="G39" s="40">
        <v>2.9131999999999998</v>
      </c>
      <c r="H39" s="259">
        <v>19</v>
      </c>
      <c r="I39" s="257"/>
      <c r="J39" s="213"/>
      <c r="K39" s="234">
        <v>6</v>
      </c>
      <c r="L39" s="187" t="s">
        <v>611</v>
      </c>
      <c r="M39" s="236">
        <v>1655054.54</v>
      </c>
      <c r="N39" s="236">
        <v>9.7430000000000003</v>
      </c>
      <c r="O39" s="236">
        <v>1604527.91</v>
      </c>
      <c r="P39" s="237">
        <v>10.012</v>
      </c>
      <c r="Q39" s="319">
        <v>-3.1E-2</v>
      </c>
      <c r="R39" s="238"/>
      <c r="S39" s="236">
        <f t="shared" si="5"/>
        <v>-5461.6000000000931</v>
      </c>
      <c r="T39" s="186">
        <f t="shared" si="6"/>
        <v>-398.08999999985099</v>
      </c>
      <c r="U39" s="345" t="str">
        <f t="shared" si="7"/>
        <v>FAIL</v>
      </c>
    </row>
    <row r="40" spans="1:21" s="215" customFormat="1">
      <c r="A40" s="115">
        <v>6</v>
      </c>
      <c r="B40" s="254" t="s">
        <v>611</v>
      </c>
      <c r="C40" s="258">
        <v>1649592.94</v>
      </c>
      <c r="D40" s="258">
        <v>9.7100000000000009</v>
      </c>
      <c r="E40" s="256">
        <v>1604129.82</v>
      </c>
      <c r="F40" s="256">
        <v>10.01</v>
      </c>
      <c r="G40" s="40">
        <v>2.8299999999999999E-2</v>
      </c>
      <c r="H40" s="259">
        <v>6</v>
      </c>
      <c r="I40" s="257"/>
      <c r="J40" s="213"/>
      <c r="K40" s="234">
        <v>7</v>
      </c>
      <c r="L40" s="187" t="s">
        <v>614</v>
      </c>
      <c r="M40" s="236">
        <v>1513505.33</v>
      </c>
      <c r="N40" s="236">
        <v>8.91</v>
      </c>
      <c r="O40" s="236">
        <v>1837675.87</v>
      </c>
      <c r="P40" s="237">
        <v>11.467000000000001</v>
      </c>
      <c r="Q40" s="319">
        <v>0.17599999999999999</v>
      </c>
      <c r="R40" s="239"/>
      <c r="S40" s="236">
        <f t="shared" si="5"/>
        <v>0</v>
      </c>
      <c r="T40" s="186">
        <f t="shared" si="6"/>
        <v>0</v>
      </c>
      <c r="U40" s="345" t="str">
        <f t="shared" si="7"/>
        <v>PASS</v>
      </c>
    </row>
    <row r="41" spans="1:21">
      <c r="A41" s="113">
        <v>7</v>
      </c>
      <c r="B41" s="254" t="s">
        <v>614</v>
      </c>
      <c r="C41" s="258">
        <v>1513505.33</v>
      </c>
      <c r="D41" s="258">
        <v>8.91</v>
      </c>
      <c r="E41" s="256">
        <v>1837675.87</v>
      </c>
      <c r="F41" s="256">
        <v>11.47</v>
      </c>
      <c r="G41" s="40">
        <v>-0.1764</v>
      </c>
      <c r="H41" s="259">
        <v>5</v>
      </c>
      <c r="I41" s="257"/>
      <c r="J41" s="213"/>
      <c r="K41" s="234">
        <v>8</v>
      </c>
      <c r="L41" s="187" t="s">
        <v>618</v>
      </c>
      <c r="M41" s="236">
        <v>1381300.57</v>
      </c>
      <c r="N41" s="236">
        <v>8.1319999999999997</v>
      </c>
      <c r="O41" s="236">
        <v>853917.33</v>
      </c>
      <c r="P41" s="237">
        <v>5.3280000000000003</v>
      </c>
      <c r="Q41" s="319">
        <v>-0.61799999999999999</v>
      </c>
      <c r="R41" s="238"/>
      <c r="S41" s="236">
        <f t="shared" si="5"/>
        <v>-7935.7900000000373</v>
      </c>
      <c r="T41" s="186">
        <f t="shared" si="6"/>
        <v>-741.39000000001397</v>
      </c>
      <c r="U41" s="345" t="str">
        <f t="shared" si="7"/>
        <v>FAIL</v>
      </c>
    </row>
    <row r="42" spans="1:21">
      <c r="A42" s="115">
        <v>8</v>
      </c>
      <c r="B42" s="254" t="s">
        <v>618</v>
      </c>
      <c r="C42" s="258">
        <v>1373364.78</v>
      </c>
      <c r="D42" s="258">
        <v>8.09</v>
      </c>
      <c r="E42" s="256">
        <v>853175.94</v>
      </c>
      <c r="F42" s="256">
        <v>5.32</v>
      </c>
      <c r="G42" s="40">
        <v>0.60970000000000002</v>
      </c>
      <c r="H42" s="259">
        <v>10</v>
      </c>
      <c r="I42" s="257"/>
      <c r="J42" s="213"/>
      <c r="K42" s="234">
        <v>9</v>
      </c>
      <c r="L42" s="187" t="s">
        <v>619</v>
      </c>
      <c r="M42" s="236">
        <v>1326087.53</v>
      </c>
      <c r="N42" s="236">
        <v>7.8070000000000004</v>
      </c>
      <c r="O42" s="236">
        <v>843625.41</v>
      </c>
      <c r="P42" s="237">
        <v>5.2640000000000002</v>
      </c>
      <c r="Q42" s="319">
        <v>-0.57199999999999995</v>
      </c>
      <c r="R42" s="238"/>
      <c r="S42" s="236">
        <f t="shared" si="5"/>
        <v>0</v>
      </c>
      <c r="T42" s="186">
        <f t="shared" si="6"/>
        <v>0</v>
      </c>
      <c r="U42" s="345" t="str">
        <f t="shared" si="7"/>
        <v>PASS</v>
      </c>
    </row>
    <row r="43" spans="1:21">
      <c r="A43" s="115">
        <v>9</v>
      </c>
      <c r="B43" s="254" t="s">
        <v>619</v>
      </c>
      <c r="C43" s="258">
        <v>1326087.53</v>
      </c>
      <c r="D43" s="258">
        <v>7.81</v>
      </c>
      <c r="E43" s="256">
        <v>843625.41</v>
      </c>
      <c r="F43" s="256">
        <v>5.26</v>
      </c>
      <c r="G43" s="40">
        <v>0.57189999999999996</v>
      </c>
      <c r="H43" s="259">
        <v>11</v>
      </c>
      <c r="I43" s="257"/>
      <c r="J43" s="213"/>
      <c r="K43" s="234">
        <v>10</v>
      </c>
      <c r="L43" s="187" t="s">
        <v>617</v>
      </c>
      <c r="M43" s="236">
        <v>1289633.46</v>
      </c>
      <c r="N43" s="236">
        <v>7.5919999999999996</v>
      </c>
      <c r="O43" s="236">
        <v>1240553.06</v>
      </c>
      <c r="P43" s="237">
        <v>7.7409999999999997</v>
      </c>
      <c r="Q43" s="319">
        <v>-0.04</v>
      </c>
      <c r="R43" s="239"/>
      <c r="S43" s="236">
        <f t="shared" si="5"/>
        <v>0</v>
      </c>
      <c r="T43" s="186">
        <f t="shared" si="6"/>
        <v>0</v>
      </c>
      <c r="U43" s="345" t="str">
        <f t="shared" si="7"/>
        <v>PASS</v>
      </c>
    </row>
    <row r="44" spans="1:21" s="215" customFormat="1">
      <c r="A44" s="115">
        <v>10</v>
      </c>
      <c r="B44" s="254" t="s">
        <v>617</v>
      </c>
      <c r="C44" s="258">
        <v>1289633.46</v>
      </c>
      <c r="D44" s="258">
        <v>7.59</v>
      </c>
      <c r="E44" s="256">
        <v>1240553.06</v>
      </c>
      <c r="F44" s="256">
        <v>7.74</v>
      </c>
      <c r="G44" s="40">
        <v>3.9600000000000003E-2</v>
      </c>
      <c r="H44" s="259">
        <v>7</v>
      </c>
      <c r="I44" s="257"/>
      <c r="J44" s="213"/>
      <c r="K44" s="234">
        <v>11</v>
      </c>
      <c r="L44" s="187" t="s">
        <v>360</v>
      </c>
      <c r="M44" s="236">
        <v>1149016.56</v>
      </c>
      <c r="N44" s="236">
        <v>6.7640000000000002</v>
      </c>
      <c r="O44" s="236">
        <v>829453.92</v>
      </c>
      <c r="P44" s="237">
        <v>5.1760000000000002</v>
      </c>
      <c r="Q44" s="319">
        <v>-0.38500000000000001</v>
      </c>
      <c r="R44" s="239"/>
      <c r="S44" s="236">
        <f t="shared" si="5"/>
        <v>0</v>
      </c>
      <c r="T44" s="186">
        <f t="shared" si="6"/>
        <v>0</v>
      </c>
      <c r="U44" s="345" t="str">
        <f t="shared" si="7"/>
        <v>PASS</v>
      </c>
    </row>
    <row r="45" spans="1:21">
      <c r="A45" s="113">
        <v>11</v>
      </c>
      <c r="B45" s="254" t="s">
        <v>360</v>
      </c>
      <c r="C45" s="258">
        <v>1149016.56</v>
      </c>
      <c r="D45" s="258">
        <v>6.76</v>
      </c>
      <c r="E45" s="256">
        <v>829453.92</v>
      </c>
      <c r="F45" s="256">
        <v>5.18</v>
      </c>
      <c r="G45" s="40">
        <v>0.38529999999999998</v>
      </c>
      <c r="H45" s="259">
        <v>12</v>
      </c>
      <c r="I45" s="257"/>
      <c r="J45" s="213"/>
      <c r="K45" s="234">
        <v>12</v>
      </c>
      <c r="L45" s="187" t="s">
        <v>612</v>
      </c>
      <c r="M45" s="236">
        <v>1102285.06</v>
      </c>
      <c r="N45" s="236">
        <v>6.4889999999999999</v>
      </c>
      <c r="O45" s="236">
        <v>1191045.02</v>
      </c>
      <c r="P45" s="237">
        <v>7.4320000000000004</v>
      </c>
      <c r="Q45" s="319">
        <v>7.4999999999999997E-2</v>
      </c>
      <c r="R45" s="241"/>
      <c r="S45" s="236">
        <f t="shared" si="5"/>
        <v>0</v>
      </c>
      <c r="T45" s="186">
        <f t="shared" si="6"/>
        <v>0</v>
      </c>
      <c r="U45" s="345" t="str">
        <f t="shared" si="7"/>
        <v>PASS</v>
      </c>
    </row>
    <row r="46" spans="1:21">
      <c r="A46" s="115">
        <v>12</v>
      </c>
      <c r="B46" s="254" t="s">
        <v>612</v>
      </c>
      <c r="C46" s="258">
        <v>1102285.06</v>
      </c>
      <c r="D46" s="258">
        <v>6.49</v>
      </c>
      <c r="E46" s="256">
        <v>1191045.02</v>
      </c>
      <c r="F46" s="256">
        <v>7.43</v>
      </c>
      <c r="G46" s="40">
        <v>-7.4499999999999997E-2</v>
      </c>
      <c r="H46" s="259">
        <v>8</v>
      </c>
      <c r="I46" s="257"/>
      <c r="J46" s="213"/>
      <c r="K46" s="234">
        <v>13</v>
      </c>
      <c r="L46" s="187" t="s">
        <v>615</v>
      </c>
      <c r="M46" s="236">
        <v>947498.44</v>
      </c>
      <c r="N46" s="236">
        <v>5.5780000000000003</v>
      </c>
      <c r="O46" s="236">
        <v>1007925.09</v>
      </c>
      <c r="P46" s="237">
        <v>6.29</v>
      </c>
      <c r="Q46" s="319">
        <v>0.06</v>
      </c>
      <c r="R46" s="239"/>
      <c r="S46" s="236">
        <f t="shared" si="5"/>
        <v>0</v>
      </c>
      <c r="T46" s="186">
        <f t="shared" si="6"/>
        <v>0</v>
      </c>
      <c r="U46" s="345" t="str">
        <f t="shared" si="7"/>
        <v>PASS</v>
      </c>
    </row>
    <row r="47" spans="1:21">
      <c r="A47" s="115">
        <v>13</v>
      </c>
      <c r="B47" s="254" t="s">
        <v>615</v>
      </c>
      <c r="C47" s="258">
        <v>947498.44</v>
      </c>
      <c r="D47" s="258">
        <v>5.58</v>
      </c>
      <c r="E47" s="256">
        <v>1007925.09</v>
      </c>
      <c r="F47" s="256">
        <v>6.29</v>
      </c>
      <c r="G47" s="40">
        <v>-0.06</v>
      </c>
      <c r="H47" s="259">
        <v>9</v>
      </c>
      <c r="I47" s="257"/>
      <c r="J47" s="213"/>
      <c r="K47" s="234">
        <v>14</v>
      </c>
      <c r="L47" s="187" t="s">
        <v>616</v>
      </c>
      <c r="M47" s="236">
        <v>918919.26</v>
      </c>
      <c r="N47" s="236">
        <v>5.41</v>
      </c>
      <c r="O47" s="236">
        <v>758395.63</v>
      </c>
      <c r="P47" s="237">
        <v>4.7320000000000002</v>
      </c>
      <c r="Q47" s="319">
        <v>-0.21199999999999999</v>
      </c>
      <c r="R47" s="238"/>
      <c r="S47" s="236">
        <f t="shared" si="5"/>
        <v>0</v>
      </c>
      <c r="T47" s="186">
        <f t="shared" si="6"/>
        <v>0</v>
      </c>
      <c r="U47" s="345" t="str">
        <f t="shared" si="7"/>
        <v>PASS</v>
      </c>
    </row>
    <row r="48" spans="1:21" s="18" customFormat="1">
      <c r="A48" s="115">
        <v>14</v>
      </c>
      <c r="B48" s="254" t="s">
        <v>616</v>
      </c>
      <c r="C48" s="258">
        <v>918919.26</v>
      </c>
      <c r="D48" s="258">
        <v>5.41</v>
      </c>
      <c r="E48" s="256">
        <v>758395.63</v>
      </c>
      <c r="F48" s="256">
        <v>4.7300000000000004</v>
      </c>
      <c r="G48" s="40">
        <v>0.2117</v>
      </c>
      <c r="H48" s="259">
        <v>14</v>
      </c>
      <c r="I48" s="257"/>
      <c r="J48" s="213"/>
      <c r="K48" s="234">
        <v>15</v>
      </c>
      <c r="L48" s="187" t="s">
        <v>620</v>
      </c>
      <c r="M48" s="236">
        <v>800239.39</v>
      </c>
      <c r="N48" s="236">
        <v>4.7110000000000003</v>
      </c>
      <c r="O48" s="236">
        <v>629886.92000000004</v>
      </c>
      <c r="P48" s="237">
        <v>3.931</v>
      </c>
      <c r="Q48" s="319">
        <v>-0.27</v>
      </c>
      <c r="R48" s="238"/>
      <c r="S48" s="236">
        <f t="shared" si="5"/>
        <v>-10932.829999999958</v>
      </c>
      <c r="T48" s="186">
        <f t="shared" si="6"/>
        <v>-218.06000000005588</v>
      </c>
      <c r="U48" s="345" t="str">
        <f t="shared" si="7"/>
        <v>FAIL</v>
      </c>
    </row>
    <row r="49" spans="1:21" s="216" customFormat="1">
      <c r="A49" s="113">
        <v>15</v>
      </c>
      <c r="B49" s="195" t="s">
        <v>620</v>
      </c>
      <c r="C49" s="258">
        <v>789306.56</v>
      </c>
      <c r="D49" s="258">
        <v>4.6500000000000004</v>
      </c>
      <c r="E49" s="256">
        <v>629668.86</v>
      </c>
      <c r="F49" s="256">
        <v>3.93</v>
      </c>
      <c r="G49" s="40">
        <v>0.2535</v>
      </c>
      <c r="H49" s="259">
        <v>16</v>
      </c>
      <c r="I49" s="257"/>
      <c r="J49" s="213"/>
      <c r="K49" s="234">
        <v>16</v>
      </c>
      <c r="L49" s="187" t="s">
        <v>714</v>
      </c>
      <c r="M49" s="236">
        <v>702532.79</v>
      </c>
      <c r="N49" s="236">
        <v>4.1360000000000001</v>
      </c>
      <c r="O49" s="236">
        <v>334878.44</v>
      </c>
      <c r="P49" s="237">
        <v>2.09</v>
      </c>
      <c r="Q49" s="319">
        <v>-1.0980000000000001</v>
      </c>
      <c r="R49" s="239"/>
      <c r="S49" s="236">
        <f t="shared" si="5"/>
        <v>0</v>
      </c>
      <c r="T49" s="186">
        <f t="shared" si="6"/>
        <v>0</v>
      </c>
      <c r="U49" s="345" t="str">
        <f t="shared" si="7"/>
        <v>PASS</v>
      </c>
    </row>
    <row r="50" spans="1:21" s="216" customFormat="1">
      <c r="A50" s="115">
        <v>16</v>
      </c>
      <c r="B50" s="195" t="s">
        <v>714</v>
      </c>
      <c r="C50" s="258">
        <v>702532.79</v>
      </c>
      <c r="D50" s="258">
        <v>4.1399999999999997</v>
      </c>
      <c r="E50" s="256">
        <v>334878.44</v>
      </c>
      <c r="F50" s="256">
        <v>2.09</v>
      </c>
      <c r="G50" s="40">
        <v>1.0979000000000001</v>
      </c>
      <c r="H50" s="259">
        <v>24</v>
      </c>
      <c r="I50" s="257"/>
      <c r="J50" s="213"/>
      <c r="K50" s="234">
        <v>17</v>
      </c>
      <c r="L50" s="187" t="s">
        <v>613</v>
      </c>
      <c r="M50" s="236">
        <v>667900.42000000004</v>
      </c>
      <c r="N50" s="236">
        <v>3.9319999999999999</v>
      </c>
      <c r="O50" s="236">
        <v>676796.93</v>
      </c>
      <c r="P50" s="237">
        <v>4.2229999999999999</v>
      </c>
      <c r="Q50" s="319">
        <v>1.2999999999999999E-2</v>
      </c>
      <c r="R50" s="238"/>
      <c r="S50" s="236">
        <f t="shared" si="5"/>
        <v>0</v>
      </c>
      <c r="T50" s="186">
        <f t="shared" si="6"/>
        <v>0</v>
      </c>
      <c r="U50" s="345" t="str">
        <f t="shared" si="7"/>
        <v>PASS</v>
      </c>
    </row>
    <row r="51" spans="1:21" s="217" customFormat="1">
      <c r="A51" s="115">
        <v>17</v>
      </c>
      <c r="B51" s="195" t="s">
        <v>613</v>
      </c>
      <c r="C51" s="258">
        <v>667900.42000000004</v>
      </c>
      <c r="D51" s="258">
        <v>3.93</v>
      </c>
      <c r="E51" s="256">
        <v>676796.93</v>
      </c>
      <c r="F51" s="256">
        <v>4.22</v>
      </c>
      <c r="G51" s="40">
        <v>-1.3100000000000001E-2</v>
      </c>
      <c r="H51" s="259">
        <v>15</v>
      </c>
      <c r="I51" s="257"/>
      <c r="J51" s="213"/>
      <c r="K51" s="234">
        <v>18</v>
      </c>
      <c r="L51" s="187" t="s">
        <v>621</v>
      </c>
      <c r="M51" s="236">
        <v>665458.22</v>
      </c>
      <c r="N51" s="236">
        <v>3.9180000000000001</v>
      </c>
      <c r="O51" s="236">
        <v>565245.79</v>
      </c>
      <c r="P51" s="237">
        <v>3.5270000000000001</v>
      </c>
      <c r="Q51" s="319">
        <v>-0.17699999999999999</v>
      </c>
      <c r="R51" s="238"/>
      <c r="S51" s="236">
        <f t="shared" si="5"/>
        <v>0</v>
      </c>
      <c r="T51" s="186">
        <f t="shared" si="6"/>
        <v>0</v>
      </c>
      <c r="U51" s="345" t="str">
        <f t="shared" si="7"/>
        <v>PASS</v>
      </c>
    </row>
    <row r="52" spans="1:21" s="217" customFormat="1">
      <c r="A52" s="115">
        <v>18</v>
      </c>
      <c r="B52" s="195" t="s">
        <v>621</v>
      </c>
      <c r="C52" s="258">
        <v>665458.22</v>
      </c>
      <c r="D52" s="258">
        <v>3.92</v>
      </c>
      <c r="E52" s="256">
        <v>565245.79</v>
      </c>
      <c r="F52" s="256">
        <v>3.53</v>
      </c>
      <c r="G52" s="40">
        <v>0.17730000000000001</v>
      </c>
      <c r="H52" s="259">
        <v>17</v>
      </c>
      <c r="I52" s="259"/>
      <c r="J52" s="213"/>
      <c r="K52" s="234">
        <v>19</v>
      </c>
      <c r="L52" s="187" t="s">
        <v>730</v>
      </c>
      <c r="M52" s="236">
        <v>513399.02</v>
      </c>
      <c r="N52" s="236">
        <v>3.0219999999999998</v>
      </c>
      <c r="O52" s="236">
        <v>483473.04</v>
      </c>
      <c r="P52" s="237">
        <v>3.0169999999999999</v>
      </c>
      <c r="Q52" s="319">
        <v>-6.2E-2</v>
      </c>
      <c r="R52" s="238"/>
      <c r="S52" s="236">
        <f t="shared" si="5"/>
        <v>0</v>
      </c>
      <c r="T52" s="186">
        <f t="shared" si="6"/>
        <v>0</v>
      </c>
      <c r="U52" s="345" t="str">
        <f t="shared" si="7"/>
        <v>PASS</v>
      </c>
    </row>
    <row r="53" spans="1:21" s="217" customFormat="1">
      <c r="A53" s="115">
        <v>19</v>
      </c>
      <c r="B53" s="195" t="s">
        <v>730</v>
      </c>
      <c r="C53" s="258">
        <v>513399.02</v>
      </c>
      <c r="D53" s="258">
        <v>3.02</v>
      </c>
      <c r="E53" s="256">
        <v>483473.04</v>
      </c>
      <c r="F53" s="256">
        <v>3.02</v>
      </c>
      <c r="G53" s="40">
        <v>6.1899999999999997E-2</v>
      </c>
      <c r="H53" s="259">
        <v>20</v>
      </c>
      <c r="I53" s="259"/>
      <c r="J53" s="213"/>
      <c r="K53" s="234">
        <v>20</v>
      </c>
      <c r="L53" s="187" t="s">
        <v>721</v>
      </c>
      <c r="M53" s="236">
        <v>484719.95</v>
      </c>
      <c r="N53" s="236">
        <v>2.8540000000000001</v>
      </c>
      <c r="O53" s="236">
        <v>399724.73</v>
      </c>
      <c r="P53" s="237">
        <v>2.4940000000000002</v>
      </c>
      <c r="Q53" s="319">
        <v>-0.21299999999999999</v>
      </c>
      <c r="R53" s="239"/>
      <c r="S53" s="236">
        <f t="shared" si="5"/>
        <v>0</v>
      </c>
      <c r="T53" s="186">
        <f t="shared" si="6"/>
        <v>0</v>
      </c>
      <c r="U53" s="345" t="str">
        <f t="shared" si="7"/>
        <v>PASS</v>
      </c>
    </row>
    <row r="54" spans="1:21" s="1" customFormat="1">
      <c r="A54" s="115">
        <v>20</v>
      </c>
      <c r="B54" s="195" t="s">
        <v>721</v>
      </c>
      <c r="C54" s="258">
        <v>484719.95</v>
      </c>
      <c r="D54" s="258">
        <v>2.85</v>
      </c>
      <c r="E54" s="256">
        <v>399724.73</v>
      </c>
      <c r="F54" s="256">
        <v>2.4900000000000002</v>
      </c>
      <c r="G54" s="40">
        <v>0.21260000000000001</v>
      </c>
      <c r="H54" s="259">
        <v>23</v>
      </c>
      <c r="I54" s="197"/>
      <c r="J54" s="213"/>
      <c r="K54" s="244"/>
      <c r="L54" s="245" t="s">
        <v>338</v>
      </c>
      <c r="M54" s="246">
        <f>M55-SUM(M34:M53)</f>
        <v>13807145.880000003</v>
      </c>
      <c r="N54" s="237"/>
      <c r="O54" s="247">
        <f>O55-SUM(O34:O53)</f>
        <v>15768587.370000001</v>
      </c>
      <c r="P54" s="247"/>
      <c r="Q54" s="319">
        <f>IF(O54=0, "0",(M54-O54)/O54)</f>
        <v>-0.12438916968121529</v>
      </c>
      <c r="R54" s="248"/>
      <c r="S54" s="236">
        <f t="shared" si="5"/>
        <v>-9288120.2700000033</v>
      </c>
      <c r="T54" s="186">
        <f t="shared" si="6"/>
        <v>-10814424.880000001</v>
      </c>
      <c r="U54" s="345" t="str">
        <f t="shared" si="7"/>
        <v>FAIL</v>
      </c>
    </row>
    <row r="55" spans="1:21" s="1" customFormat="1">
      <c r="A55" s="363"/>
      <c r="B55" s="19" t="s">
        <v>711</v>
      </c>
      <c r="C55" s="364">
        <v>4519025.6100000003</v>
      </c>
      <c r="D55" s="364"/>
      <c r="E55" s="43">
        <v>4954162.49</v>
      </c>
      <c r="F55" s="43"/>
      <c r="G55" s="40">
        <v>-8.7800000000000003E-2</v>
      </c>
      <c r="H55" s="259"/>
      <c r="I55" s="19"/>
      <c r="J55" s="213"/>
      <c r="K55" s="244"/>
      <c r="L55" s="245" t="s">
        <v>339</v>
      </c>
      <c r="M55" s="196">
        <f>SP_Data!L21</f>
        <v>53225145.100000001</v>
      </c>
      <c r="N55" s="196"/>
      <c r="O55" s="196">
        <f>SP_Data!M21</f>
        <v>48776403.920000002</v>
      </c>
      <c r="P55" s="247"/>
      <c r="Q55" s="249"/>
      <c r="R55" s="248"/>
      <c r="S55" s="236">
        <f t="shared" si="5"/>
        <v>-9705379.6400000006</v>
      </c>
      <c r="T55" s="186">
        <f t="shared" si="6"/>
        <v>-10852110.870000005</v>
      </c>
      <c r="U55" s="345" t="str">
        <f t="shared" si="7"/>
        <v>FAIL</v>
      </c>
    </row>
    <row r="56" spans="1:21" s="1" customFormat="1">
      <c r="A56" s="115"/>
      <c r="B56" s="19" t="s">
        <v>35</v>
      </c>
      <c r="C56" s="365">
        <v>43519765.460000001</v>
      </c>
      <c r="D56" s="365"/>
      <c r="E56" s="364">
        <v>37924293.049999997</v>
      </c>
      <c r="F56" s="364"/>
      <c r="G56" s="366"/>
      <c r="H56" s="276"/>
      <c r="I56" s="19"/>
      <c r="J56" s="213"/>
      <c r="K56" s="244"/>
      <c r="L56" s="245" t="s">
        <v>340</v>
      </c>
      <c r="M56" s="201">
        <f>[1]SP_Data!G31</f>
        <v>245.13</v>
      </c>
      <c r="N56" s="201"/>
      <c r="O56" s="201">
        <f>[1]SP_Data!H31</f>
        <v>232.45</v>
      </c>
      <c r="P56" s="247"/>
      <c r="Q56" s="249"/>
      <c r="R56" s="253"/>
      <c r="S56" s="236">
        <f t="shared" si="5"/>
        <v>11.079999999999984</v>
      </c>
      <c r="T56" s="186">
        <f t="shared" si="6"/>
        <v>4.2000000000000171</v>
      </c>
      <c r="U56" s="345" t="str">
        <f t="shared" si="7"/>
        <v>FAIL</v>
      </c>
    </row>
    <row r="57" spans="1:21">
      <c r="A57" s="115"/>
      <c r="B57" s="19" t="s">
        <v>434</v>
      </c>
      <c r="C57" s="43">
        <v>256.20999999999998</v>
      </c>
      <c r="D57" s="43"/>
      <c r="E57" s="364">
        <v>236.65</v>
      </c>
      <c r="F57" s="364"/>
      <c r="G57" s="366"/>
      <c r="H57" s="276"/>
      <c r="I57" s="19"/>
      <c r="J57" s="192"/>
      <c r="K57" s="2"/>
      <c r="L57" s="2"/>
      <c r="Q57" s="2"/>
    </row>
    <row r="58" spans="1:21" ht="15" customHeight="1">
      <c r="B58" s="677"/>
      <c r="C58" s="678"/>
      <c r="D58" s="678"/>
      <c r="E58" s="679"/>
      <c r="F58" s="679"/>
      <c r="G58" s="321"/>
      <c r="H58" s="680"/>
      <c r="I58" s="209"/>
      <c r="J58" s="691"/>
      <c r="K58" s="691"/>
      <c r="L58" s="691"/>
      <c r="M58" s="691"/>
      <c r="N58" s="691"/>
      <c r="O58" s="691"/>
      <c r="P58" s="691"/>
      <c r="Q58" s="691"/>
      <c r="R58" s="691"/>
      <c r="S58" s="691"/>
      <c r="T58" s="691"/>
      <c r="U58" s="692"/>
    </row>
    <row r="59" spans="1:21">
      <c r="A59" s="691"/>
      <c r="B59" s="691"/>
      <c r="C59" s="691"/>
      <c r="D59" s="691"/>
      <c r="E59" s="691"/>
      <c r="F59" s="691"/>
      <c r="G59" s="691"/>
      <c r="H59" s="691"/>
      <c r="I59" s="691"/>
    </row>
    <row r="60" spans="1:21">
      <c r="J60" s="214"/>
      <c r="K60" s="348" t="s">
        <v>32</v>
      </c>
      <c r="L60" s="348" t="s">
        <v>388</v>
      </c>
      <c r="M60" s="348" t="s">
        <v>23</v>
      </c>
      <c r="N60" s="350" t="s">
        <v>22</v>
      </c>
      <c r="O60" s="351" t="s">
        <v>21</v>
      </c>
      <c r="P60" s="349" t="s">
        <v>337</v>
      </c>
      <c r="Q60" s="352"/>
      <c r="R60" s="352"/>
      <c r="S60" s="208" t="s">
        <v>390</v>
      </c>
      <c r="T60" s="208" t="s">
        <v>391</v>
      </c>
      <c r="U60" s="696" t="s">
        <v>29</v>
      </c>
    </row>
    <row r="61" spans="1:21" ht="12.75" customHeight="1">
      <c r="A61" s="348" t="s">
        <v>32</v>
      </c>
      <c r="B61" s="348" t="s">
        <v>388</v>
      </c>
      <c r="C61" s="348" t="s">
        <v>23</v>
      </c>
      <c r="D61" s="350" t="s">
        <v>22</v>
      </c>
      <c r="E61" s="351" t="s">
        <v>21</v>
      </c>
      <c r="F61" s="349" t="s">
        <v>337</v>
      </c>
      <c r="G61" s="352"/>
      <c r="H61" s="352"/>
      <c r="I61" s="352"/>
      <c r="J61" s="221"/>
      <c r="K61" s="234">
        <v>1</v>
      </c>
      <c r="L61" s="317"/>
      <c r="M61" s="237"/>
      <c r="N61" s="237"/>
      <c r="O61" s="319"/>
      <c r="P61" s="237"/>
      <c r="Q61" s="319"/>
      <c r="R61" s="238"/>
      <c r="S61" s="236">
        <f t="shared" ref="S61:S83" si="8">M61-C62</f>
        <v>0</v>
      </c>
      <c r="T61" s="186">
        <f t="shared" ref="T61:T83" si="9">N61-D62</f>
        <v>0</v>
      </c>
      <c r="U61" s="345" t="str">
        <f t="shared" ref="U61:U83" si="10">IF(AND(ROUNDDOWN(S61,0)=0,ROUNDDOWN(T61,0)=0),"PASS","FAIL")</f>
        <v>PASS</v>
      </c>
    </row>
    <row r="62" spans="1:21">
      <c r="A62" s="519"/>
      <c r="B62" s="37"/>
      <c r="C62" s="287"/>
      <c r="D62" s="509"/>
      <c r="E62" s="288"/>
      <c r="F62" s="518"/>
      <c r="G62" s="322"/>
      <c r="H62" s="261"/>
      <c r="I62" s="261"/>
      <c r="J62" s="221"/>
      <c r="K62" s="234">
        <v>2</v>
      </c>
      <c r="L62" s="235"/>
      <c r="M62" s="236"/>
      <c r="N62" s="236"/>
      <c r="O62" s="319"/>
      <c r="P62" s="237"/>
      <c r="Q62" s="319"/>
      <c r="R62" s="239"/>
      <c r="S62" s="236">
        <f t="shared" si="8"/>
        <v>0</v>
      </c>
      <c r="T62" s="186">
        <f t="shared" si="9"/>
        <v>0</v>
      </c>
      <c r="U62" s="345" t="str">
        <f t="shared" si="10"/>
        <v>PASS</v>
      </c>
    </row>
    <row r="63" spans="1:21">
      <c r="A63" s="512"/>
      <c r="B63" s="37"/>
      <c r="C63" s="287"/>
      <c r="D63" s="509"/>
      <c r="E63" s="288"/>
      <c r="F63" s="518"/>
      <c r="G63" s="322"/>
      <c r="H63" s="261"/>
      <c r="I63" s="261"/>
      <c r="J63" s="221"/>
      <c r="K63" s="234">
        <v>3</v>
      </c>
      <c r="L63" s="187"/>
      <c r="M63" s="236"/>
      <c r="N63" s="236"/>
      <c r="O63" s="319"/>
      <c r="P63" s="237"/>
      <c r="Q63" s="319"/>
      <c r="R63" s="241"/>
      <c r="S63" s="236">
        <f t="shared" si="8"/>
        <v>0</v>
      </c>
      <c r="T63" s="186">
        <f t="shared" si="9"/>
        <v>0</v>
      </c>
      <c r="U63" s="345" t="str">
        <f t="shared" si="10"/>
        <v>PASS</v>
      </c>
    </row>
    <row r="64" spans="1:21" ht="12.75" customHeight="1">
      <c r="A64" s="512"/>
      <c r="B64" s="37"/>
      <c r="C64" s="287"/>
      <c r="D64" s="509"/>
      <c r="E64" s="288"/>
      <c r="F64" s="518"/>
      <c r="G64" s="322"/>
      <c r="H64" s="261"/>
      <c r="I64" s="261"/>
      <c r="J64" s="221"/>
      <c r="K64" s="234">
        <v>4</v>
      </c>
      <c r="L64" s="240"/>
      <c r="M64" s="236"/>
      <c r="N64" s="236"/>
      <c r="O64" s="319"/>
      <c r="P64" s="237"/>
      <c r="Q64" s="319"/>
      <c r="R64" s="238"/>
      <c r="S64" s="236">
        <f t="shared" si="8"/>
        <v>0</v>
      </c>
      <c r="T64" s="186">
        <f t="shared" si="9"/>
        <v>0</v>
      </c>
      <c r="U64" s="345" t="str">
        <f t="shared" si="10"/>
        <v>PASS</v>
      </c>
    </row>
    <row r="65" spans="1:21" ht="12.75" customHeight="1">
      <c r="A65" s="512"/>
      <c r="B65" s="37"/>
      <c r="C65" s="287"/>
      <c r="D65" s="509"/>
      <c r="E65" s="288"/>
      <c r="F65" s="518"/>
      <c r="G65" s="322"/>
      <c r="H65" s="261"/>
      <c r="I65" s="261"/>
      <c r="J65" s="221"/>
      <c r="K65" s="234">
        <v>5</v>
      </c>
      <c r="L65" s="187"/>
      <c r="M65" s="236"/>
      <c r="N65" s="236"/>
      <c r="O65" s="319"/>
      <c r="P65" s="237"/>
      <c r="Q65" s="319"/>
      <c r="R65" s="241"/>
      <c r="S65" s="236">
        <f t="shared" si="8"/>
        <v>0</v>
      </c>
      <c r="T65" s="186">
        <f t="shared" si="9"/>
        <v>0</v>
      </c>
      <c r="U65" s="345" t="str">
        <f t="shared" si="10"/>
        <v>PASS</v>
      </c>
    </row>
    <row r="66" spans="1:21">
      <c r="A66" s="512"/>
      <c r="B66" s="37"/>
      <c r="C66" s="287"/>
      <c r="D66" s="509"/>
      <c r="E66" s="288"/>
      <c r="F66" s="518"/>
      <c r="G66" s="322"/>
      <c r="H66" s="261"/>
      <c r="I66" s="261"/>
      <c r="J66" s="221"/>
      <c r="K66" s="234">
        <v>6</v>
      </c>
      <c r="L66" s="187"/>
      <c r="M66" s="236"/>
      <c r="N66" s="236"/>
      <c r="O66" s="319"/>
      <c r="P66" s="237"/>
      <c r="Q66" s="319"/>
      <c r="R66" s="238"/>
      <c r="S66" s="236">
        <f t="shared" si="8"/>
        <v>0</v>
      </c>
      <c r="T66" s="186">
        <f t="shared" si="9"/>
        <v>0</v>
      </c>
      <c r="U66" s="345" t="str">
        <f t="shared" si="10"/>
        <v>PASS</v>
      </c>
    </row>
    <row r="67" spans="1:21">
      <c r="A67" s="512"/>
      <c r="B67" s="37"/>
      <c r="C67" s="287"/>
      <c r="D67" s="509"/>
      <c r="E67" s="288"/>
      <c r="F67" s="518"/>
      <c r="G67" s="322"/>
      <c r="H67" s="261"/>
      <c r="I67" s="261"/>
      <c r="J67" s="221"/>
      <c r="K67" s="234">
        <v>7</v>
      </c>
      <c r="L67" s="187"/>
      <c r="M67" s="236"/>
      <c r="N67" s="236"/>
      <c r="O67" s="319"/>
      <c r="P67" s="237"/>
      <c r="Q67" s="319"/>
      <c r="R67" s="239"/>
      <c r="S67" s="236">
        <f t="shared" si="8"/>
        <v>0</v>
      </c>
      <c r="T67" s="186">
        <f t="shared" si="9"/>
        <v>0</v>
      </c>
      <c r="U67" s="345" t="str">
        <f t="shared" si="10"/>
        <v>PASS</v>
      </c>
    </row>
    <row r="68" spans="1:21" ht="12.75" customHeight="1">
      <c r="A68" s="512"/>
      <c r="B68" s="37"/>
      <c r="C68" s="287"/>
      <c r="D68" s="509"/>
      <c r="E68" s="288"/>
      <c r="F68" s="518"/>
      <c r="G68" s="322"/>
      <c r="H68" s="261"/>
      <c r="I68" s="261"/>
      <c r="J68" s="221"/>
      <c r="K68" s="234">
        <v>8</v>
      </c>
      <c r="L68" s="187"/>
      <c r="M68" s="236"/>
      <c r="N68" s="236"/>
      <c r="O68" s="319"/>
      <c r="P68" s="237"/>
      <c r="Q68" s="319"/>
      <c r="R68" s="238"/>
      <c r="S68" s="236">
        <f t="shared" si="8"/>
        <v>0</v>
      </c>
      <c r="T68" s="186">
        <f t="shared" si="9"/>
        <v>0</v>
      </c>
      <c r="U68" s="345" t="str">
        <f t="shared" si="10"/>
        <v>PASS</v>
      </c>
    </row>
    <row r="69" spans="1:21">
      <c r="A69" s="512"/>
      <c r="B69" s="37"/>
      <c r="C69" s="287"/>
      <c r="D69" s="509"/>
      <c r="E69" s="288"/>
      <c r="F69" s="518"/>
      <c r="G69" s="322"/>
      <c r="H69" s="261"/>
      <c r="I69" s="261"/>
      <c r="J69" s="221"/>
      <c r="K69" s="234">
        <v>9</v>
      </c>
      <c r="L69" s="187"/>
      <c r="M69" s="236"/>
      <c r="N69" s="236"/>
      <c r="O69" s="319"/>
      <c r="P69" s="237"/>
      <c r="Q69" s="319"/>
      <c r="R69" s="238"/>
      <c r="S69" s="236">
        <f t="shared" si="8"/>
        <v>0</v>
      </c>
      <c r="T69" s="186">
        <f t="shared" si="9"/>
        <v>0</v>
      </c>
      <c r="U69" s="345" t="str">
        <f t="shared" si="10"/>
        <v>PASS</v>
      </c>
    </row>
    <row r="70" spans="1:21">
      <c r="A70" s="512"/>
      <c r="B70" s="37"/>
      <c r="C70" s="287"/>
      <c r="D70" s="509"/>
      <c r="E70" s="288"/>
      <c r="F70" s="518"/>
      <c r="G70" s="322"/>
      <c r="H70" s="261"/>
      <c r="I70" s="261"/>
      <c r="J70" s="221"/>
      <c r="K70" s="234">
        <v>10</v>
      </c>
      <c r="L70" s="187"/>
      <c r="M70" s="236"/>
      <c r="N70" s="236"/>
      <c r="O70" s="319"/>
      <c r="P70" s="237"/>
      <c r="Q70" s="319"/>
      <c r="R70" s="239"/>
      <c r="S70" s="236">
        <f t="shared" si="8"/>
        <v>0</v>
      </c>
      <c r="T70" s="186">
        <f t="shared" si="9"/>
        <v>0</v>
      </c>
      <c r="U70" s="345" t="str">
        <f t="shared" si="10"/>
        <v>PASS</v>
      </c>
    </row>
    <row r="71" spans="1:21" ht="12.75" customHeight="1">
      <c r="A71" s="512"/>
      <c r="B71" s="37"/>
      <c r="C71" s="287"/>
      <c r="D71" s="509"/>
      <c r="E71" s="288"/>
      <c r="F71" s="518"/>
      <c r="G71" s="322"/>
      <c r="H71" s="261"/>
      <c r="I71" s="261"/>
      <c r="J71" s="221"/>
      <c r="K71" s="234">
        <v>11</v>
      </c>
      <c r="L71" s="187"/>
      <c r="M71" s="236"/>
      <c r="N71" s="236"/>
      <c r="O71" s="319"/>
      <c r="P71" s="237"/>
      <c r="Q71" s="319"/>
      <c r="R71" s="239"/>
      <c r="S71" s="236">
        <f t="shared" si="8"/>
        <v>0</v>
      </c>
      <c r="T71" s="186">
        <f t="shared" si="9"/>
        <v>0</v>
      </c>
      <c r="U71" s="345" t="str">
        <f t="shared" si="10"/>
        <v>PASS</v>
      </c>
    </row>
    <row r="72" spans="1:21">
      <c r="A72" s="512"/>
      <c r="B72" s="37"/>
      <c r="C72" s="287"/>
      <c r="D72" s="509"/>
      <c r="E72" s="288"/>
      <c r="F72" s="518"/>
      <c r="G72" s="322"/>
      <c r="H72" s="261"/>
      <c r="I72" s="261"/>
      <c r="J72" s="221"/>
      <c r="K72" s="234">
        <v>12</v>
      </c>
      <c r="L72" s="187"/>
      <c r="M72" s="236"/>
      <c r="N72" s="236"/>
      <c r="O72" s="319"/>
      <c r="P72" s="237"/>
      <c r="Q72" s="319"/>
      <c r="R72" s="241"/>
      <c r="S72" s="236">
        <f t="shared" si="8"/>
        <v>0</v>
      </c>
      <c r="T72" s="186">
        <f t="shared" si="9"/>
        <v>0</v>
      </c>
      <c r="U72" s="345" t="str">
        <f t="shared" si="10"/>
        <v>PASS</v>
      </c>
    </row>
    <row r="73" spans="1:21">
      <c r="A73" s="512"/>
      <c r="B73" s="37"/>
      <c r="C73" s="287"/>
      <c r="D73" s="509"/>
      <c r="E73" s="288"/>
      <c r="F73" s="518"/>
      <c r="G73" s="322"/>
      <c r="H73" s="261"/>
      <c r="I73" s="261"/>
      <c r="J73" s="221"/>
      <c r="K73" s="234">
        <v>13</v>
      </c>
      <c r="L73" s="187"/>
      <c r="M73" s="236"/>
      <c r="N73" s="236"/>
      <c r="O73" s="319"/>
      <c r="P73" s="237"/>
      <c r="Q73" s="319"/>
      <c r="R73" s="239"/>
      <c r="S73" s="236">
        <f t="shared" si="8"/>
        <v>0</v>
      </c>
      <c r="T73" s="186">
        <f t="shared" si="9"/>
        <v>0</v>
      </c>
      <c r="U73" s="345" t="str">
        <f t="shared" si="10"/>
        <v>PASS</v>
      </c>
    </row>
    <row r="74" spans="1:21" ht="12.75" customHeight="1">
      <c r="A74" s="512"/>
      <c r="B74" s="37"/>
      <c r="C74" s="287"/>
      <c r="D74" s="509"/>
      <c r="E74" s="288"/>
      <c r="F74" s="518"/>
      <c r="G74" s="322"/>
      <c r="H74" s="261"/>
      <c r="I74" s="261"/>
      <c r="J74" s="221"/>
      <c r="K74" s="234">
        <v>14</v>
      </c>
      <c r="L74" s="187"/>
      <c r="M74" s="236"/>
      <c r="N74" s="236"/>
      <c r="O74" s="319"/>
      <c r="P74" s="237"/>
      <c r="Q74" s="319"/>
      <c r="R74" s="238"/>
      <c r="S74" s="236">
        <f t="shared" si="8"/>
        <v>0</v>
      </c>
      <c r="T74" s="186">
        <f t="shared" si="9"/>
        <v>0</v>
      </c>
      <c r="U74" s="345" t="str">
        <f t="shared" si="10"/>
        <v>PASS</v>
      </c>
    </row>
    <row r="75" spans="1:21" ht="12.75" customHeight="1">
      <c r="A75" s="512"/>
      <c r="B75" s="322"/>
      <c r="C75" s="287"/>
      <c r="D75" s="509"/>
      <c r="E75" s="288"/>
      <c r="F75" s="518"/>
      <c r="G75" s="322"/>
      <c r="H75" s="261"/>
      <c r="I75" s="261"/>
      <c r="J75" s="221"/>
      <c r="K75" s="234">
        <v>15</v>
      </c>
      <c r="L75" s="187"/>
      <c r="M75" s="236"/>
      <c r="N75" s="236"/>
      <c r="O75" s="319"/>
      <c r="P75" s="237"/>
      <c r="Q75" s="319"/>
      <c r="R75" s="238"/>
      <c r="S75" s="236">
        <f t="shared" si="8"/>
        <v>0</v>
      </c>
      <c r="T75" s="186">
        <f t="shared" si="9"/>
        <v>0</v>
      </c>
      <c r="U75" s="345" t="str">
        <f t="shared" si="10"/>
        <v>PASS</v>
      </c>
    </row>
    <row r="76" spans="1:21" ht="12.75" customHeight="1">
      <c r="A76" s="512"/>
      <c r="B76" s="514"/>
      <c r="C76" s="287"/>
      <c r="D76" s="509"/>
      <c r="E76" s="288"/>
      <c r="F76" s="518"/>
      <c r="G76" s="322"/>
      <c r="H76" s="261"/>
      <c r="I76" s="261"/>
      <c r="J76" s="221"/>
      <c r="K76" s="234">
        <v>16</v>
      </c>
      <c r="L76" s="187"/>
      <c r="M76" s="236"/>
      <c r="N76" s="236"/>
      <c r="O76" s="319"/>
      <c r="P76" s="237"/>
      <c r="Q76" s="319"/>
      <c r="R76" s="239"/>
      <c r="S76" s="236">
        <f t="shared" si="8"/>
        <v>0</v>
      </c>
      <c r="T76" s="186">
        <f t="shared" si="9"/>
        <v>0</v>
      </c>
      <c r="U76" s="345" t="str">
        <f t="shared" si="10"/>
        <v>PASS</v>
      </c>
    </row>
    <row r="77" spans="1:21">
      <c r="A77" s="230"/>
      <c r="B77" s="514"/>
      <c r="C77" s="287"/>
      <c r="D77" s="509"/>
      <c r="E77" s="288"/>
      <c r="F77" s="518"/>
      <c r="G77" s="322"/>
      <c r="H77" s="261"/>
      <c r="I77" s="261"/>
      <c r="J77" s="221"/>
      <c r="K77" s="234">
        <v>17</v>
      </c>
      <c r="L77" s="187"/>
      <c r="M77" s="236"/>
      <c r="N77" s="236"/>
      <c r="O77" s="319"/>
      <c r="P77" s="237"/>
      <c r="Q77" s="319"/>
      <c r="R77" s="238"/>
      <c r="S77" s="236">
        <f t="shared" si="8"/>
        <v>0</v>
      </c>
      <c r="T77" s="186">
        <f t="shared" si="9"/>
        <v>0</v>
      </c>
      <c r="U77" s="345" t="str">
        <f t="shared" si="10"/>
        <v>PASS</v>
      </c>
    </row>
    <row r="78" spans="1:21">
      <c r="A78" s="230"/>
      <c r="B78" s="514"/>
      <c r="C78" s="287"/>
      <c r="D78" s="509"/>
      <c r="E78" s="288"/>
      <c r="F78" s="517"/>
      <c r="G78" s="322"/>
      <c r="H78" s="259"/>
      <c r="I78" s="259"/>
      <c r="J78" s="221"/>
      <c r="K78" s="234">
        <v>18</v>
      </c>
      <c r="L78" s="187"/>
      <c r="M78" s="236"/>
      <c r="N78" s="236"/>
      <c r="O78" s="319"/>
      <c r="P78" s="237"/>
      <c r="Q78" s="319"/>
      <c r="R78" s="238"/>
      <c r="S78" s="236">
        <f t="shared" si="8"/>
        <v>0</v>
      </c>
      <c r="T78" s="186">
        <f t="shared" si="9"/>
        <v>0</v>
      </c>
      <c r="U78" s="345" t="str">
        <f t="shared" si="10"/>
        <v>PASS</v>
      </c>
    </row>
    <row r="79" spans="1:21">
      <c r="A79" s="230"/>
      <c r="B79" s="514"/>
      <c r="C79" s="287"/>
      <c r="D79" s="509"/>
      <c r="E79" s="288"/>
      <c r="F79" s="516"/>
      <c r="G79" s="322"/>
      <c r="H79" s="263"/>
      <c r="I79" s="263"/>
      <c r="J79" s="221"/>
      <c r="K79" s="234">
        <v>19</v>
      </c>
      <c r="L79" s="187"/>
      <c r="M79" s="236"/>
      <c r="N79" s="236"/>
      <c r="O79" s="319"/>
      <c r="P79" s="237"/>
      <c r="Q79" s="319"/>
      <c r="R79" s="238"/>
      <c r="S79" s="236">
        <f t="shared" si="8"/>
        <v>0</v>
      </c>
      <c r="T79" s="186">
        <f t="shared" si="9"/>
        <v>0</v>
      </c>
      <c r="U79" s="345" t="str">
        <f t="shared" si="10"/>
        <v>PASS</v>
      </c>
    </row>
    <row r="80" spans="1:21">
      <c r="A80" s="438"/>
      <c r="B80" s="314"/>
      <c r="C80" s="222"/>
      <c r="D80" s="264"/>
      <c r="E80" s="277"/>
      <c r="F80" s="515"/>
      <c r="G80" s="322"/>
      <c r="H80" s="197"/>
      <c r="I80" s="197"/>
      <c r="J80" s="221"/>
      <c r="K80" s="234">
        <v>20</v>
      </c>
      <c r="L80" s="187"/>
      <c r="M80" s="236"/>
      <c r="N80" s="236"/>
      <c r="O80" s="319"/>
      <c r="P80" s="237"/>
      <c r="Q80" s="319"/>
      <c r="R80" s="239"/>
      <c r="S80" s="236">
        <f t="shared" si="8"/>
        <v>0</v>
      </c>
      <c r="T80" s="186">
        <f t="shared" si="9"/>
        <v>0</v>
      </c>
      <c r="U80" s="345" t="str">
        <f t="shared" si="10"/>
        <v>PASS</v>
      </c>
    </row>
    <row r="81" spans="1:21" s="1" customFormat="1">
      <c r="A81" s="438"/>
      <c r="B81" s="314"/>
      <c r="C81" s="222"/>
      <c r="D81" s="264"/>
      <c r="E81" s="277"/>
      <c r="F81" s="515"/>
      <c r="G81" s="322"/>
      <c r="H81" s="197"/>
      <c r="I81" s="197"/>
      <c r="J81" s="223"/>
      <c r="K81" s="244"/>
      <c r="L81" s="245" t="s">
        <v>338</v>
      </c>
      <c r="M81" s="246">
        <f>M82-SUM(M61:M80)</f>
        <v>39103556.899999999</v>
      </c>
      <c r="N81" s="246">
        <f>N82-SUM(N61:N80)</f>
        <v>37986382.340000004</v>
      </c>
      <c r="O81" s="319">
        <f>IF(N81=0, "0",(M81-N81)/N81)</f>
        <v>2.9409869831789694E-2</v>
      </c>
      <c r="P81" s="247"/>
      <c r="Q81" s="319"/>
      <c r="R81" s="248"/>
      <c r="S81" s="236">
        <f t="shared" si="8"/>
        <v>39103556.899999999</v>
      </c>
      <c r="T81" s="186">
        <f t="shared" si="9"/>
        <v>37986382.340000004</v>
      </c>
      <c r="U81" s="345" t="str">
        <f t="shared" si="10"/>
        <v>FAIL</v>
      </c>
    </row>
    <row r="82" spans="1:21" s="1" customFormat="1">
      <c r="A82" s="322"/>
      <c r="B82" s="322"/>
      <c r="C82" s="287"/>
      <c r="D82" s="509"/>
      <c r="E82" s="250"/>
      <c r="F82" s="242"/>
      <c r="G82" s="322"/>
      <c r="H82" s="309"/>
      <c r="I82" s="251"/>
      <c r="J82" s="224"/>
      <c r="K82" s="244"/>
      <c r="L82" s="245" t="s">
        <v>339</v>
      </c>
      <c r="M82" s="196">
        <f>[1]SP_Data!L21</f>
        <v>39103556.899999999</v>
      </c>
      <c r="N82" s="200">
        <f>[1]SP_Data!M21</f>
        <v>37986382.340000004</v>
      </c>
      <c r="O82" s="200"/>
      <c r="P82" s="247"/>
      <c r="Q82" s="249"/>
      <c r="R82" s="248"/>
      <c r="S82" s="236">
        <f t="shared" si="8"/>
        <v>39103556.899999999</v>
      </c>
      <c r="T82" s="186">
        <f t="shared" si="9"/>
        <v>37986382.340000004</v>
      </c>
      <c r="U82" s="345" t="str">
        <f t="shared" si="10"/>
        <v>FAIL</v>
      </c>
    </row>
    <row r="83" spans="1:21" s="1" customFormat="1">
      <c r="A83" s="322"/>
      <c r="B83" s="514"/>
      <c r="C83" s="287"/>
      <c r="D83" s="509"/>
      <c r="E83" s="250"/>
      <c r="F83" s="322"/>
      <c r="G83" s="322"/>
      <c r="H83" s="309"/>
      <c r="I83" s="251"/>
      <c r="J83" s="218"/>
      <c r="K83" s="244"/>
      <c r="L83" s="245" t="s">
        <v>340</v>
      </c>
      <c r="M83" s="201" t="e">
        <f>[1]SP_Data!#REF!</f>
        <v>#REF!</v>
      </c>
      <c r="N83" s="201" t="e">
        <f>[1]SP_Data!#REF!</f>
        <v>#REF!</v>
      </c>
      <c r="O83" s="247"/>
      <c r="P83" s="247"/>
      <c r="Q83" s="249"/>
      <c r="R83" s="253"/>
      <c r="S83" s="236" t="e">
        <f t="shared" si="8"/>
        <v>#REF!</v>
      </c>
      <c r="T83" s="186" t="e">
        <f t="shared" si="9"/>
        <v>#REF!</v>
      </c>
      <c r="U83" s="345" t="e">
        <f t="shared" si="10"/>
        <v>#REF!</v>
      </c>
    </row>
    <row r="84" spans="1:21">
      <c r="A84" s="322"/>
      <c r="B84" s="514"/>
      <c r="C84" s="287"/>
      <c r="D84" s="509"/>
      <c r="E84" s="250"/>
      <c r="F84" s="322"/>
      <c r="G84" s="322"/>
      <c r="H84" s="309"/>
      <c r="I84" s="251"/>
    </row>
    <row r="85" spans="1:21" ht="15" customHeight="1">
      <c r="J85" s="691"/>
      <c r="K85" s="691"/>
      <c r="L85" s="691"/>
      <c r="M85" s="691"/>
      <c r="N85" s="691"/>
      <c r="O85" s="691"/>
      <c r="P85" s="691"/>
      <c r="Q85" s="691"/>
      <c r="R85" s="691"/>
      <c r="S85" s="691"/>
      <c r="T85" s="691"/>
      <c r="U85" s="692"/>
    </row>
    <row r="86" spans="1:21">
      <c r="A86" s="691"/>
      <c r="B86" s="691"/>
      <c r="C86" s="691"/>
      <c r="D86" s="691"/>
      <c r="E86" s="691"/>
      <c r="F86" s="691"/>
      <c r="G86" s="691"/>
      <c r="H86" s="691"/>
      <c r="I86" s="691"/>
      <c r="J86" s="1"/>
      <c r="K86" s="763"/>
      <c r="L86" s="763"/>
      <c r="M86" s="763"/>
      <c r="N86" s="763"/>
      <c r="O86" s="763"/>
      <c r="P86" s="763"/>
      <c r="Q86" s="763"/>
      <c r="R86" s="763"/>
    </row>
    <row r="87" spans="1:21">
      <c r="A87" s="764"/>
      <c r="B87" s="764"/>
      <c r="C87" s="764"/>
      <c r="D87" s="764"/>
      <c r="E87" s="764"/>
      <c r="F87" s="764"/>
      <c r="G87" s="764"/>
      <c r="H87" s="764"/>
      <c r="I87" s="764"/>
      <c r="J87" s="559"/>
      <c r="K87" s="444" t="s">
        <v>32</v>
      </c>
      <c r="L87" s="89" t="s">
        <v>343</v>
      </c>
      <c r="M87" s="89" t="s">
        <v>23</v>
      </c>
      <c r="N87" s="89" t="s">
        <v>351</v>
      </c>
      <c r="O87" s="89" t="s">
        <v>22</v>
      </c>
      <c r="P87" s="89" t="s">
        <v>352</v>
      </c>
      <c r="Q87" s="442" t="s">
        <v>21</v>
      </c>
      <c r="R87" s="89" t="s">
        <v>353</v>
      </c>
      <c r="S87" s="342" t="s">
        <v>390</v>
      </c>
      <c r="T87" s="342" t="s">
        <v>391</v>
      </c>
      <c r="U87" s="89" t="s">
        <v>29</v>
      </c>
    </row>
    <row r="88" spans="1:21">
      <c r="A88" s="89" t="s">
        <v>32</v>
      </c>
      <c r="B88" s="89" t="s">
        <v>343</v>
      </c>
      <c r="C88" s="89" t="s">
        <v>23</v>
      </c>
      <c r="D88" s="89" t="s">
        <v>351</v>
      </c>
      <c r="E88" s="477" t="s">
        <v>22</v>
      </c>
      <c r="F88" s="477" t="s">
        <v>352</v>
      </c>
      <c r="G88" s="442" t="s">
        <v>21</v>
      </c>
      <c r="H88" s="318" t="s">
        <v>353</v>
      </c>
      <c r="I88" s="442" t="s">
        <v>337</v>
      </c>
      <c r="J88" s="555"/>
      <c r="K88" s="428">
        <v>1</v>
      </c>
      <c r="L88" s="558" t="s">
        <v>735</v>
      </c>
      <c r="M88" s="454">
        <v>1767136.13</v>
      </c>
      <c r="N88" s="454">
        <v>10.403</v>
      </c>
      <c r="O88" s="424">
        <v>2187723.44</v>
      </c>
      <c r="P88" s="424">
        <v>13.651999999999999</v>
      </c>
      <c r="Q88" s="422">
        <v>0.192</v>
      </c>
      <c r="R88" s="556"/>
      <c r="S88" s="454">
        <f t="shared" ref="S88:S110" si="11">M88-C89</f>
        <v>0</v>
      </c>
      <c r="T88" s="410">
        <f t="shared" ref="T88:T110" si="12">O88-E89</f>
        <v>-1.0000000242143869E-2</v>
      </c>
      <c r="U88" s="345" t="str">
        <f t="shared" ref="U88:U110" si="13">IF(AND(ROUNDDOWN(S88,0)=0,ROUNDDOWN(T88,0)=0),"PASS","FAIL")</f>
        <v>PASS</v>
      </c>
    </row>
    <row r="89" spans="1:21">
      <c r="A89" s="198">
        <v>1</v>
      </c>
      <c r="B89" s="513" t="s">
        <v>735</v>
      </c>
      <c r="C89" s="287">
        <v>1767136.13</v>
      </c>
      <c r="D89" s="287">
        <v>10.4</v>
      </c>
      <c r="E89" s="509">
        <v>2187723.4500000002</v>
      </c>
      <c r="F89" s="509">
        <v>13.65</v>
      </c>
      <c r="G89" s="511">
        <v>-0.19220000000000001</v>
      </c>
      <c r="H89" s="666">
        <v>847</v>
      </c>
      <c r="I89" s="289">
        <v>1</v>
      </c>
      <c r="J89" s="555"/>
      <c r="K89" s="428">
        <v>2</v>
      </c>
      <c r="L89" s="379" t="s">
        <v>624</v>
      </c>
      <c r="M89" s="454">
        <v>1686001.58</v>
      </c>
      <c r="N89" s="454">
        <v>9.9260000000000002</v>
      </c>
      <c r="O89" s="424">
        <v>1280941.54</v>
      </c>
      <c r="P89" s="424">
        <v>7.9930000000000003</v>
      </c>
      <c r="Q89" s="422">
        <v>-0.316</v>
      </c>
      <c r="R89" s="553"/>
      <c r="S89" s="454">
        <f t="shared" si="11"/>
        <v>0</v>
      </c>
      <c r="T89" s="410">
        <f t="shared" si="12"/>
        <v>0</v>
      </c>
      <c r="U89" s="345" t="str">
        <f t="shared" si="13"/>
        <v>PASS</v>
      </c>
    </row>
    <row r="90" spans="1:21">
      <c r="A90" s="198">
        <v>2</v>
      </c>
      <c r="B90" s="512" t="s">
        <v>624</v>
      </c>
      <c r="C90" s="287">
        <v>1686001.58</v>
      </c>
      <c r="D90" s="287">
        <v>9.93</v>
      </c>
      <c r="E90" s="509">
        <v>1280941.54</v>
      </c>
      <c r="F90" s="509">
        <v>7.99</v>
      </c>
      <c r="G90" s="511">
        <v>0.31619999999999998</v>
      </c>
      <c r="H90" s="666">
        <v>871</v>
      </c>
      <c r="I90" s="289">
        <v>2</v>
      </c>
      <c r="J90" s="555"/>
      <c r="K90" s="428">
        <v>3</v>
      </c>
      <c r="L90" s="554" t="s">
        <v>623</v>
      </c>
      <c r="M90" s="454">
        <v>1670454.84</v>
      </c>
      <c r="N90" s="454">
        <v>9.8339999999999996</v>
      </c>
      <c r="O90" s="424">
        <v>836702.1</v>
      </c>
      <c r="P90" s="424">
        <v>5.2210000000000001</v>
      </c>
      <c r="Q90" s="422">
        <v>-0.996</v>
      </c>
      <c r="R90" s="557"/>
      <c r="S90" s="454">
        <f t="shared" si="11"/>
        <v>0</v>
      </c>
      <c r="T90" s="410">
        <f t="shared" si="12"/>
        <v>0</v>
      </c>
      <c r="U90" s="345" t="str">
        <f t="shared" si="13"/>
        <v>PASS</v>
      </c>
    </row>
    <row r="91" spans="1:21">
      <c r="A91" s="198">
        <v>3</v>
      </c>
      <c r="B91" s="512" t="s">
        <v>623</v>
      </c>
      <c r="C91" s="287">
        <v>1670454.84</v>
      </c>
      <c r="D91" s="287">
        <v>9.83</v>
      </c>
      <c r="E91" s="509">
        <v>836702.1</v>
      </c>
      <c r="F91" s="509">
        <v>5.22</v>
      </c>
      <c r="G91" s="511">
        <v>0.99650000000000005</v>
      </c>
      <c r="H91" s="666">
        <v>1705</v>
      </c>
      <c r="I91" s="289">
        <v>4</v>
      </c>
      <c r="J91" s="555"/>
      <c r="K91" s="428">
        <v>4</v>
      </c>
      <c r="L91" s="554" t="s">
        <v>625</v>
      </c>
      <c r="M91" s="454">
        <v>1483640.13</v>
      </c>
      <c r="N91" s="454">
        <v>8.734</v>
      </c>
      <c r="O91" s="424">
        <v>1204863.1599999999</v>
      </c>
      <c r="P91" s="424">
        <v>7.5179999999999998</v>
      </c>
      <c r="Q91" s="422">
        <v>-0.23100000000000001</v>
      </c>
      <c r="R91" s="556"/>
      <c r="S91" s="454">
        <f t="shared" si="11"/>
        <v>0</v>
      </c>
      <c r="T91" s="410">
        <f t="shared" si="12"/>
        <v>0</v>
      </c>
      <c r="U91" s="345" t="str">
        <f t="shared" si="13"/>
        <v>PASS</v>
      </c>
    </row>
    <row r="92" spans="1:21">
      <c r="A92" s="198">
        <v>4</v>
      </c>
      <c r="B92" s="512" t="s">
        <v>625</v>
      </c>
      <c r="C92" s="287">
        <v>1483640.13</v>
      </c>
      <c r="D92" s="287">
        <v>8.73</v>
      </c>
      <c r="E92" s="509">
        <v>1204863.1599999999</v>
      </c>
      <c r="F92" s="509">
        <v>7.52</v>
      </c>
      <c r="G92" s="511">
        <v>0.23139999999999999</v>
      </c>
      <c r="H92" s="666">
        <v>1988</v>
      </c>
      <c r="I92" s="289">
        <v>3</v>
      </c>
      <c r="J92" s="555"/>
      <c r="K92" s="428">
        <v>5</v>
      </c>
      <c r="L92" s="554" t="s">
        <v>629</v>
      </c>
      <c r="M92" s="454">
        <v>1001391.92</v>
      </c>
      <c r="N92" s="454">
        <v>5.8949999999999996</v>
      </c>
      <c r="O92" s="424">
        <v>598325.86</v>
      </c>
      <c r="P92" s="424">
        <v>3.734</v>
      </c>
      <c r="Q92" s="422">
        <v>-0.67400000000000004</v>
      </c>
      <c r="R92" s="557"/>
      <c r="S92" s="454">
        <f t="shared" si="11"/>
        <v>0</v>
      </c>
      <c r="T92" s="410">
        <f t="shared" si="12"/>
        <v>0</v>
      </c>
      <c r="U92" s="345" t="str">
        <f t="shared" si="13"/>
        <v>PASS</v>
      </c>
    </row>
    <row r="93" spans="1:21">
      <c r="A93" s="198">
        <v>5</v>
      </c>
      <c r="B93" s="512" t="s">
        <v>629</v>
      </c>
      <c r="C93" s="287">
        <v>1001391.92</v>
      </c>
      <c r="D93" s="287">
        <v>5.9</v>
      </c>
      <c r="E93" s="509">
        <v>598325.86</v>
      </c>
      <c r="F93" s="509">
        <v>3.73</v>
      </c>
      <c r="G93" s="511">
        <v>0.67369999999999997</v>
      </c>
      <c r="H93" s="666">
        <v>266</v>
      </c>
      <c r="I93" s="289">
        <v>8</v>
      </c>
      <c r="J93" s="555"/>
      <c r="K93" s="428">
        <v>6</v>
      </c>
      <c r="L93" s="554" t="s">
        <v>628</v>
      </c>
      <c r="M93" s="454">
        <v>809669.97</v>
      </c>
      <c r="N93" s="454">
        <v>4.7670000000000003</v>
      </c>
      <c r="O93" s="424">
        <v>753257.81</v>
      </c>
      <c r="P93" s="424">
        <v>4.7</v>
      </c>
      <c r="Q93" s="422">
        <v>-7.4999999999999997E-2</v>
      </c>
      <c r="R93" s="556"/>
      <c r="S93" s="454">
        <f t="shared" si="11"/>
        <v>0</v>
      </c>
      <c r="T93" s="410">
        <f t="shared" si="12"/>
        <v>0</v>
      </c>
      <c r="U93" s="345" t="str">
        <f t="shared" si="13"/>
        <v>PASS</v>
      </c>
    </row>
    <row r="94" spans="1:21">
      <c r="A94" s="198">
        <v>6</v>
      </c>
      <c r="B94" s="512" t="s">
        <v>628</v>
      </c>
      <c r="C94" s="287">
        <v>809669.97</v>
      </c>
      <c r="D94" s="287">
        <v>4.7699999999999996</v>
      </c>
      <c r="E94" s="509">
        <v>753257.81</v>
      </c>
      <c r="F94" s="509">
        <v>4.7</v>
      </c>
      <c r="G94" s="511">
        <v>7.4899999999999994E-2</v>
      </c>
      <c r="H94" s="666">
        <v>1863</v>
      </c>
      <c r="I94" s="289">
        <v>6</v>
      </c>
      <c r="J94" s="555"/>
      <c r="K94" s="428">
        <v>7</v>
      </c>
      <c r="L94" s="554" t="s">
        <v>661</v>
      </c>
      <c r="M94" s="454">
        <v>699782.17</v>
      </c>
      <c r="N94" s="454">
        <v>4.12</v>
      </c>
      <c r="O94" s="424">
        <v>324996.09999999998</v>
      </c>
      <c r="P94" s="424">
        <v>2.028</v>
      </c>
      <c r="Q94" s="422">
        <v>-1.153</v>
      </c>
      <c r="R94" s="553"/>
      <c r="S94" s="454">
        <f t="shared" si="11"/>
        <v>0</v>
      </c>
      <c r="T94" s="410">
        <f t="shared" si="12"/>
        <v>0</v>
      </c>
      <c r="U94" s="345" t="str">
        <f t="shared" si="13"/>
        <v>PASS</v>
      </c>
    </row>
    <row r="95" spans="1:21">
      <c r="A95" s="198">
        <v>7</v>
      </c>
      <c r="B95" s="512" t="s">
        <v>661</v>
      </c>
      <c r="C95" s="287">
        <v>699782.17</v>
      </c>
      <c r="D95" s="287">
        <v>4.12</v>
      </c>
      <c r="E95" s="509">
        <v>324996.09999999998</v>
      </c>
      <c r="F95" s="509">
        <v>2.0299999999999998</v>
      </c>
      <c r="G95" s="511">
        <v>1.1532</v>
      </c>
      <c r="H95" s="666">
        <v>700</v>
      </c>
      <c r="I95" s="289">
        <v>14</v>
      </c>
      <c r="J95" s="555"/>
      <c r="K95" s="428">
        <v>8</v>
      </c>
      <c r="L95" s="554" t="s">
        <v>631</v>
      </c>
      <c r="M95" s="454">
        <v>655681.31000000006</v>
      </c>
      <c r="N95" s="454">
        <v>3.86</v>
      </c>
      <c r="O95" s="424">
        <v>528996.78</v>
      </c>
      <c r="P95" s="424">
        <v>3.3010000000000002</v>
      </c>
      <c r="Q95" s="422">
        <v>-0.23899999999999999</v>
      </c>
      <c r="R95" s="556"/>
      <c r="S95" s="454">
        <f t="shared" si="11"/>
        <v>0</v>
      </c>
      <c r="T95" s="410">
        <f t="shared" si="12"/>
        <v>0</v>
      </c>
      <c r="U95" s="345" t="str">
        <f t="shared" si="13"/>
        <v>PASS</v>
      </c>
    </row>
    <row r="96" spans="1:21">
      <c r="A96" s="198">
        <v>8</v>
      </c>
      <c r="B96" s="512" t="s">
        <v>631</v>
      </c>
      <c r="C96" s="287">
        <v>655681.31000000006</v>
      </c>
      <c r="D96" s="287">
        <v>3.86</v>
      </c>
      <c r="E96" s="509">
        <v>528996.78</v>
      </c>
      <c r="F96" s="509">
        <v>3.3</v>
      </c>
      <c r="G96" s="511">
        <v>0.23949999999999999</v>
      </c>
      <c r="H96" s="666">
        <v>2665</v>
      </c>
      <c r="I96" s="289">
        <v>10</v>
      </c>
      <c r="J96" s="555"/>
      <c r="K96" s="428">
        <v>9</v>
      </c>
      <c r="L96" s="554" t="s">
        <v>633</v>
      </c>
      <c r="M96" s="454">
        <v>649879.18000000005</v>
      </c>
      <c r="N96" s="454">
        <v>3.8260000000000001</v>
      </c>
      <c r="O96" s="424">
        <v>778466.99</v>
      </c>
      <c r="P96" s="424">
        <v>4.8579999999999997</v>
      </c>
      <c r="Q96" s="422">
        <v>0.16500000000000001</v>
      </c>
      <c r="R96" s="556"/>
      <c r="S96" s="454">
        <f t="shared" si="11"/>
        <v>0</v>
      </c>
      <c r="T96" s="410">
        <f t="shared" si="12"/>
        <v>0</v>
      </c>
      <c r="U96" s="345" t="str">
        <f t="shared" si="13"/>
        <v>PASS</v>
      </c>
    </row>
    <row r="97" spans="1:21">
      <c r="A97" s="198">
        <v>9</v>
      </c>
      <c r="B97" s="512" t="s">
        <v>633</v>
      </c>
      <c r="C97" s="287">
        <v>649879.18000000005</v>
      </c>
      <c r="D97" s="287">
        <v>3.83</v>
      </c>
      <c r="E97" s="509">
        <v>778466.99</v>
      </c>
      <c r="F97" s="509">
        <v>4.8600000000000003</v>
      </c>
      <c r="G97" s="511">
        <v>-0.16520000000000001</v>
      </c>
      <c r="H97" s="666">
        <v>1486</v>
      </c>
      <c r="I97" s="289">
        <v>5</v>
      </c>
      <c r="J97" s="555"/>
      <c r="K97" s="428">
        <v>10</v>
      </c>
      <c r="L97" s="554" t="s">
        <v>626</v>
      </c>
      <c r="M97" s="454">
        <v>577231.89</v>
      </c>
      <c r="N97" s="454">
        <v>3.3980000000000001</v>
      </c>
      <c r="O97" s="424">
        <v>502727.36</v>
      </c>
      <c r="P97" s="424">
        <v>3.137</v>
      </c>
      <c r="Q97" s="422">
        <v>-0.14799999999999999</v>
      </c>
      <c r="R97" s="553"/>
      <c r="S97" s="454">
        <f t="shared" si="11"/>
        <v>0</v>
      </c>
      <c r="T97" s="410">
        <f t="shared" si="12"/>
        <v>0</v>
      </c>
      <c r="U97" s="345" t="str">
        <f t="shared" si="13"/>
        <v>PASS</v>
      </c>
    </row>
    <row r="98" spans="1:21">
      <c r="A98" s="198">
        <v>10</v>
      </c>
      <c r="B98" s="512" t="s">
        <v>626</v>
      </c>
      <c r="C98" s="287">
        <v>577231.89</v>
      </c>
      <c r="D98" s="287">
        <v>3.4</v>
      </c>
      <c r="E98" s="509">
        <v>502727.36</v>
      </c>
      <c r="F98" s="509">
        <v>3.14</v>
      </c>
      <c r="G98" s="511">
        <v>0.1482</v>
      </c>
      <c r="H98" s="666">
        <v>1311</v>
      </c>
      <c r="I98" s="289">
        <v>11</v>
      </c>
      <c r="J98" s="555"/>
      <c r="K98" s="428">
        <v>11</v>
      </c>
      <c r="L98" s="554" t="s">
        <v>630</v>
      </c>
      <c r="M98" s="454">
        <v>549738.93000000005</v>
      </c>
      <c r="N98" s="454">
        <v>3.2360000000000002</v>
      </c>
      <c r="O98" s="424">
        <v>561068.69999999995</v>
      </c>
      <c r="P98" s="424">
        <v>3.5009999999999999</v>
      </c>
      <c r="Q98" s="422">
        <v>0.02</v>
      </c>
      <c r="R98" s="553"/>
      <c r="S98" s="454">
        <f t="shared" si="11"/>
        <v>0</v>
      </c>
      <c r="T98" s="410">
        <f t="shared" si="12"/>
        <v>0</v>
      </c>
      <c r="U98" s="345" t="str">
        <f t="shared" si="13"/>
        <v>PASS</v>
      </c>
    </row>
    <row r="99" spans="1:21" ht="12" customHeight="1">
      <c r="A99" s="198">
        <v>11</v>
      </c>
      <c r="B99" s="512" t="s">
        <v>630</v>
      </c>
      <c r="C99" s="287">
        <v>549738.93000000005</v>
      </c>
      <c r="D99" s="287">
        <v>3.24</v>
      </c>
      <c r="E99" s="509">
        <v>561068.69999999995</v>
      </c>
      <c r="F99" s="509">
        <v>3.5</v>
      </c>
      <c r="G99" s="511">
        <v>-2.0199999999999999E-2</v>
      </c>
      <c r="H99" s="666">
        <v>2105</v>
      </c>
      <c r="I99" s="289">
        <v>9</v>
      </c>
      <c r="J99" s="555"/>
      <c r="K99" s="428">
        <v>12</v>
      </c>
      <c r="L99" s="554" t="s">
        <v>627</v>
      </c>
      <c r="M99" s="454">
        <v>542504.11</v>
      </c>
      <c r="N99" s="454">
        <v>3.194</v>
      </c>
      <c r="O99" s="424">
        <v>617283.86</v>
      </c>
      <c r="P99" s="424">
        <v>3.8519999999999999</v>
      </c>
      <c r="Q99" s="422">
        <v>0.121</v>
      </c>
      <c r="R99" s="557"/>
      <c r="S99" s="454">
        <f t="shared" si="11"/>
        <v>0</v>
      </c>
      <c r="T99" s="410">
        <f t="shared" si="12"/>
        <v>0</v>
      </c>
      <c r="U99" s="345" t="str">
        <f t="shared" si="13"/>
        <v>PASS</v>
      </c>
    </row>
    <row r="100" spans="1:21">
      <c r="A100" s="198">
        <v>12</v>
      </c>
      <c r="B100" s="512" t="s">
        <v>627</v>
      </c>
      <c r="C100" s="287">
        <v>542504.11</v>
      </c>
      <c r="D100" s="287">
        <v>3.19</v>
      </c>
      <c r="E100" s="509">
        <v>617283.86</v>
      </c>
      <c r="F100" s="509">
        <v>3.85</v>
      </c>
      <c r="G100" s="511">
        <v>-0.1211</v>
      </c>
      <c r="H100" s="666">
        <v>1503</v>
      </c>
      <c r="I100" s="289">
        <v>7</v>
      </c>
      <c r="J100" s="555"/>
      <c r="K100" s="428">
        <v>13</v>
      </c>
      <c r="L100" s="554" t="s">
        <v>632</v>
      </c>
      <c r="M100" s="454">
        <v>313152.03999999998</v>
      </c>
      <c r="N100" s="454">
        <v>1.8440000000000001</v>
      </c>
      <c r="O100" s="424">
        <v>339203.98</v>
      </c>
      <c r="P100" s="424">
        <v>2.117</v>
      </c>
      <c r="Q100" s="422">
        <v>7.6999999999999999E-2</v>
      </c>
      <c r="R100" s="553"/>
      <c r="S100" s="454">
        <f t="shared" si="11"/>
        <v>0</v>
      </c>
      <c r="T100" s="410">
        <f t="shared" si="12"/>
        <v>0</v>
      </c>
      <c r="U100" s="345" t="str">
        <f t="shared" si="13"/>
        <v>PASS</v>
      </c>
    </row>
    <row r="101" spans="1:21">
      <c r="A101" s="198">
        <v>13</v>
      </c>
      <c r="B101" s="512" t="s">
        <v>632</v>
      </c>
      <c r="C101" s="287">
        <v>313152.03999999998</v>
      </c>
      <c r="D101" s="287">
        <v>1.84</v>
      </c>
      <c r="E101" s="509">
        <v>339203.98</v>
      </c>
      <c r="F101" s="509">
        <v>2.12</v>
      </c>
      <c r="G101" s="511">
        <v>-7.6799999999999993E-2</v>
      </c>
      <c r="H101" s="666">
        <v>558</v>
      </c>
      <c r="I101" s="289">
        <v>12</v>
      </c>
      <c r="J101" s="555"/>
      <c r="K101" s="428">
        <v>14</v>
      </c>
      <c r="L101" s="554" t="s">
        <v>663</v>
      </c>
      <c r="M101" s="454">
        <v>283468.28999999998</v>
      </c>
      <c r="N101" s="454">
        <v>1.669</v>
      </c>
      <c r="O101" s="424">
        <v>230207.67</v>
      </c>
      <c r="P101" s="424">
        <v>1.4370000000000001</v>
      </c>
      <c r="Q101" s="422">
        <v>-0.23100000000000001</v>
      </c>
      <c r="R101" s="556"/>
      <c r="S101" s="454">
        <f t="shared" si="11"/>
        <v>0</v>
      </c>
      <c r="T101" s="410">
        <f t="shared" si="12"/>
        <v>0</v>
      </c>
      <c r="U101" s="345" t="str">
        <f t="shared" si="13"/>
        <v>PASS</v>
      </c>
    </row>
    <row r="102" spans="1:21">
      <c r="A102" s="198">
        <v>14</v>
      </c>
      <c r="B102" s="512" t="s">
        <v>663</v>
      </c>
      <c r="C102" s="287">
        <v>283468.28999999998</v>
      </c>
      <c r="D102" s="287">
        <v>1.67</v>
      </c>
      <c r="E102" s="509">
        <v>230207.67</v>
      </c>
      <c r="F102" s="509">
        <v>1.44</v>
      </c>
      <c r="G102" s="511">
        <v>0.23139999999999999</v>
      </c>
      <c r="H102" s="666">
        <v>489</v>
      </c>
      <c r="I102" s="289">
        <v>17</v>
      </c>
      <c r="J102" s="555"/>
      <c r="K102" s="428">
        <v>15</v>
      </c>
      <c r="L102" s="554" t="s">
        <v>673</v>
      </c>
      <c r="M102" s="454">
        <v>280102.56</v>
      </c>
      <c r="N102" s="454">
        <v>1.649</v>
      </c>
      <c r="O102" s="424">
        <v>190231.75</v>
      </c>
      <c r="P102" s="424">
        <v>1.1870000000000001</v>
      </c>
      <c r="Q102" s="422">
        <v>-0.47199999999999998</v>
      </c>
      <c r="R102" s="556"/>
      <c r="S102" s="454">
        <f t="shared" si="11"/>
        <v>0</v>
      </c>
      <c r="T102" s="410">
        <f t="shared" si="12"/>
        <v>0</v>
      </c>
      <c r="U102" s="345" t="str">
        <f t="shared" si="13"/>
        <v>PASS</v>
      </c>
    </row>
    <row r="103" spans="1:21">
      <c r="A103" s="198">
        <v>15</v>
      </c>
      <c r="B103" s="512" t="s">
        <v>673</v>
      </c>
      <c r="C103" s="287">
        <v>280102.56</v>
      </c>
      <c r="D103" s="287">
        <v>1.65</v>
      </c>
      <c r="E103" s="509">
        <v>190231.75</v>
      </c>
      <c r="F103" s="509">
        <v>1.19</v>
      </c>
      <c r="G103" s="511">
        <v>0.47239999999999999</v>
      </c>
      <c r="H103" s="666">
        <v>352</v>
      </c>
      <c r="I103" s="289">
        <v>24</v>
      </c>
      <c r="J103" s="555"/>
      <c r="K103" s="428">
        <v>16</v>
      </c>
      <c r="L103" s="554" t="s">
        <v>662</v>
      </c>
      <c r="M103" s="454">
        <v>262475.61</v>
      </c>
      <c r="N103" s="454">
        <v>1.5449999999999999</v>
      </c>
      <c r="O103" s="424">
        <v>336357.68</v>
      </c>
      <c r="P103" s="424">
        <v>2.0990000000000002</v>
      </c>
      <c r="Q103" s="422">
        <v>0.22</v>
      </c>
      <c r="R103" s="553"/>
      <c r="S103" s="454">
        <f t="shared" si="11"/>
        <v>0</v>
      </c>
      <c r="T103" s="410">
        <f t="shared" si="12"/>
        <v>0</v>
      </c>
      <c r="U103" s="345" t="str">
        <f t="shared" si="13"/>
        <v>PASS</v>
      </c>
    </row>
    <row r="104" spans="1:21">
      <c r="A104" s="198">
        <v>16</v>
      </c>
      <c r="B104" s="230" t="s">
        <v>662</v>
      </c>
      <c r="C104" s="287">
        <v>262475.61</v>
      </c>
      <c r="D104" s="287">
        <v>1.55</v>
      </c>
      <c r="E104" s="509">
        <v>336357.68</v>
      </c>
      <c r="F104" s="509">
        <v>2.1</v>
      </c>
      <c r="G104" s="511">
        <v>-0.21970000000000001</v>
      </c>
      <c r="H104" s="666">
        <v>904</v>
      </c>
      <c r="I104" s="289">
        <v>13</v>
      </c>
      <c r="J104" s="555"/>
      <c r="K104" s="428">
        <v>17</v>
      </c>
      <c r="L104" s="554" t="s">
        <v>722</v>
      </c>
      <c r="M104" s="454">
        <v>259771.09</v>
      </c>
      <c r="N104" s="454">
        <v>1.5289999999999999</v>
      </c>
      <c r="O104" s="424">
        <v>206506.28</v>
      </c>
      <c r="P104" s="424">
        <v>1.2889999999999999</v>
      </c>
      <c r="Q104" s="422">
        <v>-0.25800000000000001</v>
      </c>
      <c r="R104" s="556"/>
      <c r="S104" s="454">
        <f t="shared" si="11"/>
        <v>0</v>
      </c>
      <c r="T104" s="410">
        <f t="shared" si="12"/>
        <v>0</v>
      </c>
      <c r="U104" s="345" t="str">
        <f t="shared" si="13"/>
        <v>PASS</v>
      </c>
    </row>
    <row r="105" spans="1:21">
      <c r="A105" s="198">
        <v>17</v>
      </c>
      <c r="B105" s="230" t="s">
        <v>722</v>
      </c>
      <c r="C105" s="287">
        <v>259771.09</v>
      </c>
      <c r="D105" s="287">
        <v>1.53</v>
      </c>
      <c r="E105" s="509">
        <v>206506.28</v>
      </c>
      <c r="F105" s="509">
        <v>1.29</v>
      </c>
      <c r="G105" s="510">
        <v>0.25790000000000002</v>
      </c>
      <c r="H105" s="667">
        <v>740</v>
      </c>
      <c r="I105" s="263">
        <v>21</v>
      </c>
      <c r="J105" s="555"/>
      <c r="K105" s="428">
        <v>18</v>
      </c>
      <c r="L105" s="554" t="s">
        <v>674</v>
      </c>
      <c r="M105" s="454">
        <v>258708.88</v>
      </c>
      <c r="N105" s="454">
        <v>1.5229999999999999</v>
      </c>
      <c r="O105" s="424">
        <v>239118.16</v>
      </c>
      <c r="P105" s="424">
        <v>1.492</v>
      </c>
      <c r="Q105" s="422">
        <v>-8.2000000000000003E-2</v>
      </c>
      <c r="R105" s="556"/>
      <c r="S105" s="454">
        <f t="shared" si="11"/>
        <v>0</v>
      </c>
      <c r="T105" s="410">
        <f t="shared" si="12"/>
        <v>0</v>
      </c>
      <c r="U105" s="345" t="str">
        <f t="shared" si="13"/>
        <v>PASS</v>
      </c>
    </row>
    <row r="106" spans="1:21">
      <c r="A106" s="198">
        <v>18</v>
      </c>
      <c r="B106" s="230" t="s">
        <v>674</v>
      </c>
      <c r="C106" s="287">
        <v>258708.88</v>
      </c>
      <c r="D106" s="287">
        <v>1.52</v>
      </c>
      <c r="E106" s="509">
        <v>239118.16</v>
      </c>
      <c r="F106" s="509">
        <v>1.49</v>
      </c>
      <c r="G106" s="508">
        <v>8.1900000000000001E-2</v>
      </c>
      <c r="H106" s="667">
        <v>2673</v>
      </c>
      <c r="I106" s="263">
        <v>16</v>
      </c>
      <c r="J106" s="555"/>
      <c r="K106" s="428">
        <v>19</v>
      </c>
      <c r="L106" s="554" t="s">
        <v>716</v>
      </c>
      <c r="M106" s="454">
        <v>242614.66</v>
      </c>
      <c r="N106" s="454">
        <v>1.4279999999999999</v>
      </c>
      <c r="O106" s="424">
        <v>209483.36</v>
      </c>
      <c r="P106" s="424">
        <v>1.3069999999999999</v>
      </c>
      <c r="Q106" s="422">
        <v>-0.158</v>
      </c>
      <c r="R106" s="556"/>
      <c r="S106" s="454">
        <f t="shared" si="11"/>
        <v>0</v>
      </c>
      <c r="T106" s="410">
        <f t="shared" si="12"/>
        <v>0</v>
      </c>
      <c r="U106" s="345" t="str">
        <f t="shared" si="13"/>
        <v>PASS</v>
      </c>
    </row>
    <row r="107" spans="1:21">
      <c r="A107" s="198">
        <v>19</v>
      </c>
      <c r="B107" s="198" t="s">
        <v>716</v>
      </c>
      <c r="C107" s="268">
        <v>242614.66</v>
      </c>
      <c r="D107" s="268">
        <v>1.43</v>
      </c>
      <c r="E107" s="269">
        <v>209483.36</v>
      </c>
      <c r="F107" s="269">
        <v>1.31</v>
      </c>
      <c r="G107" s="508">
        <v>0.15820000000000001</v>
      </c>
      <c r="H107" s="667">
        <v>707</v>
      </c>
      <c r="I107" s="263">
        <v>19</v>
      </c>
      <c r="J107" s="555"/>
      <c r="K107" s="428">
        <v>20</v>
      </c>
      <c r="L107" s="554" t="s">
        <v>689</v>
      </c>
      <c r="M107" s="454">
        <v>240610.44</v>
      </c>
      <c r="N107" s="454">
        <v>1.4159999999999999</v>
      </c>
      <c r="O107" s="424">
        <v>228954.06</v>
      </c>
      <c r="P107" s="424">
        <v>1.429</v>
      </c>
      <c r="Q107" s="422">
        <v>-5.0999999999999997E-2</v>
      </c>
      <c r="R107" s="553"/>
      <c r="S107" s="454">
        <f t="shared" si="11"/>
        <v>0</v>
      </c>
      <c r="T107" s="410">
        <f t="shared" si="12"/>
        <v>0</v>
      </c>
      <c r="U107" s="345" t="str">
        <f t="shared" si="13"/>
        <v>PASS</v>
      </c>
    </row>
    <row r="108" spans="1:21" s="1" customFormat="1">
      <c r="A108" s="198">
        <v>20</v>
      </c>
      <c r="B108" s="198" t="s">
        <v>689</v>
      </c>
      <c r="C108" s="268">
        <v>240610.44</v>
      </c>
      <c r="D108" s="268">
        <v>1.42</v>
      </c>
      <c r="E108" s="269">
        <v>228954.06</v>
      </c>
      <c r="F108" s="269">
        <v>1.43</v>
      </c>
      <c r="G108" s="508">
        <v>5.0900000000000001E-2</v>
      </c>
      <c r="H108" s="667">
        <v>438</v>
      </c>
      <c r="I108" s="263">
        <v>18</v>
      </c>
      <c r="J108" s="552"/>
      <c r="K108" s="464"/>
      <c r="L108" s="381" t="s">
        <v>338</v>
      </c>
      <c r="M108" s="466">
        <f>M109-SUM(M88:M107)</f>
        <v>260620.96000000089</v>
      </c>
      <c r="N108" s="463"/>
      <c r="O108" s="466">
        <f>O109-SUM(O88:O107)</f>
        <v>2117607.6600000039</v>
      </c>
      <c r="P108" s="463"/>
      <c r="Q108" s="422"/>
      <c r="R108" s="253"/>
      <c r="S108" s="454">
        <f t="shared" si="11"/>
        <v>-3265998.5399999991</v>
      </c>
      <c r="T108" s="410">
        <f t="shared" si="12"/>
        <v>-913230.77999999607</v>
      </c>
      <c r="U108" s="345" t="str">
        <f t="shared" si="13"/>
        <v>FAIL</v>
      </c>
    </row>
    <row r="109" spans="1:21" s="1" customFormat="1">
      <c r="A109" s="198"/>
      <c r="B109" s="198" t="s">
        <v>711</v>
      </c>
      <c r="C109" s="268">
        <v>3526619.5</v>
      </c>
      <c r="D109" s="268"/>
      <c r="E109" s="269">
        <v>3030838.44</v>
      </c>
      <c r="F109" s="269"/>
      <c r="G109" s="508">
        <v>0.1636</v>
      </c>
      <c r="H109" s="263"/>
      <c r="I109" s="270"/>
      <c r="J109" s="551"/>
      <c r="K109" s="464"/>
      <c r="L109" s="381" t="s">
        <v>339</v>
      </c>
      <c r="M109" s="407">
        <f>SP_Data!L22</f>
        <v>14494636.689999999</v>
      </c>
      <c r="N109" s="463"/>
      <c r="O109" s="407">
        <f>SP_Data!M22</f>
        <v>14273024.300000001</v>
      </c>
      <c r="P109" s="463"/>
      <c r="Q109" s="462"/>
      <c r="R109" s="253"/>
      <c r="S109" s="454">
        <f t="shared" si="11"/>
        <v>-3265998.540000001</v>
      </c>
      <c r="T109" s="410">
        <f t="shared" si="12"/>
        <v>-913230.78999999911</v>
      </c>
      <c r="U109" s="345" t="str">
        <f t="shared" si="13"/>
        <v>FAIL</v>
      </c>
    </row>
    <row r="110" spans="1:21" s="1" customFormat="1">
      <c r="A110" s="198"/>
      <c r="B110" s="198" t="s">
        <v>35</v>
      </c>
      <c r="C110" s="268">
        <v>17760635.23</v>
      </c>
      <c r="D110" s="268"/>
      <c r="E110" s="269">
        <v>15186255.09</v>
      </c>
      <c r="F110" s="269"/>
      <c r="G110" s="198"/>
      <c r="H110" s="263"/>
      <c r="I110" s="270"/>
      <c r="J110" s="550"/>
      <c r="K110" s="464"/>
      <c r="L110" s="381" t="s">
        <v>340</v>
      </c>
      <c r="M110" s="409">
        <f>[1]SP_Data!G32</f>
        <v>103.77</v>
      </c>
      <c r="N110" s="463"/>
      <c r="O110" s="409">
        <f>[1]SP_Data!H32</f>
        <v>88.6</v>
      </c>
      <c r="P110" s="463"/>
      <c r="Q110" s="462"/>
      <c r="R110" s="253"/>
      <c r="S110" s="454">
        <f t="shared" si="11"/>
        <v>-0.79000000000000625</v>
      </c>
      <c r="T110" s="410">
        <f t="shared" si="12"/>
        <v>-6.1600000000000108</v>
      </c>
      <c r="U110" s="345" t="str">
        <f t="shared" si="13"/>
        <v>FAIL</v>
      </c>
    </row>
    <row r="111" spans="1:21">
      <c r="A111" s="198"/>
      <c r="B111" s="198" t="s">
        <v>434</v>
      </c>
      <c r="C111" s="268">
        <v>104.56</v>
      </c>
      <c r="D111" s="268"/>
      <c r="E111" s="269">
        <v>94.76</v>
      </c>
      <c r="F111" s="269"/>
      <c r="G111" s="198"/>
      <c r="H111" s="263"/>
      <c r="I111" s="270"/>
    </row>
    <row r="112" spans="1:21" ht="15" customHeight="1">
      <c r="J112" s="691"/>
      <c r="K112" s="691"/>
      <c r="L112" s="691"/>
      <c r="M112" s="691"/>
      <c r="N112" s="691"/>
      <c r="O112" s="691"/>
      <c r="P112" s="691"/>
      <c r="Q112" s="691"/>
      <c r="R112" s="691"/>
      <c r="S112" s="691"/>
      <c r="T112" s="691"/>
      <c r="U112" s="692"/>
    </row>
    <row r="113" spans="1:21">
      <c r="A113" s="691"/>
      <c r="B113" s="691"/>
      <c r="C113" s="691"/>
      <c r="D113" s="691"/>
      <c r="E113" s="691"/>
      <c r="F113" s="691"/>
      <c r="G113" s="691"/>
      <c r="H113" s="691"/>
      <c r="I113" s="691"/>
      <c r="J113" s="693"/>
      <c r="K113" s="694"/>
      <c r="L113" s="225"/>
      <c r="M113" s="763"/>
      <c r="N113" s="763"/>
      <c r="O113" s="763"/>
      <c r="P113" s="763"/>
      <c r="Q113" s="763"/>
      <c r="R113" s="763"/>
      <c r="S113" s="763"/>
    </row>
    <row r="114" spans="1:21" ht="25.5">
      <c r="A114" s="694"/>
      <c r="B114" s="694"/>
      <c r="C114" s="694"/>
      <c r="D114" s="694"/>
      <c r="E114" s="694"/>
      <c r="F114" s="694"/>
      <c r="G114" s="694"/>
      <c r="H114" s="694"/>
      <c r="I114" s="694"/>
      <c r="J114" s="320"/>
      <c r="K114" s="260" t="s">
        <v>32</v>
      </c>
      <c r="L114" s="696" t="s">
        <v>345</v>
      </c>
      <c r="M114" s="696" t="s">
        <v>346</v>
      </c>
      <c r="N114" s="696" t="s">
        <v>23</v>
      </c>
      <c r="O114" s="696" t="s">
        <v>347</v>
      </c>
      <c r="P114" s="696" t="s">
        <v>353</v>
      </c>
      <c r="Q114" s="220" t="s">
        <v>22</v>
      </c>
      <c r="R114" s="696" t="s">
        <v>21</v>
      </c>
      <c r="S114" s="208" t="s">
        <v>390</v>
      </c>
      <c r="T114" s="208" t="s">
        <v>391</v>
      </c>
      <c r="U114" s="696" t="s">
        <v>29</v>
      </c>
    </row>
    <row r="115" spans="1:21" ht="25.5">
      <c r="A115" s="696" t="s">
        <v>32</v>
      </c>
      <c r="B115" s="696" t="s">
        <v>345</v>
      </c>
      <c r="C115" s="696" t="s">
        <v>346</v>
      </c>
      <c r="D115" s="696" t="s">
        <v>23</v>
      </c>
      <c r="E115" s="267" t="s">
        <v>347</v>
      </c>
      <c r="F115" s="267" t="s">
        <v>353</v>
      </c>
      <c r="G115" s="696" t="s">
        <v>22</v>
      </c>
      <c r="H115" s="219" t="s">
        <v>21</v>
      </c>
      <c r="I115" s="696" t="s">
        <v>337</v>
      </c>
      <c r="J115" s="655"/>
      <c r="K115" s="234">
        <v>2</v>
      </c>
      <c r="L115" s="187" t="s">
        <v>636</v>
      </c>
      <c r="M115" s="236"/>
      <c r="N115" s="236">
        <v>596927.82999999996</v>
      </c>
      <c r="O115" s="236"/>
      <c r="P115" s="237"/>
      <c r="Q115" s="236">
        <v>432236.58</v>
      </c>
      <c r="R115" s="375">
        <v>-0.996</v>
      </c>
      <c r="S115" s="236">
        <f t="shared" ref="S115:S137" si="14">N115-D116</f>
        <v>0</v>
      </c>
      <c r="T115" s="186">
        <f t="shared" ref="T115:T137" si="15">G116-Q115</f>
        <v>0</v>
      </c>
      <c r="U115" s="345" t="str">
        <f t="shared" ref="U115:U137" si="16">IF(AND(ROUNDDOWN(S115,0)=0,ROUNDDOWN(T115,0)=0),"PASS","FAIL")</f>
        <v>PASS</v>
      </c>
    </row>
    <row r="116" spans="1:21">
      <c r="A116" s="499">
        <v>1</v>
      </c>
      <c r="B116" s="498" t="s">
        <v>636</v>
      </c>
      <c r="C116" s="497" t="s">
        <v>690</v>
      </c>
      <c r="D116" s="486">
        <v>596927.82999999996</v>
      </c>
      <c r="E116" s="496">
        <v>202</v>
      </c>
      <c r="F116" s="496">
        <v>27</v>
      </c>
      <c r="G116" s="485">
        <v>432236.58</v>
      </c>
      <c r="H116" s="484">
        <v>0.38100000000000001</v>
      </c>
      <c r="I116" s="495">
        <v>2</v>
      </c>
      <c r="J116" s="655"/>
      <c r="K116" s="234">
        <v>3</v>
      </c>
      <c r="L116" s="187" t="s">
        <v>637</v>
      </c>
      <c r="M116" s="236"/>
      <c r="N116" s="236">
        <v>485684.11</v>
      </c>
      <c r="O116" s="236"/>
      <c r="P116" s="237"/>
      <c r="Q116" s="236">
        <v>466604.5</v>
      </c>
      <c r="R116" s="375">
        <v>-0.38100000000000001</v>
      </c>
      <c r="S116" s="236">
        <f t="shared" si="14"/>
        <v>0</v>
      </c>
      <c r="T116" s="186">
        <f t="shared" si="15"/>
        <v>0</v>
      </c>
      <c r="U116" s="345" t="str">
        <f t="shared" si="16"/>
        <v>PASS</v>
      </c>
    </row>
    <row r="117" spans="1:21">
      <c r="A117" s="504">
        <v>2</v>
      </c>
      <c r="B117" s="503" t="s">
        <v>637</v>
      </c>
      <c r="C117" s="502" t="s">
        <v>690</v>
      </c>
      <c r="D117" s="493">
        <v>485684.11</v>
      </c>
      <c r="E117" s="501">
        <v>174</v>
      </c>
      <c r="F117" s="501">
        <v>22</v>
      </c>
      <c r="G117" s="492">
        <v>466604.5</v>
      </c>
      <c r="H117" s="491">
        <v>4.0899999999999999E-2</v>
      </c>
      <c r="I117" s="500">
        <v>1</v>
      </c>
      <c r="J117" s="655"/>
      <c r="K117" s="234">
        <v>4</v>
      </c>
      <c r="L117" s="187" t="s">
        <v>664</v>
      </c>
      <c r="M117" s="236"/>
      <c r="N117" s="236">
        <v>441005.12</v>
      </c>
      <c r="O117" s="236"/>
      <c r="P117" s="237"/>
      <c r="Q117" s="236">
        <v>275776.3</v>
      </c>
      <c r="R117" s="375">
        <v>-4.1000000000000002E-2</v>
      </c>
      <c r="S117" s="236">
        <f t="shared" si="14"/>
        <v>0</v>
      </c>
      <c r="T117" s="186">
        <f t="shared" si="15"/>
        <v>0</v>
      </c>
      <c r="U117" s="345" t="str">
        <f t="shared" si="16"/>
        <v>PASS</v>
      </c>
    </row>
    <row r="118" spans="1:21" ht="13.5" customHeight="1">
      <c r="A118" s="499">
        <v>3</v>
      </c>
      <c r="B118" s="498" t="s">
        <v>664</v>
      </c>
      <c r="C118" s="497" t="s">
        <v>690</v>
      </c>
      <c r="D118" s="486">
        <v>441005.12</v>
      </c>
      <c r="E118" s="496">
        <v>13</v>
      </c>
      <c r="F118" s="496">
        <v>1</v>
      </c>
      <c r="G118" s="485">
        <v>275776.3</v>
      </c>
      <c r="H118" s="484">
        <v>0.59909999999999997</v>
      </c>
      <c r="I118" s="495">
        <v>5</v>
      </c>
      <c r="J118" s="655"/>
      <c r="K118" s="234">
        <v>5</v>
      </c>
      <c r="L118" s="187" t="s">
        <v>635</v>
      </c>
      <c r="M118" s="236"/>
      <c r="N118" s="236">
        <v>354810.14</v>
      </c>
      <c r="O118" s="236"/>
      <c r="P118" s="237"/>
      <c r="Q118" s="236">
        <v>252607.4</v>
      </c>
      <c r="R118" s="375">
        <v>-0.59899999999999998</v>
      </c>
      <c r="S118" s="236">
        <f t="shared" si="14"/>
        <v>0</v>
      </c>
      <c r="T118" s="186">
        <f t="shared" si="15"/>
        <v>0</v>
      </c>
      <c r="U118" s="345" t="str">
        <f t="shared" si="16"/>
        <v>PASS</v>
      </c>
    </row>
    <row r="119" spans="1:21">
      <c r="A119" s="504">
        <v>4</v>
      </c>
      <c r="B119" s="503" t="s">
        <v>635</v>
      </c>
      <c r="C119" s="502" t="s">
        <v>690</v>
      </c>
      <c r="D119" s="493">
        <v>354810.14</v>
      </c>
      <c r="E119" s="506">
        <v>551</v>
      </c>
      <c r="F119" s="501">
        <v>126</v>
      </c>
      <c r="G119" s="492">
        <v>252607.4</v>
      </c>
      <c r="H119" s="491">
        <v>0.40460000000000002</v>
      </c>
      <c r="I119" s="500">
        <v>6</v>
      </c>
      <c r="J119" s="655"/>
      <c r="K119" s="234">
        <v>6</v>
      </c>
      <c r="L119" s="187" t="s">
        <v>641</v>
      </c>
      <c r="M119" s="236"/>
      <c r="N119" s="236">
        <v>331825.68</v>
      </c>
      <c r="O119" s="236"/>
      <c r="P119" s="237"/>
      <c r="Q119" s="236">
        <v>323253.45</v>
      </c>
      <c r="R119" s="375">
        <v>-0.40500000000000003</v>
      </c>
      <c r="S119" s="236">
        <f t="shared" si="14"/>
        <v>0</v>
      </c>
      <c r="T119" s="186">
        <f t="shared" si="15"/>
        <v>0</v>
      </c>
      <c r="U119" s="345" t="str">
        <f t="shared" si="16"/>
        <v>PASS</v>
      </c>
    </row>
    <row r="120" spans="1:21" ht="12.75" customHeight="1">
      <c r="A120" s="499">
        <v>5</v>
      </c>
      <c r="B120" s="498" t="s">
        <v>641</v>
      </c>
      <c r="C120" s="497" t="s">
        <v>690</v>
      </c>
      <c r="D120" s="486">
        <v>331825.68</v>
      </c>
      <c r="E120" s="496">
        <v>883</v>
      </c>
      <c r="F120" s="496">
        <v>277</v>
      </c>
      <c r="G120" s="485">
        <v>323253.45</v>
      </c>
      <c r="H120" s="484">
        <v>2.6499999999999999E-2</v>
      </c>
      <c r="I120" s="495">
        <v>3</v>
      </c>
      <c r="J120" s="655"/>
      <c r="K120" s="234">
        <v>7</v>
      </c>
      <c r="L120" s="187" t="s">
        <v>665</v>
      </c>
      <c r="M120" s="236"/>
      <c r="N120" s="236">
        <v>315583</v>
      </c>
      <c r="O120" s="236"/>
      <c r="P120" s="237"/>
      <c r="Q120" s="236">
        <v>28678</v>
      </c>
      <c r="R120" s="375">
        <v>-2.7E-2</v>
      </c>
      <c r="S120" s="236">
        <f t="shared" si="14"/>
        <v>0</v>
      </c>
      <c r="T120" s="186">
        <f t="shared" si="15"/>
        <v>0</v>
      </c>
      <c r="U120" s="345" t="str">
        <f t="shared" si="16"/>
        <v>PASS</v>
      </c>
    </row>
    <row r="121" spans="1:21">
      <c r="A121" s="504">
        <v>6</v>
      </c>
      <c r="B121" s="503" t="s">
        <v>665</v>
      </c>
      <c r="C121" s="502" t="s">
        <v>690</v>
      </c>
      <c r="D121" s="493">
        <v>315583</v>
      </c>
      <c r="E121" s="501">
        <v>11</v>
      </c>
      <c r="F121" s="501">
        <v>4</v>
      </c>
      <c r="G121" s="492">
        <v>28678</v>
      </c>
      <c r="H121" s="491">
        <v>10.0044</v>
      </c>
      <c r="I121" s="500">
        <v>117</v>
      </c>
      <c r="J121" s="655"/>
      <c r="K121" s="234">
        <v>8</v>
      </c>
      <c r="L121" s="187" t="s">
        <v>634</v>
      </c>
      <c r="M121" s="236"/>
      <c r="N121" s="236">
        <v>279677.94</v>
      </c>
      <c r="O121" s="236"/>
      <c r="P121" s="237"/>
      <c r="Q121" s="236">
        <v>302748.78000000003</v>
      </c>
      <c r="R121" s="375">
        <v>-10.004</v>
      </c>
      <c r="S121" s="236">
        <f t="shared" si="14"/>
        <v>0</v>
      </c>
      <c r="T121" s="186">
        <f t="shared" si="15"/>
        <v>0</v>
      </c>
      <c r="U121" s="345" t="str">
        <f t="shared" si="16"/>
        <v>PASS</v>
      </c>
    </row>
    <row r="122" spans="1:21">
      <c r="A122" s="499">
        <v>7</v>
      </c>
      <c r="B122" s="498" t="s">
        <v>634</v>
      </c>
      <c r="C122" s="497" t="s">
        <v>690</v>
      </c>
      <c r="D122" s="486">
        <v>279677.94</v>
      </c>
      <c r="E122" s="496">
        <v>588</v>
      </c>
      <c r="F122" s="496">
        <v>171</v>
      </c>
      <c r="G122" s="485">
        <v>302748.78000000003</v>
      </c>
      <c r="H122" s="484">
        <v>-7.6200000000000004E-2</v>
      </c>
      <c r="I122" s="495">
        <v>4</v>
      </c>
      <c r="J122" s="655"/>
      <c r="K122" s="234">
        <v>9</v>
      </c>
      <c r="L122" s="187" t="s">
        <v>670</v>
      </c>
      <c r="M122" s="236"/>
      <c r="N122" s="236">
        <v>196578.84</v>
      </c>
      <c r="O122" s="236"/>
      <c r="P122" s="237"/>
      <c r="Q122" s="236">
        <v>57911.3</v>
      </c>
      <c r="R122" s="375">
        <v>7.5999999999999998E-2</v>
      </c>
      <c r="S122" s="236">
        <f t="shared" si="14"/>
        <v>0</v>
      </c>
      <c r="T122" s="186">
        <f t="shared" si="15"/>
        <v>0</v>
      </c>
      <c r="U122" s="345" t="str">
        <f t="shared" si="16"/>
        <v>PASS</v>
      </c>
    </row>
    <row r="123" spans="1:21">
      <c r="A123" s="504">
        <v>8</v>
      </c>
      <c r="B123" s="503" t="s">
        <v>670</v>
      </c>
      <c r="C123" s="502" t="s">
        <v>727</v>
      </c>
      <c r="D123" s="493">
        <v>196578.84</v>
      </c>
      <c r="E123" s="501">
        <v>441</v>
      </c>
      <c r="F123" s="501">
        <v>132</v>
      </c>
      <c r="G123" s="492">
        <v>57911.3</v>
      </c>
      <c r="H123" s="491">
        <v>2.3944999999999999</v>
      </c>
      <c r="I123" s="500">
        <v>51</v>
      </c>
      <c r="J123" s="655"/>
      <c r="K123" s="234">
        <v>10</v>
      </c>
      <c r="L123" s="187" t="s">
        <v>639</v>
      </c>
      <c r="M123" s="236"/>
      <c r="N123" s="236">
        <v>180655.18</v>
      </c>
      <c r="O123" s="236"/>
      <c r="P123" s="237"/>
      <c r="Q123" s="236">
        <v>212153.95</v>
      </c>
      <c r="R123" s="375">
        <v>-2.3940000000000001</v>
      </c>
      <c r="S123" s="236">
        <f t="shared" si="14"/>
        <v>0</v>
      </c>
      <c r="T123" s="186">
        <f t="shared" si="15"/>
        <v>0</v>
      </c>
      <c r="U123" s="345" t="str">
        <f t="shared" si="16"/>
        <v>PASS</v>
      </c>
    </row>
    <row r="124" spans="1:21">
      <c r="A124" s="499">
        <v>9</v>
      </c>
      <c r="B124" s="498" t="s">
        <v>639</v>
      </c>
      <c r="C124" s="497" t="s">
        <v>690</v>
      </c>
      <c r="D124" s="486">
        <v>180655.18</v>
      </c>
      <c r="E124" s="496">
        <v>251</v>
      </c>
      <c r="F124" s="496">
        <v>59</v>
      </c>
      <c r="G124" s="485">
        <v>212153.95</v>
      </c>
      <c r="H124" s="484">
        <v>-0.14849999999999999</v>
      </c>
      <c r="I124" s="495">
        <v>7</v>
      </c>
      <c r="J124" s="655"/>
      <c r="K124" s="234">
        <v>11</v>
      </c>
      <c r="L124" s="187" t="s">
        <v>638</v>
      </c>
      <c r="M124" s="236"/>
      <c r="N124" s="236">
        <v>169804.91</v>
      </c>
      <c r="O124" s="236"/>
      <c r="P124" s="237"/>
      <c r="Q124" s="236">
        <v>171871.93</v>
      </c>
      <c r="R124" s="375">
        <v>0.14799999999999999</v>
      </c>
      <c r="S124" s="236">
        <f t="shared" si="14"/>
        <v>0</v>
      </c>
      <c r="T124" s="186">
        <f t="shared" si="15"/>
        <v>0</v>
      </c>
      <c r="U124" s="345" t="str">
        <f t="shared" si="16"/>
        <v>PASS</v>
      </c>
    </row>
    <row r="125" spans="1:21">
      <c r="A125" s="504">
        <v>10</v>
      </c>
      <c r="B125" s="503" t="s">
        <v>638</v>
      </c>
      <c r="C125" s="502" t="s">
        <v>690</v>
      </c>
      <c r="D125" s="493">
        <v>169804.91</v>
      </c>
      <c r="E125" s="501">
        <v>430</v>
      </c>
      <c r="F125" s="501">
        <v>155</v>
      </c>
      <c r="G125" s="492">
        <v>171871.93</v>
      </c>
      <c r="H125" s="491">
        <v>-1.2E-2</v>
      </c>
      <c r="I125" s="500">
        <v>9</v>
      </c>
      <c r="J125" s="655"/>
      <c r="K125" s="234">
        <v>12</v>
      </c>
      <c r="L125" s="187" t="s">
        <v>675</v>
      </c>
      <c r="M125" s="236"/>
      <c r="N125" s="236">
        <v>168380.09</v>
      </c>
      <c r="O125" s="236"/>
      <c r="P125" s="237"/>
      <c r="Q125" s="236">
        <v>65460.9</v>
      </c>
      <c r="R125" s="375">
        <v>1.2E-2</v>
      </c>
      <c r="S125" s="236">
        <f t="shared" si="14"/>
        <v>0</v>
      </c>
      <c r="T125" s="186">
        <f t="shared" si="15"/>
        <v>0</v>
      </c>
      <c r="U125" s="345" t="str">
        <f t="shared" si="16"/>
        <v>PASS</v>
      </c>
    </row>
    <row r="126" spans="1:21">
      <c r="A126" s="499">
        <v>11</v>
      </c>
      <c r="B126" s="498" t="s">
        <v>675</v>
      </c>
      <c r="C126" s="497" t="s">
        <v>690</v>
      </c>
      <c r="D126" s="486">
        <v>168380.09</v>
      </c>
      <c r="E126" s="496">
        <v>18</v>
      </c>
      <c r="F126" s="496">
        <v>4</v>
      </c>
      <c r="G126" s="485">
        <v>65460.9</v>
      </c>
      <c r="H126" s="484">
        <v>1.5722</v>
      </c>
      <c r="I126" s="495">
        <v>46</v>
      </c>
      <c r="J126" s="655"/>
      <c r="K126" s="234">
        <v>13</v>
      </c>
      <c r="L126" s="187" t="s">
        <v>676</v>
      </c>
      <c r="M126" s="236"/>
      <c r="N126" s="236">
        <v>157515.03</v>
      </c>
      <c r="O126" s="236"/>
      <c r="P126" s="237"/>
      <c r="Q126" s="236">
        <v>132365.89000000001</v>
      </c>
      <c r="R126" s="375">
        <v>-1.5720000000000001</v>
      </c>
      <c r="S126" s="236">
        <f t="shared" si="14"/>
        <v>0</v>
      </c>
      <c r="T126" s="186">
        <f t="shared" si="15"/>
        <v>0</v>
      </c>
      <c r="U126" s="345" t="str">
        <f t="shared" si="16"/>
        <v>PASS</v>
      </c>
    </row>
    <row r="127" spans="1:21" ht="12.75" customHeight="1">
      <c r="A127" s="504">
        <v>12</v>
      </c>
      <c r="B127" s="503" t="s">
        <v>676</v>
      </c>
      <c r="C127" s="502" t="s">
        <v>690</v>
      </c>
      <c r="D127" s="493">
        <v>157515.03</v>
      </c>
      <c r="E127" s="501">
        <v>97</v>
      </c>
      <c r="F127" s="501">
        <v>29</v>
      </c>
      <c r="G127" s="492">
        <v>132365.89000000001</v>
      </c>
      <c r="H127" s="491">
        <v>0.19</v>
      </c>
      <c r="I127" s="500">
        <v>16</v>
      </c>
      <c r="J127" s="655"/>
      <c r="K127" s="234">
        <v>14</v>
      </c>
      <c r="L127" s="187" t="s">
        <v>640</v>
      </c>
      <c r="M127" s="236"/>
      <c r="N127" s="236">
        <v>147124.78</v>
      </c>
      <c r="O127" s="236"/>
      <c r="P127" s="237"/>
      <c r="Q127" s="236">
        <v>151298.43</v>
      </c>
      <c r="R127" s="375">
        <v>-0.19</v>
      </c>
      <c r="S127" s="236">
        <f t="shared" si="14"/>
        <v>0</v>
      </c>
      <c r="T127" s="186">
        <f t="shared" si="15"/>
        <v>0</v>
      </c>
      <c r="U127" s="345" t="str">
        <f t="shared" si="16"/>
        <v>PASS</v>
      </c>
    </row>
    <row r="128" spans="1:21" ht="12.75" customHeight="1">
      <c r="A128" s="499">
        <v>13</v>
      </c>
      <c r="B128" s="498" t="s">
        <v>640</v>
      </c>
      <c r="C128" s="497" t="s">
        <v>690</v>
      </c>
      <c r="D128" s="486">
        <v>147124.78</v>
      </c>
      <c r="E128" s="496">
        <v>29</v>
      </c>
      <c r="F128" s="496">
        <v>3</v>
      </c>
      <c r="G128" s="485">
        <v>151298.43</v>
      </c>
      <c r="H128" s="484">
        <v>-2.76E-2</v>
      </c>
      <c r="I128" s="495">
        <v>13</v>
      </c>
      <c r="J128" s="655"/>
      <c r="K128" s="234">
        <v>15</v>
      </c>
      <c r="L128" s="187" t="s">
        <v>671</v>
      </c>
      <c r="M128" s="236"/>
      <c r="N128" s="236">
        <v>144852.43</v>
      </c>
      <c r="O128" s="236"/>
      <c r="P128" s="237"/>
      <c r="Q128" s="236">
        <v>113206.62</v>
      </c>
      <c r="R128" s="375">
        <v>2.8000000000000001E-2</v>
      </c>
      <c r="S128" s="236">
        <f t="shared" si="14"/>
        <v>0</v>
      </c>
      <c r="T128" s="186">
        <f t="shared" si="15"/>
        <v>0</v>
      </c>
      <c r="U128" s="345" t="str">
        <f t="shared" si="16"/>
        <v>PASS</v>
      </c>
    </row>
    <row r="129" spans="1:21" ht="13.5" customHeight="1">
      <c r="A129" s="504">
        <v>14</v>
      </c>
      <c r="B129" s="503" t="s">
        <v>671</v>
      </c>
      <c r="C129" s="502" t="s">
        <v>690</v>
      </c>
      <c r="D129" s="493">
        <v>144852.43</v>
      </c>
      <c r="E129" s="501">
        <v>45</v>
      </c>
      <c r="F129" s="501">
        <v>7</v>
      </c>
      <c r="G129" s="492">
        <v>113206.62</v>
      </c>
      <c r="H129" s="491">
        <v>0.27950000000000003</v>
      </c>
      <c r="I129" s="500">
        <v>20</v>
      </c>
      <c r="J129" s="655"/>
      <c r="K129" s="234">
        <v>16</v>
      </c>
      <c r="L129" s="187" t="s">
        <v>692</v>
      </c>
      <c r="M129" s="236"/>
      <c r="N129" s="236">
        <v>143022.26999999999</v>
      </c>
      <c r="O129" s="236"/>
      <c r="P129" s="237"/>
      <c r="Q129" s="236">
        <v>109307.14</v>
      </c>
      <c r="R129" s="375">
        <v>-0.28000000000000003</v>
      </c>
      <c r="S129" s="236">
        <f t="shared" si="14"/>
        <v>0</v>
      </c>
      <c r="T129" s="186">
        <f t="shared" si="15"/>
        <v>0</v>
      </c>
      <c r="U129" s="345" t="str">
        <f t="shared" si="16"/>
        <v>PASS</v>
      </c>
    </row>
    <row r="130" spans="1:21" ht="12.75" customHeight="1">
      <c r="A130" s="499">
        <v>15</v>
      </c>
      <c r="B130" s="498" t="s">
        <v>692</v>
      </c>
      <c r="C130" s="497" t="s">
        <v>690</v>
      </c>
      <c r="D130" s="486">
        <v>143022.26999999999</v>
      </c>
      <c r="E130" s="505">
        <v>226</v>
      </c>
      <c r="F130" s="496">
        <v>62</v>
      </c>
      <c r="G130" s="485">
        <v>109307.14</v>
      </c>
      <c r="H130" s="484">
        <v>0.30840000000000001</v>
      </c>
      <c r="I130" s="495">
        <v>22</v>
      </c>
      <c r="J130" s="655"/>
      <c r="K130" s="234">
        <v>17</v>
      </c>
      <c r="L130" s="187" t="s">
        <v>740</v>
      </c>
      <c r="M130" s="236"/>
      <c r="N130" s="236">
        <v>140400.35999999999</v>
      </c>
      <c r="O130" s="236"/>
      <c r="P130" s="237"/>
      <c r="Q130" s="236">
        <v>12028.92</v>
      </c>
      <c r="R130" s="375">
        <v>-0.308</v>
      </c>
      <c r="S130" s="236">
        <f t="shared" si="14"/>
        <v>0</v>
      </c>
      <c r="T130" s="186">
        <f t="shared" si="15"/>
        <v>0</v>
      </c>
      <c r="U130" s="345" t="str">
        <f t="shared" si="16"/>
        <v>PASS</v>
      </c>
    </row>
    <row r="131" spans="1:21" ht="12.75" customHeight="1">
      <c r="A131" s="504">
        <v>16</v>
      </c>
      <c r="B131" s="503" t="s">
        <v>740</v>
      </c>
      <c r="C131" s="502" t="s">
        <v>690</v>
      </c>
      <c r="D131" s="493">
        <v>140400.35999999999</v>
      </c>
      <c r="E131" s="501">
        <v>11</v>
      </c>
      <c r="F131" s="501">
        <v>2</v>
      </c>
      <c r="G131" s="492">
        <v>12028.92</v>
      </c>
      <c r="H131" s="491">
        <v>10.671900000000001</v>
      </c>
      <c r="I131" s="500">
        <v>245</v>
      </c>
      <c r="J131" s="655"/>
      <c r="K131" s="234">
        <v>18</v>
      </c>
      <c r="L131" s="187" t="s">
        <v>691</v>
      </c>
      <c r="M131" s="236"/>
      <c r="N131" s="236">
        <v>134958.51999999999</v>
      </c>
      <c r="O131" s="236"/>
      <c r="P131" s="237"/>
      <c r="Q131" s="236">
        <v>125159.23</v>
      </c>
      <c r="R131" s="375">
        <v>-10.672000000000001</v>
      </c>
      <c r="S131" s="236">
        <f t="shared" si="14"/>
        <v>0</v>
      </c>
      <c r="T131" s="186">
        <f t="shared" si="15"/>
        <v>0</v>
      </c>
      <c r="U131" s="345" t="str">
        <f t="shared" si="16"/>
        <v>PASS</v>
      </c>
    </row>
    <row r="132" spans="1:21" ht="12.75" customHeight="1">
      <c r="A132" s="499">
        <v>17</v>
      </c>
      <c r="B132" s="498" t="s">
        <v>691</v>
      </c>
      <c r="C132" s="497" t="s">
        <v>690</v>
      </c>
      <c r="D132" s="486">
        <v>134958.51999999999</v>
      </c>
      <c r="E132" s="496">
        <v>300</v>
      </c>
      <c r="F132" s="496">
        <v>52</v>
      </c>
      <c r="G132" s="485">
        <v>125159.23</v>
      </c>
      <c r="H132" s="484">
        <v>7.8299999999999995E-2</v>
      </c>
      <c r="I132" s="495">
        <v>17</v>
      </c>
      <c r="J132" s="655"/>
      <c r="K132" s="234">
        <v>19</v>
      </c>
      <c r="L132" s="187" t="s">
        <v>717</v>
      </c>
      <c r="M132" s="236"/>
      <c r="N132" s="236">
        <v>133491.87</v>
      </c>
      <c r="O132" s="236"/>
      <c r="P132" s="237"/>
      <c r="Q132" s="236">
        <v>104835.86</v>
      </c>
      <c r="R132" s="375">
        <v>-7.8E-2</v>
      </c>
      <c r="S132" s="236">
        <f t="shared" si="14"/>
        <v>0</v>
      </c>
      <c r="T132" s="186">
        <f t="shared" si="15"/>
        <v>0</v>
      </c>
      <c r="U132" s="345" t="str">
        <f t="shared" si="16"/>
        <v>PASS</v>
      </c>
    </row>
    <row r="133" spans="1:21" ht="14.25" customHeight="1">
      <c r="A133" s="482">
        <v>18</v>
      </c>
      <c r="B133" s="481" t="s">
        <v>717</v>
      </c>
      <c r="C133" s="494" t="s">
        <v>690</v>
      </c>
      <c r="D133" s="493">
        <v>133491.87</v>
      </c>
      <c r="E133" s="493">
        <v>323</v>
      </c>
      <c r="F133" s="493">
        <v>80</v>
      </c>
      <c r="G133" s="492">
        <v>104835.86</v>
      </c>
      <c r="H133" s="491">
        <v>0.27329999999999999</v>
      </c>
      <c r="I133" s="490">
        <v>25</v>
      </c>
      <c r="J133" s="655"/>
      <c r="K133" s="234">
        <v>20</v>
      </c>
      <c r="L133" s="187" t="s">
        <v>642</v>
      </c>
      <c r="M133" s="236"/>
      <c r="N133" s="236">
        <v>132595.93</v>
      </c>
      <c r="O133" s="236"/>
      <c r="P133" s="237"/>
      <c r="Q133" s="236">
        <v>146365.96</v>
      </c>
      <c r="R133" s="375">
        <v>-0.27300000000000002</v>
      </c>
      <c r="S133" s="236">
        <f t="shared" si="14"/>
        <v>0</v>
      </c>
      <c r="T133" s="186">
        <f t="shared" si="15"/>
        <v>0</v>
      </c>
      <c r="U133" s="345" t="str">
        <f t="shared" si="16"/>
        <v>PASS</v>
      </c>
    </row>
    <row r="134" spans="1:21" ht="12.75" customHeight="1">
      <c r="A134" s="489">
        <v>19</v>
      </c>
      <c r="B134" s="488" t="s">
        <v>642</v>
      </c>
      <c r="C134" s="487" t="s">
        <v>690</v>
      </c>
      <c r="D134" s="486">
        <v>132595.93</v>
      </c>
      <c r="E134" s="486">
        <v>331</v>
      </c>
      <c r="F134" s="486">
        <v>136</v>
      </c>
      <c r="G134" s="485">
        <v>146365.96</v>
      </c>
      <c r="H134" s="484">
        <v>-9.4100000000000003E-2</v>
      </c>
      <c r="I134" s="483">
        <v>14</v>
      </c>
      <c r="J134" s="656"/>
      <c r="R134" s="375">
        <v>9.4E-2</v>
      </c>
      <c r="S134" s="236">
        <f t="shared" si="14"/>
        <v>-128494.54</v>
      </c>
      <c r="T134" s="186">
        <f t="shared" si="15"/>
        <v>98377.02</v>
      </c>
      <c r="U134" s="345" t="str">
        <f t="shared" si="16"/>
        <v>FAIL</v>
      </c>
    </row>
    <row r="135" spans="1:21" s="1" customFormat="1">
      <c r="A135" s="482">
        <v>20</v>
      </c>
      <c r="B135" s="481" t="s">
        <v>759</v>
      </c>
      <c r="C135" s="494" t="s">
        <v>690</v>
      </c>
      <c r="D135" s="493">
        <v>128494.54</v>
      </c>
      <c r="E135" s="493">
        <v>239</v>
      </c>
      <c r="F135" s="493">
        <v>56</v>
      </c>
      <c r="G135" s="492">
        <v>98377.02</v>
      </c>
      <c r="H135" s="491">
        <v>0.30609999999999998</v>
      </c>
      <c r="I135" s="490">
        <v>28</v>
      </c>
      <c r="J135" s="657"/>
      <c r="K135" s="244"/>
      <c r="L135" s="245" t="s">
        <v>338</v>
      </c>
      <c r="M135" s="246"/>
      <c r="N135" s="376">
        <f>N136-SUM(N115:N133)</f>
        <v>11898501.720000001</v>
      </c>
      <c r="O135" s="247"/>
      <c r="P135" s="247"/>
      <c r="Q135" s="376">
        <f>Q136-SUM(Q115:Q133)</f>
        <v>10995475.859999999</v>
      </c>
      <c r="R135" s="375">
        <f>IF(Q135=0,"0",(N135-Q135)/Q135)</f>
        <v>8.2127037656012938E-2</v>
      </c>
      <c r="S135" s="236">
        <f t="shared" si="14"/>
        <v>591709.90000000037</v>
      </c>
      <c r="T135" s="186">
        <f t="shared" si="15"/>
        <v>-228171.02999999933</v>
      </c>
      <c r="U135" s="345" t="str">
        <f t="shared" si="16"/>
        <v>FAIL</v>
      </c>
    </row>
    <row r="136" spans="1:21" s="1" customFormat="1">
      <c r="A136" s="322"/>
      <c r="B136" s="322" t="s">
        <v>711</v>
      </c>
      <c r="C136" s="193"/>
      <c r="D136" s="193">
        <v>11306791.82</v>
      </c>
      <c r="E136" s="250"/>
      <c r="F136" s="250"/>
      <c r="G136" s="250">
        <v>10767304.83</v>
      </c>
      <c r="H136" s="362">
        <v>5.0099999999999999E-2</v>
      </c>
      <c r="I136" s="302"/>
      <c r="J136" s="658"/>
      <c r="K136" s="244"/>
      <c r="L136" s="245" t="s">
        <v>339</v>
      </c>
      <c r="M136" s="377"/>
      <c r="N136" s="196">
        <f>[1]SP_Data!L22</f>
        <v>16553395.75</v>
      </c>
      <c r="O136" s="196"/>
      <c r="P136" s="247"/>
      <c r="Q136" s="196">
        <f>[1]SP_Data!M22</f>
        <v>14479347</v>
      </c>
      <c r="R136" s="236"/>
      <c r="S136" s="236">
        <f t="shared" si="14"/>
        <v>463215.3599999994</v>
      </c>
      <c r="T136" s="186">
        <f t="shared" si="15"/>
        <v>-129794.00999999978</v>
      </c>
      <c r="U136" s="345" t="str">
        <f t="shared" si="16"/>
        <v>FAIL</v>
      </c>
    </row>
    <row r="137" spans="1:21">
      <c r="A137" s="322"/>
      <c r="B137" s="322" t="s">
        <v>35</v>
      </c>
      <c r="C137" s="193"/>
      <c r="D137" s="193">
        <v>16090180.390000001</v>
      </c>
      <c r="E137" s="250"/>
      <c r="F137" s="250"/>
      <c r="G137" s="206">
        <v>14349552.99</v>
      </c>
      <c r="H137" s="309"/>
      <c r="I137" s="251"/>
      <c r="J137" s="658"/>
      <c r="K137" s="244"/>
      <c r="L137" s="245" t="s">
        <v>340</v>
      </c>
      <c r="M137" s="252"/>
      <c r="N137" s="201">
        <f>[1]SP_Data!G32</f>
        <v>103.77</v>
      </c>
      <c r="O137" s="201"/>
      <c r="P137" s="247"/>
      <c r="Q137" s="201">
        <f>[1]SP_Data!H32</f>
        <v>88.6</v>
      </c>
      <c r="R137" s="236"/>
      <c r="S137" s="236">
        <f t="shared" si="14"/>
        <v>9.0499999999999972</v>
      </c>
      <c r="T137" s="186">
        <f t="shared" si="15"/>
        <v>0.94000000000001194</v>
      </c>
      <c r="U137" s="345" t="str">
        <f t="shared" si="16"/>
        <v>FAIL</v>
      </c>
    </row>
    <row r="138" spans="1:21">
      <c r="A138" s="322"/>
      <c r="B138" s="322" t="s">
        <v>434</v>
      </c>
      <c r="C138" s="193"/>
      <c r="D138" s="193">
        <v>94.72</v>
      </c>
      <c r="E138" s="250"/>
      <c r="F138" s="250"/>
      <c r="G138" s="206">
        <v>89.54</v>
      </c>
      <c r="H138" s="309"/>
      <c r="I138" s="251"/>
    </row>
    <row r="139" spans="1:21" ht="15" customHeight="1">
      <c r="J139" s="691"/>
      <c r="K139" s="691"/>
      <c r="L139" s="691"/>
      <c r="M139" s="691"/>
      <c r="N139" s="691"/>
      <c r="O139" s="691"/>
      <c r="P139" s="691"/>
      <c r="Q139" s="691"/>
      <c r="R139" s="691"/>
      <c r="S139" s="691"/>
      <c r="T139" s="691"/>
      <c r="U139" s="692"/>
    </row>
    <row r="140" spans="1:21" customFormat="1" ht="15">
      <c r="A140" s="691"/>
      <c r="B140" s="691"/>
      <c r="C140" s="691"/>
      <c r="D140" s="691"/>
      <c r="E140" s="691"/>
      <c r="F140" s="691"/>
      <c r="G140" s="691"/>
      <c r="H140" s="691"/>
      <c r="I140" s="691"/>
    </row>
    <row r="141" spans="1:21" ht="25.5">
      <c r="A141"/>
      <c r="B141"/>
      <c r="C141"/>
      <c r="D141"/>
      <c r="E141"/>
      <c r="F141"/>
      <c r="G141"/>
      <c r="H141"/>
      <c r="I141"/>
      <c r="J141" s="227"/>
      <c r="K141" s="260" t="s">
        <v>32</v>
      </c>
      <c r="L141" s="696" t="s">
        <v>320</v>
      </c>
      <c r="M141" s="696" t="s">
        <v>23</v>
      </c>
      <c r="N141" s="696" t="s">
        <v>22</v>
      </c>
      <c r="O141" s="220" t="s">
        <v>21</v>
      </c>
      <c r="P141" s="696" t="s">
        <v>353</v>
      </c>
      <c r="Q141" s="696" t="s">
        <v>337</v>
      </c>
      <c r="R141" s="352"/>
      <c r="S141" s="208" t="s">
        <v>390</v>
      </c>
      <c r="T141" s="208" t="s">
        <v>391</v>
      </c>
      <c r="U141" s="696" t="s">
        <v>29</v>
      </c>
    </row>
    <row r="142" spans="1:21" ht="25.5">
      <c r="A142" s="226" t="s">
        <v>32</v>
      </c>
      <c r="B142" s="696" t="s">
        <v>320</v>
      </c>
      <c r="C142" s="696" t="s">
        <v>23</v>
      </c>
      <c r="D142" s="267" t="s">
        <v>22</v>
      </c>
      <c r="E142" s="267" t="s">
        <v>21</v>
      </c>
      <c r="F142" s="267" t="s">
        <v>354</v>
      </c>
      <c r="G142" s="220" t="s">
        <v>337</v>
      </c>
      <c r="H142" s="352"/>
      <c r="I142" s="352"/>
      <c r="J142" s="214"/>
      <c r="K142" s="234">
        <v>1</v>
      </c>
      <c r="L142" s="317" t="s">
        <v>700</v>
      </c>
      <c r="M142" s="237">
        <v>324261.65000000002</v>
      </c>
      <c r="N142" s="237">
        <v>0.01</v>
      </c>
      <c r="O142" s="375">
        <v>0</v>
      </c>
      <c r="P142" s="237">
        <v>17</v>
      </c>
      <c r="Q142" s="236">
        <v>1</v>
      </c>
      <c r="R142" s="238"/>
      <c r="S142" s="236">
        <f t="shared" ref="S142:S164" si="17">C143-M142</f>
        <v>0</v>
      </c>
      <c r="T142" s="186">
        <f t="shared" ref="T142:T164" si="18">D143-N142</f>
        <v>-0.01</v>
      </c>
      <c r="U142" s="345" t="str">
        <f t="shared" ref="U142:U164" si="19">IF(AND(ROUNDDOWN(S142,0)=0,ROUNDDOWN(T142,0)=0),"PASS","FAIL")</f>
        <v>PASS</v>
      </c>
    </row>
    <row r="143" spans="1:21">
      <c r="A143" s="438">
        <v>1</v>
      </c>
      <c r="B143" s="474" t="s">
        <v>700</v>
      </c>
      <c r="C143" s="470">
        <v>324261.65000000002</v>
      </c>
      <c r="D143" s="470">
        <v>0</v>
      </c>
      <c r="E143" s="469">
        <v>0</v>
      </c>
      <c r="F143" s="468">
        <v>4</v>
      </c>
      <c r="G143" s="472" t="s">
        <v>726</v>
      </c>
      <c r="H143" s="472"/>
      <c r="I143" s="273"/>
      <c r="J143" s="214"/>
      <c r="K143" s="234">
        <v>2</v>
      </c>
      <c r="L143" s="235" t="s">
        <v>736</v>
      </c>
      <c r="M143" s="236">
        <v>293399.14</v>
      </c>
      <c r="N143" s="236">
        <v>222978.24</v>
      </c>
      <c r="O143" s="375">
        <v>-0.316</v>
      </c>
      <c r="P143" s="237">
        <v>4</v>
      </c>
      <c r="Q143" s="236" t="s">
        <v>726</v>
      </c>
      <c r="R143" s="239"/>
      <c r="S143" s="236">
        <f t="shared" si="17"/>
        <v>0</v>
      </c>
      <c r="T143" s="186">
        <f t="shared" si="18"/>
        <v>0</v>
      </c>
      <c r="U143" s="345" t="str">
        <f t="shared" si="19"/>
        <v>PASS</v>
      </c>
    </row>
    <row r="144" spans="1:21">
      <c r="A144" s="438">
        <v>2</v>
      </c>
      <c r="B144" s="474" t="s">
        <v>736</v>
      </c>
      <c r="C144" s="470">
        <v>293399.14</v>
      </c>
      <c r="D144" s="470">
        <v>222978.24</v>
      </c>
      <c r="E144" s="469">
        <v>0.31580000000000003</v>
      </c>
      <c r="F144" s="468">
        <v>15</v>
      </c>
      <c r="G144" s="472">
        <v>1</v>
      </c>
      <c r="H144" s="472"/>
      <c r="I144" s="273"/>
      <c r="J144" s="214"/>
      <c r="K144" s="234">
        <v>3</v>
      </c>
      <c r="L144" s="240" t="s">
        <v>750</v>
      </c>
      <c r="M144" s="236">
        <v>227102.59</v>
      </c>
      <c r="N144" s="236">
        <v>23716.39</v>
      </c>
      <c r="O144" s="375">
        <v>-8.5760000000000005</v>
      </c>
      <c r="P144" s="237">
        <v>10</v>
      </c>
      <c r="Q144" s="236">
        <v>2</v>
      </c>
      <c r="R144" s="241"/>
      <c r="S144" s="236">
        <f t="shared" si="17"/>
        <v>-35333.19</v>
      </c>
      <c r="T144" s="186">
        <f t="shared" si="18"/>
        <v>133509.32</v>
      </c>
      <c r="U144" s="345" t="str">
        <f t="shared" si="19"/>
        <v>FAIL</v>
      </c>
    </row>
    <row r="145" spans="1:21">
      <c r="A145" s="438">
        <v>3</v>
      </c>
      <c r="B145" s="474" t="s">
        <v>693</v>
      </c>
      <c r="C145" s="470">
        <v>191769.4</v>
      </c>
      <c r="D145" s="470">
        <v>157225.71</v>
      </c>
      <c r="E145" s="469">
        <v>0.21970000000000001</v>
      </c>
      <c r="F145" s="668">
        <v>13</v>
      </c>
      <c r="G145" s="472">
        <v>2</v>
      </c>
      <c r="H145" s="472"/>
      <c r="I145" s="273"/>
      <c r="J145" s="214"/>
      <c r="K145" s="234">
        <v>4</v>
      </c>
      <c r="L145" s="187" t="s">
        <v>693</v>
      </c>
      <c r="M145" s="236">
        <v>191769.4</v>
      </c>
      <c r="N145" s="236">
        <v>157225.71</v>
      </c>
      <c r="O145" s="375">
        <v>-0.22</v>
      </c>
      <c r="P145" s="237">
        <v>31</v>
      </c>
      <c r="Q145" s="236">
        <v>5</v>
      </c>
      <c r="R145" s="238"/>
      <c r="S145" s="236">
        <f t="shared" si="17"/>
        <v>-77110.53</v>
      </c>
      <c r="T145" s="186">
        <f t="shared" si="18"/>
        <v>-108837.19</v>
      </c>
      <c r="U145" s="345" t="str">
        <f t="shared" si="19"/>
        <v>FAIL</v>
      </c>
    </row>
    <row r="146" spans="1:21">
      <c r="A146" s="438">
        <v>4</v>
      </c>
      <c r="B146" s="474" t="s">
        <v>694</v>
      </c>
      <c r="C146" s="470">
        <v>114658.87</v>
      </c>
      <c r="D146" s="470">
        <v>48388.52</v>
      </c>
      <c r="E146" s="469">
        <v>1.3694999999999999</v>
      </c>
      <c r="F146" s="468">
        <v>7</v>
      </c>
      <c r="G146" s="472">
        <v>10</v>
      </c>
      <c r="H146" s="472"/>
      <c r="I146" s="274"/>
      <c r="J146" s="214"/>
      <c r="K146" s="234">
        <v>5</v>
      </c>
      <c r="L146" s="187" t="s">
        <v>694</v>
      </c>
      <c r="M146" s="236">
        <v>114658.87</v>
      </c>
      <c r="N146" s="236">
        <v>48388.52</v>
      </c>
      <c r="O146" s="375">
        <v>-1.37</v>
      </c>
      <c r="P146" s="237">
        <v>7</v>
      </c>
      <c r="Q146" s="236">
        <v>9</v>
      </c>
      <c r="R146" s="241"/>
      <c r="S146" s="236">
        <f t="shared" si="17"/>
        <v>-654.72999999999593</v>
      </c>
      <c r="T146" s="186">
        <f t="shared" si="18"/>
        <v>38486.769999999997</v>
      </c>
      <c r="U146" s="345" t="str">
        <f t="shared" si="19"/>
        <v>FAIL</v>
      </c>
    </row>
    <row r="147" spans="1:21">
      <c r="A147" s="438">
        <v>5</v>
      </c>
      <c r="B147" s="474" t="s">
        <v>695</v>
      </c>
      <c r="C147" s="470">
        <v>114004.14</v>
      </c>
      <c r="D147" s="470">
        <v>86875.29</v>
      </c>
      <c r="E147" s="469">
        <v>0.31230000000000002</v>
      </c>
      <c r="F147" s="468">
        <v>30</v>
      </c>
      <c r="G147" s="472">
        <v>5</v>
      </c>
      <c r="H147" s="472"/>
      <c r="I147" s="273"/>
      <c r="J147" s="214"/>
      <c r="K147" s="234">
        <v>6</v>
      </c>
      <c r="L147" s="187" t="s">
        <v>695</v>
      </c>
      <c r="M147" s="236">
        <v>114004.14</v>
      </c>
      <c r="N147" s="236">
        <v>86875.29</v>
      </c>
      <c r="O147" s="375">
        <v>-0.312</v>
      </c>
      <c r="P147" s="237">
        <v>1</v>
      </c>
      <c r="Q147" s="236">
        <v>8</v>
      </c>
      <c r="R147" s="238"/>
      <c r="S147" s="236">
        <f t="shared" si="17"/>
        <v>-49532.979999999996</v>
      </c>
      <c r="T147" s="186">
        <f t="shared" si="18"/>
        <v>-84598.959999999992</v>
      </c>
      <c r="U147" s="345" t="str">
        <f t="shared" si="19"/>
        <v>FAIL</v>
      </c>
    </row>
    <row r="148" spans="1:21">
      <c r="A148" s="438">
        <v>6</v>
      </c>
      <c r="B148" s="474" t="s">
        <v>712</v>
      </c>
      <c r="C148" s="470">
        <v>64471.16</v>
      </c>
      <c r="D148" s="470">
        <v>2276.33</v>
      </c>
      <c r="E148" s="469">
        <v>27.322399999999998</v>
      </c>
      <c r="F148" s="668">
        <v>2</v>
      </c>
      <c r="G148" s="472">
        <v>53</v>
      </c>
      <c r="H148" s="472"/>
      <c r="I148" s="273"/>
      <c r="J148" s="214"/>
      <c r="K148" s="234">
        <v>7</v>
      </c>
      <c r="L148" s="187" t="s">
        <v>751</v>
      </c>
      <c r="M148" s="236">
        <v>71792.53</v>
      </c>
      <c r="N148" s="236">
        <v>0.01</v>
      </c>
      <c r="O148" s="375">
        <v>0</v>
      </c>
      <c r="P148" s="237">
        <v>4</v>
      </c>
      <c r="Q148" s="236">
        <v>10</v>
      </c>
      <c r="R148" s="239"/>
      <c r="S148" s="236">
        <f t="shared" si="17"/>
        <v>-10016.529999999999</v>
      </c>
      <c r="T148" s="186">
        <f t="shared" si="18"/>
        <v>64844.99</v>
      </c>
      <c r="U148" s="345" t="str">
        <f t="shared" si="19"/>
        <v>FAIL</v>
      </c>
    </row>
    <row r="149" spans="1:21">
      <c r="A149" s="438">
        <v>7</v>
      </c>
      <c r="B149" s="474" t="s">
        <v>697</v>
      </c>
      <c r="C149" s="470">
        <v>61776</v>
      </c>
      <c r="D149" s="470">
        <v>64845</v>
      </c>
      <c r="E149" s="469">
        <v>-4.7300000000000002E-2</v>
      </c>
      <c r="F149" s="468">
        <v>1</v>
      </c>
      <c r="G149" s="472">
        <v>8</v>
      </c>
      <c r="H149" s="472"/>
      <c r="I149" s="273"/>
      <c r="J149" s="214"/>
      <c r="K149" s="234">
        <v>8</v>
      </c>
      <c r="L149" s="187" t="s">
        <v>712</v>
      </c>
      <c r="M149" s="236">
        <v>64471.16</v>
      </c>
      <c r="N149" s="236">
        <v>2276.33</v>
      </c>
      <c r="O149" s="375">
        <v>-27.321999999999999</v>
      </c>
      <c r="P149" s="237">
        <v>2</v>
      </c>
      <c r="Q149" s="236">
        <v>31</v>
      </c>
      <c r="R149" s="238"/>
      <c r="S149" s="236">
        <f t="shared" si="17"/>
        <v>-10370.210000000006</v>
      </c>
      <c r="T149" s="186">
        <f t="shared" si="18"/>
        <v>55673.74</v>
      </c>
      <c r="U149" s="345" t="str">
        <f t="shared" si="19"/>
        <v>FAIL</v>
      </c>
    </row>
    <row r="150" spans="1:21">
      <c r="A150" s="438">
        <v>8</v>
      </c>
      <c r="B150" s="474" t="s">
        <v>698</v>
      </c>
      <c r="C150" s="470">
        <v>54100.95</v>
      </c>
      <c r="D150" s="470">
        <v>57950.07</v>
      </c>
      <c r="E150" s="469">
        <v>-6.6400000000000001E-2</v>
      </c>
      <c r="F150" s="468">
        <v>4</v>
      </c>
      <c r="G150" s="472">
        <v>9</v>
      </c>
      <c r="H150" s="472"/>
      <c r="I150" s="274"/>
      <c r="J150" s="214"/>
      <c r="K150" s="234">
        <v>9</v>
      </c>
      <c r="L150" s="187" t="s">
        <v>697</v>
      </c>
      <c r="M150" s="236">
        <v>61776</v>
      </c>
      <c r="N150" s="236">
        <v>64845</v>
      </c>
      <c r="O150" s="375">
        <v>4.7E-2</v>
      </c>
      <c r="P150" s="237">
        <v>11</v>
      </c>
      <c r="Q150" s="236">
        <v>6</v>
      </c>
      <c r="R150" s="238"/>
      <c r="S150" s="236">
        <f t="shared" si="17"/>
        <v>-13806.379999999997</v>
      </c>
      <c r="T150" s="186">
        <f t="shared" si="18"/>
        <v>19464.559999999998</v>
      </c>
      <c r="U150" s="345" t="str">
        <f t="shared" si="19"/>
        <v>FAIL</v>
      </c>
    </row>
    <row r="151" spans="1:21">
      <c r="A151" s="198">
        <v>9</v>
      </c>
      <c r="B151" s="230" t="s">
        <v>696</v>
      </c>
      <c r="C151" s="287">
        <v>47969.62</v>
      </c>
      <c r="D151" s="287">
        <v>84309.56</v>
      </c>
      <c r="E151" s="288">
        <v>-0.43099999999999999</v>
      </c>
      <c r="F151" s="475">
        <v>12</v>
      </c>
      <c r="G151" s="289">
        <v>6</v>
      </c>
      <c r="H151" s="289"/>
      <c r="I151" s="261"/>
      <c r="J151" s="214"/>
      <c r="K151" s="234">
        <v>10</v>
      </c>
      <c r="L151" s="187" t="s">
        <v>698</v>
      </c>
      <c r="M151" s="236">
        <v>54100.95</v>
      </c>
      <c r="N151" s="236">
        <v>57950.07</v>
      </c>
      <c r="O151" s="375">
        <v>6.6000000000000003E-2</v>
      </c>
      <c r="P151" s="237">
        <v>32</v>
      </c>
      <c r="Q151" s="236">
        <v>7</v>
      </c>
      <c r="R151" s="239"/>
      <c r="S151" s="236">
        <f t="shared" si="17"/>
        <v>-9504.9499999999971</v>
      </c>
      <c r="T151" s="186">
        <f t="shared" si="18"/>
        <v>8278.8100000000049</v>
      </c>
      <c r="U151" s="345" t="str">
        <f t="shared" si="19"/>
        <v>FAIL</v>
      </c>
    </row>
    <row r="152" spans="1:21">
      <c r="A152" s="438">
        <v>10</v>
      </c>
      <c r="B152" s="474" t="s">
        <v>699</v>
      </c>
      <c r="C152" s="470">
        <v>44596</v>
      </c>
      <c r="D152" s="470">
        <v>66228.88</v>
      </c>
      <c r="E152" s="469">
        <v>-0.3266</v>
      </c>
      <c r="F152" s="468">
        <v>32</v>
      </c>
      <c r="G152" s="472">
        <v>7</v>
      </c>
      <c r="H152" s="472"/>
      <c r="I152" s="274"/>
      <c r="J152" s="214"/>
      <c r="K152" s="234">
        <v>11</v>
      </c>
      <c r="L152" s="187" t="s">
        <v>752</v>
      </c>
      <c r="M152" s="236">
        <v>50129.55</v>
      </c>
      <c r="N152" s="236">
        <v>4861.82</v>
      </c>
      <c r="O152" s="375">
        <v>-9.3109999999999999</v>
      </c>
      <c r="P152" s="237">
        <v>21</v>
      </c>
      <c r="Q152" s="236">
        <v>38</v>
      </c>
      <c r="R152" s="239"/>
      <c r="S152" s="236">
        <f t="shared" si="17"/>
        <v>-7557.9400000000023</v>
      </c>
      <c r="T152" s="186">
        <f t="shared" si="18"/>
        <v>2568.6800000000003</v>
      </c>
      <c r="U152" s="345" t="str">
        <f t="shared" si="19"/>
        <v>FAIL</v>
      </c>
    </row>
    <row r="153" spans="1:21">
      <c r="A153" s="438">
        <v>11</v>
      </c>
      <c r="B153" s="474" t="s">
        <v>704</v>
      </c>
      <c r="C153" s="470">
        <v>42571.61</v>
      </c>
      <c r="D153" s="470">
        <v>7430.5</v>
      </c>
      <c r="E153" s="469">
        <v>4.7293000000000003</v>
      </c>
      <c r="F153" s="468">
        <v>22</v>
      </c>
      <c r="G153" s="472">
        <v>28</v>
      </c>
      <c r="H153" s="472"/>
      <c r="I153" s="274"/>
      <c r="J153" s="214"/>
      <c r="K153" s="234">
        <v>12</v>
      </c>
      <c r="L153" s="187" t="s">
        <v>696</v>
      </c>
      <c r="M153" s="236">
        <v>47969.62</v>
      </c>
      <c r="N153" s="236">
        <v>84309.56</v>
      </c>
      <c r="O153" s="375">
        <v>0.43099999999999999</v>
      </c>
      <c r="P153" s="237">
        <v>3</v>
      </c>
      <c r="Q153" s="236">
        <v>15</v>
      </c>
      <c r="R153" s="241"/>
      <c r="S153" s="236">
        <f t="shared" si="17"/>
        <v>-16749.980000000003</v>
      </c>
      <c r="T153" s="186">
        <f t="shared" si="18"/>
        <v>-84309.56</v>
      </c>
      <c r="U153" s="345" t="str">
        <f t="shared" si="19"/>
        <v>FAIL</v>
      </c>
    </row>
    <row r="154" spans="1:21">
      <c r="A154" s="438">
        <v>12</v>
      </c>
      <c r="B154" s="474" t="s">
        <v>753</v>
      </c>
      <c r="C154" s="470">
        <v>31219.64</v>
      </c>
      <c r="D154" s="470">
        <v>0</v>
      </c>
      <c r="E154" s="469">
        <v>0</v>
      </c>
      <c r="F154" s="468">
        <v>2</v>
      </c>
      <c r="G154" s="472" t="s">
        <v>726</v>
      </c>
      <c r="H154" s="472"/>
      <c r="I154" s="274"/>
      <c r="J154" s="214"/>
      <c r="K154" s="234">
        <v>13</v>
      </c>
      <c r="L154" s="187" t="s">
        <v>699</v>
      </c>
      <c r="M154" s="236">
        <v>44596</v>
      </c>
      <c r="N154" s="236">
        <v>66228.88</v>
      </c>
      <c r="O154" s="375">
        <v>0.32700000000000001</v>
      </c>
      <c r="P154" s="237">
        <v>3</v>
      </c>
      <c r="Q154" s="236" t="s">
        <v>726</v>
      </c>
      <c r="R154" s="239"/>
      <c r="S154" s="236">
        <f t="shared" si="17"/>
        <v>-13921.57</v>
      </c>
      <c r="T154" s="186">
        <f t="shared" si="18"/>
        <v>-46051.780000000006</v>
      </c>
      <c r="U154" s="345" t="str">
        <f t="shared" si="19"/>
        <v>FAIL</v>
      </c>
    </row>
    <row r="155" spans="1:21" s="18" customFormat="1">
      <c r="A155" s="438">
        <v>13</v>
      </c>
      <c r="B155" s="474" t="s">
        <v>702</v>
      </c>
      <c r="C155" s="470">
        <v>30674.43</v>
      </c>
      <c r="D155" s="470">
        <v>20177.099999999999</v>
      </c>
      <c r="E155" s="469">
        <v>0.52029999999999998</v>
      </c>
      <c r="F155" s="468">
        <v>3</v>
      </c>
      <c r="G155" s="472">
        <v>16</v>
      </c>
      <c r="H155" s="472"/>
      <c r="I155" s="274"/>
      <c r="J155" s="275"/>
      <c r="K155" s="234">
        <v>14</v>
      </c>
      <c r="L155" s="187" t="s">
        <v>704</v>
      </c>
      <c r="M155" s="236">
        <v>42571.61</v>
      </c>
      <c r="N155" s="236">
        <v>7430.5</v>
      </c>
      <c r="O155" s="375">
        <v>-4.7290000000000001</v>
      </c>
      <c r="P155" s="237">
        <v>7</v>
      </c>
      <c r="Q155" s="236">
        <v>19</v>
      </c>
      <c r="R155" s="238"/>
      <c r="S155" s="236">
        <f t="shared" si="17"/>
        <v>-18384.77</v>
      </c>
      <c r="T155" s="186">
        <f t="shared" si="18"/>
        <v>7594.85</v>
      </c>
      <c r="U155" s="345" t="str">
        <f t="shared" si="19"/>
        <v>FAIL</v>
      </c>
    </row>
    <row r="156" spans="1:21" s="217" customFormat="1">
      <c r="A156" s="438">
        <v>14</v>
      </c>
      <c r="B156" s="474" t="s">
        <v>737</v>
      </c>
      <c r="C156" s="470">
        <v>24186.84</v>
      </c>
      <c r="D156" s="470">
        <v>15025.35</v>
      </c>
      <c r="E156" s="469">
        <v>0.60970000000000002</v>
      </c>
      <c r="F156" s="468">
        <v>17</v>
      </c>
      <c r="G156" s="472">
        <v>19</v>
      </c>
      <c r="H156" s="472"/>
      <c r="I156" s="274"/>
      <c r="J156" s="221"/>
      <c r="K156" s="234">
        <v>15</v>
      </c>
      <c r="L156" s="187" t="s">
        <v>753</v>
      </c>
      <c r="M156" s="236">
        <v>31219.64</v>
      </c>
      <c r="N156" s="236">
        <v>0.01</v>
      </c>
      <c r="O156" s="375">
        <v>0</v>
      </c>
      <c r="P156" s="237">
        <v>15</v>
      </c>
      <c r="Q156" s="236">
        <v>18</v>
      </c>
      <c r="R156" s="238"/>
      <c r="S156" s="236">
        <f t="shared" si="17"/>
        <v>-7288.2000000000007</v>
      </c>
      <c r="T156" s="186">
        <f t="shared" si="18"/>
        <v>11677.27</v>
      </c>
      <c r="U156" s="345" t="str">
        <f t="shared" si="19"/>
        <v>FAIL</v>
      </c>
    </row>
    <row r="157" spans="1:21">
      <c r="A157" s="438">
        <v>15</v>
      </c>
      <c r="B157" s="471" t="s">
        <v>703</v>
      </c>
      <c r="C157" s="470">
        <v>23931.439999999999</v>
      </c>
      <c r="D157" s="470">
        <v>11677.28</v>
      </c>
      <c r="E157" s="469">
        <v>1.0494000000000001</v>
      </c>
      <c r="F157" s="468">
        <v>7</v>
      </c>
      <c r="G157" s="472">
        <v>21</v>
      </c>
      <c r="H157" s="472"/>
      <c r="I157" s="272"/>
      <c r="J157" s="214"/>
      <c r="K157" s="234">
        <v>16</v>
      </c>
      <c r="L157" s="187" t="s">
        <v>702</v>
      </c>
      <c r="M157" s="236">
        <v>30674.43</v>
      </c>
      <c r="N157" s="236">
        <v>20177.099999999999</v>
      </c>
      <c r="O157" s="375">
        <v>-0.52</v>
      </c>
      <c r="P157" s="237">
        <v>43</v>
      </c>
      <c r="Q157" s="236">
        <v>14</v>
      </c>
      <c r="R157" s="239"/>
      <c r="S157" s="236">
        <f t="shared" si="17"/>
        <v>-7306.82</v>
      </c>
      <c r="T157" s="186">
        <f t="shared" si="18"/>
        <v>-14483.619999999999</v>
      </c>
      <c r="U157" s="345" t="str">
        <f t="shared" si="19"/>
        <v>FAIL</v>
      </c>
    </row>
    <row r="158" spans="1:21">
      <c r="A158" s="438">
        <v>16</v>
      </c>
      <c r="B158" s="471" t="s">
        <v>754</v>
      </c>
      <c r="C158" s="470">
        <v>23367.61</v>
      </c>
      <c r="D158" s="470">
        <v>5693.48</v>
      </c>
      <c r="E158" s="469">
        <v>3.1042999999999998</v>
      </c>
      <c r="F158" s="468">
        <v>9</v>
      </c>
      <c r="G158" s="197">
        <v>32</v>
      </c>
      <c r="H158" s="197"/>
      <c r="I158" s="276"/>
      <c r="J158" s="214"/>
      <c r="K158" s="234">
        <v>17</v>
      </c>
      <c r="L158" s="187" t="s">
        <v>737</v>
      </c>
      <c r="M158" s="236">
        <v>24186.84</v>
      </c>
      <c r="N158" s="236">
        <v>15025.35</v>
      </c>
      <c r="O158" s="375">
        <v>-0.61</v>
      </c>
      <c r="P158" s="237">
        <v>9</v>
      </c>
      <c r="Q158" s="236">
        <v>20</v>
      </c>
      <c r="R158" s="238"/>
      <c r="S158" s="236">
        <f t="shared" si="17"/>
        <v>-2415.84</v>
      </c>
      <c r="T158" s="186">
        <f t="shared" si="18"/>
        <v>-11258.85</v>
      </c>
      <c r="U158" s="345" t="str">
        <f t="shared" si="19"/>
        <v>FAIL</v>
      </c>
    </row>
    <row r="159" spans="1:21">
      <c r="A159" s="438">
        <v>17</v>
      </c>
      <c r="B159" s="471" t="s">
        <v>733</v>
      </c>
      <c r="C159" s="470">
        <v>21771</v>
      </c>
      <c r="D159" s="470">
        <v>3766.5</v>
      </c>
      <c r="E159" s="469">
        <v>4.7801999999999998</v>
      </c>
      <c r="F159" s="468">
        <v>2</v>
      </c>
      <c r="G159" s="197">
        <v>41</v>
      </c>
      <c r="H159" s="197"/>
      <c r="I159" s="197"/>
      <c r="J159" s="214"/>
      <c r="K159" s="234">
        <v>18</v>
      </c>
      <c r="L159" s="187" t="s">
        <v>703</v>
      </c>
      <c r="M159" s="236">
        <v>23931.439999999999</v>
      </c>
      <c r="N159" s="236">
        <v>11677.28</v>
      </c>
      <c r="O159" s="375">
        <v>-1.0489999999999999</v>
      </c>
      <c r="P159" s="237">
        <v>155</v>
      </c>
      <c r="Q159" s="236">
        <v>16</v>
      </c>
      <c r="R159" s="238"/>
      <c r="S159" s="236">
        <f t="shared" si="17"/>
        <v>-2387.9599999999991</v>
      </c>
      <c r="T159" s="186">
        <f t="shared" si="18"/>
        <v>13507.800000000001</v>
      </c>
      <c r="U159" s="345" t="str">
        <f t="shared" si="19"/>
        <v>FAIL</v>
      </c>
    </row>
    <row r="160" spans="1:21">
      <c r="A160" s="438">
        <v>18</v>
      </c>
      <c r="B160" s="438" t="s">
        <v>738</v>
      </c>
      <c r="C160" s="222">
        <v>21543.48</v>
      </c>
      <c r="D160" s="222">
        <v>25185.08</v>
      </c>
      <c r="E160" s="277">
        <v>-0.14460000000000001</v>
      </c>
      <c r="F160" s="265">
        <v>40</v>
      </c>
      <c r="G160" s="197">
        <v>14</v>
      </c>
      <c r="H160" s="197"/>
      <c r="I160" s="197"/>
      <c r="J160" s="214"/>
      <c r="K160" s="234">
        <v>19</v>
      </c>
      <c r="L160" s="187" t="s">
        <v>754</v>
      </c>
      <c r="M160" s="236">
        <v>23367.61</v>
      </c>
      <c r="N160" s="236">
        <v>5693.48</v>
      </c>
      <c r="O160" s="375">
        <v>-3.1040000000000001</v>
      </c>
      <c r="P160" s="237">
        <v>1</v>
      </c>
      <c r="Q160" s="236">
        <v>11</v>
      </c>
      <c r="R160" s="238"/>
      <c r="S160" s="236">
        <f t="shared" si="17"/>
        <v>-4995.7799999999988</v>
      </c>
      <c r="T160" s="186">
        <f t="shared" si="18"/>
        <v>189.52000000000044</v>
      </c>
      <c r="U160" s="345" t="str">
        <f t="shared" si="19"/>
        <v>FAIL</v>
      </c>
    </row>
    <row r="161" spans="1:21">
      <c r="A161" s="438">
        <v>19</v>
      </c>
      <c r="B161" s="438" t="s">
        <v>760</v>
      </c>
      <c r="C161" s="222">
        <v>18371.830000000002</v>
      </c>
      <c r="D161" s="222">
        <v>5883</v>
      </c>
      <c r="E161" s="277">
        <v>2.1229</v>
      </c>
      <c r="F161" s="265">
        <v>5</v>
      </c>
      <c r="G161" s="197">
        <v>31</v>
      </c>
      <c r="H161" s="197"/>
      <c r="I161" s="278"/>
      <c r="J161" s="214"/>
      <c r="K161" s="234">
        <v>20</v>
      </c>
      <c r="L161" s="187" t="s">
        <v>733</v>
      </c>
      <c r="M161" s="236">
        <v>21771</v>
      </c>
      <c r="N161" s="236">
        <v>3766.5</v>
      </c>
      <c r="O161" s="375">
        <v>-4.78</v>
      </c>
      <c r="P161" s="237">
        <v>358</v>
      </c>
      <c r="Q161" s="236">
        <v>29</v>
      </c>
      <c r="R161" s="239"/>
      <c r="S161" s="236">
        <f t="shared" si="17"/>
        <v>-4766.32</v>
      </c>
      <c r="T161" s="186">
        <f t="shared" si="18"/>
        <v>16702.18</v>
      </c>
      <c r="U161" s="345" t="str">
        <f t="shared" si="19"/>
        <v>FAIL</v>
      </c>
    </row>
    <row r="162" spans="1:21" s="1" customFormat="1">
      <c r="A162" s="438">
        <v>20</v>
      </c>
      <c r="B162" s="438" t="s">
        <v>701</v>
      </c>
      <c r="C162" s="222">
        <v>17004.68</v>
      </c>
      <c r="D162" s="222">
        <v>20468.68</v>
      </c>
      <c r="E162" s="277">
        <v>-0.16919999999999999</v>
      </c>
      <c r="F162" s="265">
        <v>131</v>
      </c>
      <c r="G162" s="197">
        <v>15</v>
      </c>
      <c r="H162" s="197"/>
      <c r="I162" s="278"/>
      <c r="J162" s="228"/>
      <c r="K162" s="244"/>
      <c r="L162" s="298" t="s">
        <v>711</v>
      </c>
      <c r="M162" s="252">
        <v>234135.48</v>
      </c>
      <c r="N162" s="252">
        <v>490081.88</v>
      </c>
      <c r="O162" s="375">
        <v>-0.52229999999999999</v>
      </c>
      <c r="P162" s="247"/>
      <c r="Q162" s="236"/>
      <c r="R162" s="248"/>
      <c r="S162" s="236">
        <f t="shared" si="17"/>
        <v>9405.9599999999919</v>
      </c>
      <c r="T162" s="186">
        <f t="shared" si="18"/>
        <v>33367.010000000009</v>
      </c>
      <c r="U162" s="345" t="str">
        <f t="shared" si="19"/>
        <v>FAIL</v>
      </c>
    </row>
    <row r="163" spans="1:21" s="1" customFormat="1">
      <c r="A163" s="438"/>
      <c r="B163" s="438" t="s">
        <v>711</v>
      </c>
      <c r="C163" s="222">
        <v>243541.44</v>
      </c>
      <c r="D163" s="222">
        <v>523448.89</v>
      </c>
      <c r="E163" s="277">
        <v>-0.53469999999999995</v>
      </c>
      <c r="F163" s="264"/>
      <c r="G163" s="467"/>
      <c r="H163" s="197"/>
      <c r="I163" s="278"/>
      <c r="J163" s="184"/>
      <c r="K163" s="244"/>
      <c r="L163" s="245" t="s">
        <v>35</v>
      </c>
      <c r="M163" s="196">
        <v>1691146.6</v>
      </c>
      <c r="N163" s="200">
        <v>1400995.8</v>
      </c>
      <c r="O163" s="200"/>
      <c r="P163" s="247"/>
      <c r="Q163" s="249"/>
      <c r="R163" s="248"/>
      <c r="S163" s="236">
        <f t="shared" si="17"/>
        <v>118044.32999999984</v>
      </c>
      <c r="T163" s="186">
        <f t="shared" si="18"/>
        <v>28837.659999999916</v>
      </c>
      <c r="U163" s="345" t="str">
        <f t="shared" si="19"/>
        <v>FAIL</v>
      </c>
    </row>
    <row r="164" spans="1:21" s="1" customFormat="1">
      <c r="A164" s="438"/>
      <c r="B164" s="438" t="s">
        <v>35</v>
      </c>
      <c r="C164" s="222">
        <v>1809190.93</v>
      </c>
      <c r="D164" s="222">
        <v>1429833.46</v>
      </c>
      <c r="E164" s="264"/>
      <c r="F164" s="264"/>
      <c r="G164" s="438"/>
      <c r="H164" s="197"/>
      <c r="I164" s="278"/>
      <c r="J164" s="184"/>
      <c r="K164" s="244"/>
      <c r="L164" s="245" t="s">
        <v>434</v>
      </c>
      <c r="M164" s="201">
        <v>10.19</v>
      </c>
      <c r="N164" s="201">
        <v>8.6999999999999993</v>
      </c>
      <c r="O164" s="247"/>
      <c r="P164" s="247"/>
      <c r="Q164" s="249"/>
      <c r="R164" s="253"/>
      <c r="S164" s="236">
        <f t="shared" si="17"/>
        <v>0.46000000000000085</v>
      </c>
      <c r="T164" s="186">
        <f t="shared" si="18"/>
        <v>0.22000000000000064</v>
      </c>
      <c r="U164" s="345" t="str">
        <f t="shared" si="19"/>
        <v>PASS</v>
      </c>
    </row>
    <row r="165" spans="1:21">
      <c r="A165" s="438"/>
      <c r="B165" s="438" t="s">
        <v>434</v>
      </c>
      <c r="C165" s="222">
        <v>10.65</v>
      </c>
      <c r="D165" s="222">
        <v>8.92</v>
      </c>
      <c r="E165" s="264"/>
      <c r="F165" s="264"/>
      <c r="G165" s="438"/>
      <c r="H165" s="197"/>
      <c r="I165" s="278"/>
      <c r="L165" s="323"/>
      <c r="M165" s="324"/>
      <c r="N165" s="35"/>
    </row>
    <row r="166" spans="1:21" ht="15" customHeight="1">
      <c r="J166" s="691"/>
      <c r="K166" s="691"/>
      <c r="L166" s="691"/>
      <c r="M166" s="691"/>
      <c r="N166" s="691"/>
      <c r="O166" s="691"/>
      <c r="P166" s="691"/>
      <c r="Q166" s="691"/>
      <c r="R166" s="691"/>
      <c r="S166" s="691"/>
      <c r="T166" s="691"/>
      <c r="U166" s="692"/>
    </row>
    <row r="167" spans="1:21">
      <c r="A167" s="691"/>
      <c r="B167" s="691"/>
      <c r="C167" s="691"/>
      <c r="D167" s="691"/>
      <c r="E167" s="691"/>
      <c r="F167" s="691"/>
      <c r="G167" s="691"/>
      <c r="H167" s="691"/>
      <c r="I167" s="691"/>
      <c r="K167" s="763"/>
      <c r="L167" s="763"/>
      <c r="M167" s="763"/>
      <c r="N167" s="763"/>
      <c r="O167" s="763"/>
      <c r="P167" s="763"/>
      <c r="Q167" s="763"/>
      <c r="R167" s="763"/>
    </row>
    <row r="168" spans="1:21">
      <c r="A168" s="764"/>
      <c r="B168" s="764"/>
      <c r="C168" s="764"/>
      <c r="D168" s="764"/>
      <c r="E168" s="764"/>
      <c r="F168" s="764"/>
      <c r="G168" s="764"/>
      <c r="H168" s="764"/>
      <c r="I168" s="764"/>
      <c r="J168" s="227"/>
      <c r="K168" s="260" t="s">
        <v>32</v>
      </c>
      <c r="L168" s="696" t="s">
        <v>350</v>
      </c>
      <c r="M168" s="696" t="s">
        <v>23</v>
      </c>
      <c r="N168" s="696" t="s">
        <v>22</v>
      </c>
      <c r="O168" s="220" t="s">
        <v>21</v>
      </c>
      <c r="P168" s="696" t="s">
        <v>337</v>
      </c>
      <c r="Q168" s="352"/>
      <c r="R168" s="352"/>
      <c r="S168" s="208" t="s">
        <v>390</v>
      </c>
      <c r="T168" s="208" t="s">
        <v>391</v>
      </c>
      <c r="U168" s="696" t="s">
        <v>29</v>
      </c>
    </row>
    <row r="169" spans="1:21">
      <c r="A169" s="696" t="s">
        <v>32</v>
      </c>
      <c r="B169" s="696" t="s">
        <v>350</v>
      </c>
      <c r="C169" s="353" t="s">
        <v>23</v>
      </c>
      <c r="D169" s="354" t="s">
        <v>22</v>
      </c>
      <c r="E169" s="229" t="s">
        <v>21</v>
      </c>
      <c r="F169" s="233" t="s">
        <v>337</v>
      </c>
      <c r="G169" s="352"/>
      <c r="H169" s="352"/>
      <c r="I169" s="352"/>
      <c r="J169" s="221"/>
      <c r="K169" s="262">
        <v>1</v>
      </c>
      <c r="L169" s="380" t="s">
        <v>705</v>
      </c>
      <c r="M169" s="284">
        <v>4114713.13</v>
      </c>
      <c r="N169" s="271">
        <v>3919.11</v>
      </c>
      <c r="O169" s="375">
        <v>-1048.9100000000001</v>
      </c>
      <c r="P169" s="271"/>
      <c r="Q169" s="236"/>
      <c r="R169" s="285"/>
      <c r="S169" s="236">
        <f t="shared" ref="S169:S191" si="20">C170-M169</f>
        <v>0</v>
      </c>
      <c r="T169" s="186">
        <f t="shared" ref="T169:T191" si="21">D170-N169</f>
        <v>0</v>
      </c>
      <c r="U169" s="345" t="str">
        <f t="shared" ref="U169:U191" si="22">IF(AND(ROUNDDOWN(S169,0)=0,ROUNDDOWN(T169,0)=0),"PASS","FAIL")</f>
        <v>PASS</v>
      </c>
    </row>
    <row r="170" spans="1:21">
      <c r="A170" s="198">
        <v>1</v>
      </c>
      <c r="B170" s="279" t="s">
        <v>705</v>
      </c>
      <c r="C170" s="280">
        <v>4114713.13</v>
      </c>
      <c r="D170" s="280">
        <v>3919.11</v>
      </c>
      <c r="E170" s="281">
        <v>1048.9101000000001</v>
      </c>
      <c r="F170" s="282">
        <v>1132</v>
      </c>
      <c r="G170" s="283"/>
      <c r="H170" s="282"/>
      <c r="I170" s="282"/>
      <c r="J170" s="221"/>
      <c r="K170" s="262">
        <v>2</v>
      </c>
      <c r="L170" s="380" t="s">
        <v>707</v>
      </c>
      <c r="M170" s="286">
        <v>3088459.54</v>
      </c>
      <c r="N170" s="271">
        <v>4851.08</v>
      </c>
      <c r="O170" s="375">
        <v>-635.654</v>
      </c>
      <c r="P170" s="271"/>
      <c r="Q170" s="236"/>
      <c r="R170" s="285"/>
      <c r="S170" s="236">
        <f t="shared" si="20"/>
        <v>9.9999997764825821E-3</v>
      </c>
      <c r="T170" s="186">
        <f t="shared" si="21"/>
        <v>0</v>
      </c>
      <c r="U170" s="345" t="str">
        <f t="shared" si="22"/>
        <v>PASS</v>
      </c>
    </row>
    <row r="171" spans="1:21" s="217" customFormat="1">
      <c r="A171" s="198">
        <v>2</v>
      </c>
      <c r="B171" s="230" t="s">
        <v>707</v>
      </c>
      <c r="C171" s="280">
        <v>3088459.55</v>
      </c>
      <c r="D171" s="280">
        <v>4851.08</v>
      </c>
      <c r="E171" s="281">
        <v>635.654</v>
      </c>
      <c r="F171" s="282">
        <v>938</v>
      </c>
      <c r="G171" s="283"/>
      <c r="H171" s="282"/>
      <c r="I171" s="282"/>
      <c r="J171" s="221"/>
      <c r="K171" s="262">
        <v>3</v>
      </c>
      <c r="L171" s="380" t="s">
        <v>677</v>
      </c>
      <c r="M171" s="286">
        <v>2600530.4500000002</v>
      </c>
      <c r="N171" s="271">
        <v>2852661.35</v>
      </c>
      <c r="O171" s="375">
        <v>8.7999999999999995E-2</v>
      </c>
      <c r="P171" s="271"/>
      <c r="Q171" s="236"/>
      <c r="R171" s="285"/>
      <c r="S171" s="236">
        <f t="shared" si="20"/>
        <v>0</v>
      </c>
      <c r="T171" s="186">
        <f t="shared" si="21"/>
        <v>0</v>
      </c>
      <c r="U171" s="345" t="str">
        <f t="shared" si="22"/>
        <v>PASS</v>
      </c>
    </row>
    <row r="172" spans="1:21" s="217" customFormat="1">
      <c r="A172" s="198">
        <v>3</v>
      </c>
      <c r="B172" s="230" t="s">
        <v>677</v>
      </c>
      <c r="C172" s="280">
        <v>2600530.4500000002</v>
      </c>
      <c r="D172" s="280">
        <v>2852661.35</v>
      </c>
      <c r="E172" s="281">
        <v>-8.8400000000000006E-2</v>
      </c>
      <c r="F172" s="282">
        <v>2</v>
      </c>
      <c r="G172" s="283"/>
      <c r="H172" s="282"/>
      <c r="I172" s="282"/>
      <c r="J172" s="221"/>
      <c r="K172" s="262">
        <v>4</v>
      </c>
      <c r="L172" s="380" t="s">
        <v>678</v>
      </c>
      <c r="M172" s="286">
        <v>2230203.73</v>
      </c>
      <c r="N172" s="271">
        <v>2164428.98</v>
      </c>
      <c r="O172" s="375">
        <v>-0.03</v>
      </c>
      <c r="P172" s="271"/>
      <c r="Q172" s="236"/>
      <c r="R172" s="285"/>
      <c r="S172" s="236">
        <f t="shared" si="20"/>
        <v>0</v>
      </c>
      <c r="T172" s="186">
        <f t="shared" si="21"/>
        <v>0</v>
      </c>
      <c r="U172" s="345" t="str">
        <f t="shared" si="22"/>
        <v>PASS</v>
      </c>
    </row>
    <row r="173" spans="1:21" s="217" customFormat="1">
      <c r="A173" s="198">
        <v>4</v>
      </c>
      <c r="B173" s="230" t="s">
        <v>678</v>
      </c>
      <c r="C173" s="280">
        <v>2230203.73</v>
      </c>
      <c r="D173" s="280">
        <v>2164428.98</v>
      </c>
      <c r="E173" s="281">
        <v>3.04E-2</v>
      </c>
      <c r="F173" s="282">
        <v>3</v>
      </c>
      <c r="G173" s="283"/>
      <c r="H173" s="282"/>
      <c r="I173" s="282"/>
      <c r="J173" s="221"/>
      <c r="K173" s="262">
        <v>5</v>
      </c>
      <c r="L173" s="380" t="s">
        <v>679</v>
      </c>
      <c r="M173" s="286">
        <v>1459114.3</v>
      </c>
      <c r="N173" s="271">
        <v>1355901.37</v>
      </c>
      <c r="O173" s="375">
        <v>-7.5999999999999998E-2</v>
      </c>
      <c r="P173" s="271"/>
      <c r="Q173" s="236"/>
      <c r="R173" s="285"/>
      <c r="S173" s="236">
        <f t="shared" si="20"/>
        <v>0</v>
      </c>
      <c r="T173" s="186">
        <f t="shared" si="21"/>
        <v>0</v>
      </c>
      <c r="U173" s="345" t="str">
        <f t="shared" si="22"/>
        <v>PASS</v>
      </c>
    </row>
    <row r="174" spans="1:21" s="217" customFormat="1">
      <c r="A174" s="198">
        <v>5</v>
      </c>
      <c r="B174" s="230" t="s">
        <v>679</v>
      </c>
      <c r="C174" s="280">
        <v>1459114.3</v>
      </c>
      <c r="D174" s="280">
        <v>1355901.37</v>
      </c>
      <c r="E174" s="281">
        <v>7.6100000000000001E-2</v>
      </c>
      <c r="F174" s="282">
        <v>5</v>
      </c>
      <c r="G174" s="283"/>
      <c r="H174" s="282"/>
      <c r="I174" s="282"/>
      <c r="J174" s="221"/>
      <c r="K174" s="234">
        <v>6</v>
      </c>
      <c r="L174" s="380">
        <v>1780653618</v>
      </c>
      <c r="M174" s="286">
        <v>1264156.08</v>
      </c>
      <c r="N174" s="286">
        <v>1225457.0900000001</v>
      </c>
      <c r="O174" s="375">
        <v>-3.2000000000000001E-2</v>
      </c>
      <c r="P174" s="271"/>
      <c r="Q174" s="236"/>
      <c r="R174" s="285"/>
      <c r="S174" s="236">
        <f t="shared" si="20"/>
        <v>1.0000000009313226E-2</v>
      </c>
      <c r="T174" s="186">
        <f t="shared" si="21"/>
        <v>0</v>
      </c>
      <c r="U174" s="345" t="str">
        <f t="shared" si="22"/>
        <v>PASS</v>
      </c>
    </row>
    <row r="175" spans="1:21">
      <c r="A175" s="198">
        <v>6</v>
      </c>
      <c r="B175" s="230" t="s">
        <v>706</v>
      </c>
      <c r="C175" s="280">
        <v>1264156.0900000001</v>
      </c>
      <c r="D175" s="280">
        <v>1225457.0900000001</v>
      </c>
      <c r="E175" s="281">
        <v>3.1600000000000003E-2</v>
      </c>
      <c r="F175" s="282">
        <v>6</v>
      </c>
      <c r="G175" s="283"/>
      <c r="H175" s="282"/>
      <c r="I175" s="282"/>
      <c r="J175" s="221"/>
      <c r="K175" s="262">
        <v>7</v>
      </c>
      <c r="L175" s="380" t="s">
        <v>682</v>
      </c>
      <c r="M175" s="286">
        <v>1238405.3400000001</v>
      </c>
      <c r="N175" s="286">
        <v>474285.68</v>
      </c>
      <c r="O175" s="375">
        <v>-1.611</v>
      </c>
      <c r="P175" s="271"/>
      <c r="Q175" s="236"/>
      <c r="R175" s="285"/>
      <c r="S175" s="236">
        <f t="shared" si="20"/>
        <v>0</v>
      </c>
      <c r="T175" s="186">
        <f t="shared" si="21"/>
        <v>0</v>
      </c>
      <c r="U175" s="345" t="str">
        <f t="shared" si="22"/>
        <v>PASS</v>
      </c>
    </row>
    <row r="176" spans="1:21" s="217" customFormat="1">
      <c r="A176" s="198">
        <v>7</v>
      </c>
      <c r="B176" s="230" t="s">
        <v>682</v>
      </c>
      <c r="C176" s="280">
        <v>1238405.3400000001</v>
      </c>
      <c r="D176" s="280">
        <v>474285.68</v>
      </c>
      <c r="E176" s="281">
        <v>1.6111</v>
      </c>
      <c r="F176" s="282">
        <v>8</v>
      </c>
      <c r="G176" s="283"/>
      <c r="H176" s="282"/>
      <c r="I176" s="282"/>
      <c r="J176" s="221"/>
      <c r="K176" s="262">
        <v>8</v>
      </c>
      <c r="L176" s="380" t="s">
        <v>680</v>
      </c>
      <c r="M176" s="286">
        <v>996578.02</v>
      </c>
      <c r="N176" s="286">
        <v>1066460.48</v>
      </c>
      <c r="O176" s="375">
        <v>6.6000000000000003E-2</v>
      </c>
      <c r="P176" s="271"/>
      <c r="Q176" s="236"/>
      <c r="R176" s="285"/>
      <c r="S176" s="236">
        <f t="shared" si="20"/>
        <v>0</v>
      </c>
      <c r="T176" s="186">
        <f t="shared" si="21"/>
        <v>-1.0000000009313226E-2</v>
      </c>
      <c r="U176" s="345" t="str">
        <f t="shared" si="22"/>
        <v>PASS</v>
      </c>
    </row>
    <row r="177" spans="1:21" s="217" customFormat="1">
      <c r="A177" s="198">
        <v>8</v>
      </c>
      <c r="B177" s="230" t="s">
        <v>680</v>
      </c>
      <c r="C177" s="280">
        <v>996578.02</v>
      </c>
      <c r="D177" s="280">
        <v>1066460.47</v>
      </c>
      <c r="E177" s="281">
        <v>-6.5500000000000003E-2</v>
      </c>
      <c r="F177" s="282">
        <v>7</v>
      </c>
      <c r="G177" s="283"/>
      <c r="H177" s="282"/>
      <c r="I177" s="282"/>
      <c r="J177" s="221"/>
      <c r="K177" s="262">
        <v>9</v>
      </c>
      <c r="L177" s="380" t="s">
        <v>683</v>
      </c>
      <c r="M177" s="286">
        <v>729098.69</v>
      </c>
      <c r="N177" s="286">
        <v>251186.14</v>
      </c>
      <c r="O177" s="375">
        <v>-1.903</v>
      </c>
      <c r="P177" s="271"/>
      <c r="Q177" s="236"/>
      <c r="R177" s="285"/>
      <c r="S177" s="236">
        <f t="shared" si="20"/>
        <v>0</v>
      </c>
      <c r="T177" s="186">
        <f t="shared" si="21"/>
        <v>0</v>
      </c>
      <c r="U177" s="345" t="str">
        <f t="shared" si="22"/>
        <v>PASS</v>
      </c>
    </row>
    <row r="178" spans="1:21">
      <c r="A178" s="198">
        <v>9</v>
      </c>
      <c r="B178" s="230" t="s">
        <v>683</v>
      </c>
      <c r="C178" s="280">
        <v>729098.69</v>
      </c>
      <c r="D178" s="280">
        <v>251186.14</v>
      </c>
      <c r="E178" s="281">
        <v>1.9026000000000001</v>
      </c>
      <c r="F178" s="282">
        <v>15</v>
      </c>
      <c r="G178" s="283"/>
      <c r="H178" s="282"/>
      <c r="I178" s="282"/>
      <c r="J178" s="221"/>
      <c r="K178" s="234">
        <v>10</v>
      </c>
      <c r="L178" s="380" t="s">
        <v>681</v>
      </c>
      <c r="M178" s="286">
        <v>713184.65</v>
      </c>
      <c r="N178" s="286">
        <v>434639.87</v>
      </c>
      <c r="O178" s="375">
        <v>-0.64100000000000001</v>
      </c>
      <c r="P178" s="271"/>
      <c r="Q178" s="236"/>
      <c r="R178" s="285"/>
      <c r="S178" s="236">
        <f t="shared" si="20"/>
        <v>0</v>
      </c>
      <c r="T178" s="186">
        <f t="shared" si="21"/>
        <v>0</v>
      </c>
      <c r="U178" s="345" t="str">
        <f t="shared" si="22"/>
        <v>PASS</v>
      </c>
    </row>
    <row r="179" spans="1:21">
      <c r="A179" s="198">
        <v>10</v>
      </c>
      <c r="B179" s="230" t="s">
        <v>681</v>
      </c>
      <c r="C179" s="280">
        <v>713184.65</v>
      </c>
      <c r="D179" s="280">
        <v>434639.87</v>
      </c>
      <c r="E179" s="281">
        <v>0.64090000000000003</v>
      </c>
      <c r="F179" s="282">
        <v>10</v>
      </c>
      <c r="G179" s="283"/>
      <c r="H179" s="282"/>
      <c r="I179" s="282"/>
      <c r="J179" s="221"/>
      <c r="K179" s="262">
        <v>11</v>
      </c>
      <c r="L179" s="380" t="s">
        <v>684</v>
      </c>
      <c r="M179" s="286">
        <v>633509.62</v>
      </c>
      <c r="N179" s="286">
        <v>96558</v>
      </c>
      <c r="O179" s="375">
        <v>-5.5609999999999999</v>
      </c>
      <c r="P179" s="271"/>
      <c r="Q179" s="236"/>
      <c r="R179" s="285"/>
      <c r="S179" s="236">
        <f t="shared" si="20"/>
        <v>0</v>
      </c>
      <c r="T179" s="186">
        <f t="shared" si="21"/>
        <v>0</v>
      </c>
      <c r="U179" s="345" t="str">
        <f t="shared" si="22"/>
        <v>PASS</v>
      </c>
    </row>
    <row r="180" spans="1:21">
      <c r="A180" s="198">
        <v>11</v>
      </c>
      <c r="B180" s="230" t="s">
        <v>684</v>
      </c>
      <c r="C180" s="280">
        <v>633509.62</v>
      </c>
      <c r="D180" s="280">
        <v>96558</v>
      </c>
      <c r="E180" s="281">
        <v>5.5609000000000002</v>
      </c>
      <c r="F180" s="282">
        <v>34</v>
      </c>
      <c r="G180" s="283"/>
      <c r="H180" s="282"/>
      <c r="I180" s="282"/>
      <c r="J180" s="221"/>
      <c r="K180" s="262">
        <v>12</v>
      </c>
      <c r="L180" s="380" t="s">
        <v>672</v>
      </c>
      <c r="M180" s="286">
        <v>461196.77</v>
      </c>
      <c r="N180" s="286">
        <v>441224.64</v>
      </c>
      <c r="O180" s="375">
        <v>-4.4999999999999998E-2</v>
      </c>
      <c r="P180" s="271"/>
      <c r="Q180" s="236"/>
      <c r="R180" s="285"/>
      <c r="S180" s="236">
        <f t="shared" si="20"/>
        <v>0</v>
      </c>
      <c r="T180" s="186">
        <f t="shared" si="21"/>
        <v>0</v>
      </c>
      <c r="U180" s="345" t="str">
        <f t="shared" si="22"/>
        <v>PASS</v>
      </c>
    </row>
    <row r="181" spans="1:21">
      <c r="A181" s="198">
        <v>12</v>
      </c>
      <c r="B181" s="230" t="s">
        <v>672</v>
      </c>
      <c r="C181" s="280">
        <v>461196.77</v>
      </c>
      <c r="D181" s="280">
        <v>441224.64</v>
      </c>
      <c r="E181" s="281">
        <v>4.53E-2</v>
      </c>
      <c r="F181" s="282">
        <v>9</v>
      </c>
      <c r="G181" s="283"/>
      <c r="H181" s="282"/>
      <c r="I181" s="282"/>
      <c r="J181" s="221"/>
      <c r="K181" s="262">
        <v>13</v>
      </c>
      <c r="L181" s="380" t="s">
        <v>685</v>
      </c>
      <c r="M181" s="286">
        <v>321891.8</v>
      </c>
      <c r="N181" s="286">
        <v>304414.53000000003</v>
      </c>
      <c r="O181" s="375">
        <v>-5.7000000000000002E-2</v>
      </c>
      <c r="P181" s="271"/>
      <c r="Q181" s="236"/>
      <c r="R181" s="285"/>
      <c r="S181" s="236">
        <f t="shared" si="20"/>
        <v>0</v>
      </c>
      <c r="T181" s="186">
        <f t="shared" si="21"/>
        <v>0</v>
      </c>
      <c r="U181" s="345" t="str">
        <f t="shared" si="22"/>
        <v>PASS</v>
      </c>
    </row>
    <row r="182" spans="1:21" s="217" customFormat="1">
      <c r="A182" s="198">
        <v>13</v>
      </c>
      <c r="B182" s="230" t="s">
        <v>685</v>
      </c>
      <c r="C182" s="287">
        <v>321891.8</v>
      </c>
      <c r="D182" s="287">
        <v>304414.53000000003</v>
      </c>
      <c r="E182" s="288">
        <v>5.74E-2</v>
      </c>
      <c r="F182" s="289">
        <v>12</v>
      </c>
      <c r="G182" s="290"/>
      <c r="H182" s="289"/>
      <c r="I182" s="289"/>
      <c r="J182" s="221"/>
      <c r="K182" s="234">
        <v>14</v>
      </c>
      <c r="L182" s="380" t="s">
        <v>715</v>
      </c>
      <c r="M182" s="286">
        <v>305634.59000000003</v>
      </c>
      <c r="N182" s="286">
        <v>0</v>
      </c>
      <c r="O182" s="375">
        <v>-305634.59000000003</v>
      </c>
      <c r="P182" s="271"/>
      <c r="Q182" s="236"/>
      <c r="R182" s="285"/>
      <c r="S182" s="236">
        <f t="shared" si="20"/>
        <v>0</v>
      </c>
      <c r="T182" s="186">
        <f t="shared" si="21"/>
        <v>0</v>
      </c>
      <c r="U182" s="345" t="str">
        <f t="shared" si="22"/>
        <v>PASS</v>
      </c>
    </row>
    <row r="183" spans="1:21">
      <c r="A183" s="198">
        <v>14</v>
      </c>
      <c r="B183" s="230" t="s">
        <v>715</v>
      </c>
      <c r="C183" s="287">
        <v>305634.59000000003</v>
      </c>
      <c r="D183" s="287">
        <v>0</v>
      </c>
      <c r="E183" s="288">
        <v>0</v>
      </c>
      <c r="F183" s="289">
        <v>7721</v>
      </c>
      <c r="G183" s="290"/>
      <c r="H183" s="289"/>
      <c r="I183" s="289"/>
      <c r="J183" s="221"/>
      <c r="K183" s="262">
        <v>15</v>
      </c>
      <c r="L183" s="380" t="s">
        <v>686</v>
      </c>
      <c r="M183" s="286">
        <v>270583.94</v>
      </c>
      <c r="N183" s="286">
        <v>153963.64000000001</v>
      </c>
      <c r="O183" s="375">
        <v>-0.75700000000000001</v>
      </c>
      <c r="P183" s="271"/>
      <c r="Q183" s="236"/>
      <c r="R183" s="285"/>
      <c r="S183" s="236">
        <f t="shared" si="20"/>
        <v>0</v>
      </c>
      <c r="T183" s="186">
        <f t="shared" si="21"/>
        <v>0</v>
      </c>
      <c r="U183" s="345" t="str">
        <f t="shared" si="22"/>
        <v>PASS</v>
      </c>
    </row>
    <row r="184" spans="1:21">
      <c r="A184" s="198">
        <v>15</v>
      </c>
      <c r="B184" s="230" t="s">
        <v>686</v>
      </c>
      <c r="C184" s="287">
        <v>270583.94</v>
      </c>
      <c r="D184" s="287">
        <v>153963.64000000001</v>
      </c>
      <c r="E184" s="288">
        <v>0.75749999999999995</v>
      </c>
      <c r="F184" s="289">
        <v>21</v>
      </c>
      <c r="G184" s="290"/>
      <c r="H184" s="289"/>
      <c r="I184" s="289"/>
      <c r="J184" s="231"/>
      <c r="K184" s="262">
        <v>16</v>
      </c>
      <c r="L184" s="380" t="s">
        <v>739</v>
      </c>
      <c r="M184" s="286">
        <v>264233.21999999997</v>
      </c>
      <c r="N184" s="286">
        <v>107145.9</v>
      </c>
      <c r="O184" s="375">
        <v>-1.466</v>
      </c>
      <c r="P184" s="271"/>
      <c r="Q184" s="236"/>
      <c r="R184" s="285"/>
      <c r="S184" s="236">
        <f t="shared" si="20"/>
        <v>0</v>
      </c>
      <c r="T184" s="186">
        <f t="shared" si="21"/>
        <v>0</v>
      </c>
      <c r="U184" s="345" t="str">
        <f t="shared" si="22"/>
        <v>PASS</v>
      </c>
    </row>
    <row r="185" spans="1:21" s="232" customFormat="1">
      <c r="A185" s="198">
        <v>16</v>
      </c>
      <c r="B185" s="230" t="s">
        <v>739</v>
      </c>
      <c r="C185" s="287">
        <v>264233.21999999997</v>
      </c>
      <c r="D185" s="287">
        <v>107145.9</v>
      </c>
      <c r="E185" s="288">
        <v>1.4661</v>
      </c>
      <c r="F185" s="289">
        <v>30</v>
      </c>
      <c r="G185" s="290"/>
      <c r="H185" s="289"/>
      <c r="I185" s="289"/>
      <c r="J185" s="231"/>
      <c r="K185" s="262">
        <v>17</v>
      </c>
      <c r="L185" s="380" t="s">
        <v>687</v>
      </c>
      <c r="M185" s="286">
        <v>242867.29</v>
      </c>
      <c r="N185" s="286">
        <v>173648.33</v>
      </c>
      <c r="O185" s="375">
        <v>-0.39900000000000002</v>
      </c>
      <c r="P185" s="271"/>
      <c r="Q185" s="236"/>
      <c r="R185" s="285"/>
      <c r="S185" s="236">
        <f t="shared" si="20"/>
        <v>0</v>
      </c>
      <c r="T185" s="186">
        <f t="shared" si="21"/>
        <v>0</v>
      </c>
      <c r="U185" s="345" t="str">
        <f t="shared" si="22"/>
        <v>PASS</v>
      </c>
    </row>
    <row r="186" spans="1:21" s="232" customFormat="1">
      <c r="A186" s="198">
        <v>17</v>
      </c>
      <c r="B186" s="199" t="s">
        <v>687</v>
      </c>
      <c r="C186" s="280">
        <v>242867.29</v>
      </c>
      <c r="D186" s="280">
        <v>173648.33</v>
      </c>
      <c r="E186" s="281">
        <v>0.39860000000000001</v>
      </c>
      <c r="F186" s="282">
        <v>19</v>
      </c>
      <c r="G186" s="283"/>
      <c r="H186" s="282"/>
      <c r="I186" s="282"/>
      <c r="J186" s="231"/>
      <c r="K186" s="262">
        <v>18</v>
      </c>
      <c r="L186" s="380" t="s">
        <v>755</v>
      </c>
      <c r="M186" s="286">
        <v>235684.5</v>
      </c>
      <c r="N186" s="286">
        <v>182213.65</v>
      </c>
      <c r="O186" s="375">
        <v>-0.29299999999999998</v>
      </c>
      <c r="P186" s="271"/>
      <c r="Q186" s="236"/>
      <c r="R186" s="285"/>
      <c r="S186" s="236">
        <f t="shared" si="20"/>
        <v>0</v>
      </c>
      <c r="T186" s="186">
        <f t="shared" si="21"/>
        <v>0</v>
      </c>
      <c r="U186" s="345" t="str">
        <f t="shared" si="22"/>
        <v>PASS</v>
      </c>
    </row>
    <row r="187" spans="1:21" s="232" customFormat="1">
      <c r="A187" s="198">
        <v>18</v>
      </c>
      <c r="B187" s="199" t="s">
        <v>755</v>
      </c>
      <c r="C187" s="280">
        <v>235684.5</v>
      </c>
      <c r="D187" s="280">
        <v>182213.65</v>
      </c>
      <c r="E187" s="281">
        <v>0.29349999999999998</v>
      </c>
      <c r="F187" s="282">
        <v>18</v>
      </c>
      <c r="G187" s="291"/>
      <c r="H187" s="263"/>
      <c r="I187" s="263"/>
      <c r="J187" s="231"/>
      <c r="K187" s="262">
        <v>19</v>
      </c>
      <c r="L187" s="380" t="s">
        <v>756</v>
      </c>
      <c r="M187" s="286">
        <v>235025.69</v>
      </c>
      <c r="N187" s="286">
        <v>50502.18</v>
      </c>
      <c r="O187" s="375">
        <v>-3.6539999999999999</v>
      </c>
      <c r="P187" s="271"/>
      <c r="Q187" s="236"/>
      <c r="R187" s="293"/>
      <c r="S187" s="236">
        <f t="shared" si="20"/>
        <v>0</v>
      </c>
      <c r="T187" s="186">
        <f t="shared" si="21"/>
        <v>0</v>
      </c>
      <c r="U187" s="345" t="str">
        <f t="shared" si="22"/>
        <v>PASS</v>
      </c>
    </row>
    <row r="188" spans="1:21" s="232" customFormat="1">
      <c r="A188" s="198">
        <v>19</v>
      </c>
      <c r="B188" s="199" t="s">
        <v>756</v>
      </c>
      <c r="C188" s="280">
        <v>235025.69</v>
      </c>
      <c r="D188" s="280">
        <v>50502.18</v>
      </c>
      <c r="E188" s="281">
        <v>3.6537999999999999</v>
      </c>
      <c r="F188" s="282">
        <v>65</v>
      </c>
      <c r="G188" s="292"/>
      <c r="H188" s="263"/>
      <c r="I188" s="263"/>
      <c r="J188" s="223"/>
      <c r="K188" s="262">
        <v>20</v>
      </c>
      <c r="L188" s="380" t="s">
        <v>757</v>
      </c>
      <c r="M188" s="286">
        <v>233780.98</v>
      </c>
      <c r="N188" s="286">
        <v>209043.75</v>
      </c>
      <c r="O188" s="375">
        <v>-0.11799999999999999</v>
      </c>
      <c r="P188" s="271"/>
      <c r="Q188" s="236"/>
      <c r="R188" s="293"/>
      <c r="S188" s="236">
        <f t="shared" si="20"/>
        <v>0</v>
      </c>
      <c r="T188" s="186">
        <f t="shared" si="21"/>
        <v>0</v>
      </c>
      <c r="U188" s="345" t="str">
        <f t="shared" si="22"/>
        <v>PASS</v>
      </c>
    </row>
    <row r="189" spans="1:21" s="1" customFormat="1">
      <c r="A189" s="294">
        <v>20</v>
      </c>
      <c r="B189" s="294" t="s">
        <v>757</v>
      </c>
      <c r="C189" s="295">
        <v>233780.98</v>
      </c>
      <c r="D189" s="295">
        <v>209043.75</v>
      </c>
      <c r="E189" s="296">
        <v>0.1183</v>
      </c>
      <c r="F189" s="297">
        <v>16</v>
      </c>
      <c r="G189" s="355"/>
      <c r="H189" s="356"/>
      <c r="I189" s="356"/>
      <c r="J189" s="224"/>
      <c r="K189" s="266"/>
      <c r="L189" s="298" t="s">
        <v>338</v>
      </c>
      <c r="M189" s="252">
        <f>M190-SUM(M169:M188)</f>
        <v>17464704.569999993</v>
      </c>
      <c r="N189" s="252">
        <f>N190-SUM(N169:N188)</f>
        <v>26433876.570000004</v>
      </c>
      <c r="O189" s="375"/>
      <c r="P189" s="252"/>
      <c r="Q189" s="236"/>
      <c r="R189" s="299"/>
      <c r="S189" s="236">
        <f t="shared" si="20"/>
        <v>4416208.5400000066</v>
      </c>
      <c r="T189" s="186">
        <f t="shared" si="21"/>
        <v>-62089.280000004917</v>
      </c>
      <c r="U189" s="345" t="str">
        <f t="shared" si="22"/>
        <v>FAIL</v>
      </c>
    </row>
    <row r="190" spans="1:21" s="1" customFormat="1">
      <c r="A190" s="103"/>
      <c r="B190" s="103" t="s">
        <v>711</v>
      </c>
      <c r="C190" s="193">
        <v>21880913.109999999</v>
      </c>
      <c r="D190" s="193">
        <v>26371787.289999999</v>
      </c>
      <c r="E190" s="357">
        <v>-0.17030000000000001</v>
      </c>
      <c r="F190" s="250"/>
      <c r="G190" s="357"/>
      <c r="H190" s="309"/>
      <c r="I190" s="302"/>
      <c r="J190" s="224"/>
      <c r="K190" s="266"/>
      <c r="L190" s="298" t="s">
        <v>339</v>
      </c>
      <c r="M190" s="196">
        <f>[1]SP_Data!L21</f>
        <v>39103556.899999999</v>
      </c>
      <c r="N190" s="196">
        <f>[1]SP_Data!M21</f>
        <v>37986382.340000004</v>
      </c>
      <c r="O190" s="196"/>
      <c r="P190" s="247"/>
      <c r="Q190" s="300"/>
      <c r="R190" s="301"/>
      <c r="S190" s="236">
        <f t="shared" si="20"/>
        <v>4416208.5600000024</v>
      </c>
      <c r="T190" s="186">
        <f t="shared" si="21"/>
        <v>-62089.290000006557</v>
      </c>
      <c r="U190" s="345" t="str">
        <f t="shared" si="22"/>
        <v>FAIL</v>
      </c>
    </row>
    <row r="191" spans="1:21" s="1" customFormat="1">
      <c r="A191" s="103"/>
      <c r="B191" s="358" t="s">
        <v>35</v>
      </c>
      <c r="C191" s="359">
        <v>43519765.460000001</v>
      </c>
      <c r="D191" s="359">
        <v>37924293.049999997</v>
      </c>
      <c r="E191" s="360"/>
      <c r="F191" s="360"/>
      <c r="G191" s="103"/>
      <c r="H191" s="309"/>
      <c r="I191" s="361"/>
      <c r="J191" s="2"/>
      <c r="K191" s="266"/>
      <c r="L191" s="303" t="s">
        <v>340</v>
      </c>
      <c r="M191" s="201">
        <f>[1]SP_Data!G31</f>
        <v>245.13</v>
      </c>
      <c r="N191" s="201">
        <f>[1]SP_Data!H31</f>
        <v>232.45</v>
      </c>
      <c r="O191" s="201"/>
      <c r="P191" s="247"/>
      <c r="Q191" s="304"/>
      <c r="R191" s="305"/>
      <c r="S191" s="236">
        <f t="shared" si="20"/>
        <v>11.079999999999984</v>
      </c>
      <c r="T191" s="186">
        <f t="shared" si="21"/>
        <v>4.2000000000000171</v>
      </c>
      <c r="U191" s="345" t="str">
        <f t="shared" si="22"/>
        <v>FAIL</v>
      </c>
    </row>
    <row r="192" spans="1:21">
      <c r="A192" s="103"/>
      <c r="B192" s="103" t="s">
        <v>434</v>
      </c>
      <c r="C192" s="193">
        <v>256.20999999999998</v>
      </c>
      <c r="D192" s="193">
        <v>236.65</v>
      </c>
      <c r="E192" s="250"/>
      <c r="F192" s="250"/>
      <c r="G192" s="103"/>
      <c r="H192" s="309"/>
      <c r="I192" s="302"/>
      <c r="Q192" s="306"/>
    </row>
    <row r="193" spans="1:21" ht="15" customHeight="1">
      <c r="J193" s="691"/>
      <c r="K193" s="691"/>
      <c r="L193" s="691"/>
      <c r="M193" s="691"/>
      <c r="N193" s="691"/>
      <c r="O193" s="691"/>
      <c r="P193" s="691"/>
      <c r="Q193" s="691"/>
      <c r="R193" s="691"/>
      <c r="S193" s="691"/>
      <c r="T193" s="691"/>
      <c r="U193" s="692"/>
    </row>
    <row r="194" spans="1:21" customFormat="1" ht="15">
      <c r="A194" s="691"/>
      <c r="B194" s="691"/>
      <c r="C194" s="691"/>
      <c r="D194" s="691"/>
      <c r="E194" s="691"/>
      <c r="F194" s="691"/>
      <c r="G194" s="691"/>
      <c r="H194" s="691"/>
      <c r="I194" s="691"/>
    </row>
    <row r="195" spans="1:21" ht="15">
      <c r="A195"/>
      <c r="B195"/>
      <c r="C195"/>
      <c r="D195"/>
      <c r="E195"/>
      <c r="F195"/>
      <c r="G195"/>
      <c r="H195"/>
      <c r="I195"/>
      <c r="J195" s="213"/>
      <c r="K195" s="260" t="s">
        <v>32</v>
      </c>
      <c r="L195" s="696" t="s">
        <v>389</v>
      </c>
      <c r="M195" s="696" t="s">
        <v>23</v>
      </c>
      <c r="N195" s="696" t="s">
        <v>351</v>
      </c>
      <c r="O195" s="696" t="s">
        <v>22</v>
      </c>
      <c r="P195" s="696" t="s">
        <v>352</v>
      </c>
      <c r="Q195" s="220" t="s">
        <v>21</v>
      </c>
      <c r="R195" s="696" t="s">
        <v>337</v>
      </c>
      <c r="S195" s="208" t="s">
        <v>390</v>
      </c>
      <c r="T195" s="208" t="s">
        <v>391</v>
      </c>
      <c r="U195" s="696" t="s">
        <v>29</v>
      </c>
    </row>
    <row r="196" spans="1:21">
      <c r="A196" s="210" t="s">
        <v>32</v>
      </c>
      <c r="B196" s="211" t="s">
        <v>389</v>
      </c>
      <c r="C196" s="211" t="s">
        <v>23</v>
      </c>
      <c r="D196" s="211" t="s">
        <v>351</v>
      </c>
      <c r="E196" s="211" t="s">
        <v>22</v>
      </c>
      <c r="F196" s="211" t="s">
        <v>352</v>
      </c>
      <c r="G196" s="212" t="s">
        <v>21</v>
      </c>
      <c r="H196" s="315" t="s">
        <v>337</v>
      </c>
      <c r="I196" s="352"/>
      <c r="J196" s="189"/>
      <c r="K196" s="262">
        <v>1</v>
      </c>
      <c r="L196" s="235" t="s">
        <v>98</v>
      </c>
      <c r="M196" s="284">
        <v>14408383.050000001</v>
      </c>
      <c r="N196" s="271">
        <v>84.823999999999998</v>
      </c>
      <c r="O196" s="271">
        <v>11760809.789999999</v>
      </c>
      <c r="P196" s="271">
        <v>73.388000000000005</v>
      </c>
      <c r="Q196" s="375">
        <v>-0.22500000000000001</v>
      </c>
      <c r="R196" s="285"/>
      <c r="S196" s="236">
        <f t="shared" ref="S196:S218" si="23">C197-M196</f>
        <v>1.9999999552965164E-2</v>
      </c>
      <c r="T196" s="186">
        <f t="shared" ref="T196:T218" si="24">E197-O196</f>
        <v>-9.9999997764825821E-3</v>
      </c>
      <c r="U196" s="345" t="str">
        <f t="shared" ref="U196:U218" si="25">IF(AND(ROUNDDOWN(S196,0)=0,ROUNDDOWN(T196,0)=0),"PASS","FAIL")</f>
        <v>PASS</v>
      </c>
    </row>
    <row r="197" spans="1:21">
      <c r="A197" s="438">
        <v>1</v>
      </c>
      <c r="B197" s="437" t="s">
        <v>98</v>
      </c>
      <c r="C197" s="436">
        <v>14408383.07</v>
      </c>
      <c r="D197" s="436">
        <v>84.82</v>
      </c>
      <c r="E197" s="436">
        <v>11760809.779999999</v>
      </c>
      <c r="F197" s="436">
        <v>73.39</v>
      </c>
      <c r="G197" s="435">
        <v>0.22509999999999999</v>
      </c>
      <c r="H197" s="434">
        <v>2</v>
      </c>
      <c r="I197" s="441"/>
      <c r="J197" s="189"/>
      <c r="K197" s="262">
        <v>2</v>
      </c>
      <c r="L197" s="235" t="s">
        <v>643</v>
      </c>
      <c r="M197" s="286">
        <v>13078811</v>
      </c>
      <c r="N197" s="271">
        <v>76.995999999999995</v>
      </c>
      <c r="O197" s="271">
        <v>12367214.060000001</v>
      </c>
      <c r="P197" s="271">
        <v>77.171999999999997</v>
      </c>
      <c r="Q197" s="375">
        <v>-5.8000000000000003E-2</v>
      </c>
      <c r="R197" s="285"/>
      <c r="S197" s="236">
        <f t="shared" si="23"/>
        <v>0</v>
      </c>
      <c r="T197" s="186">
        <f t="shared" si="24"/>
        <v>0</v>
      </c>
      <c r="U197" s="345" t="str">
        <f t="shared" si="25"/>
        <v>PASS</v>
      </c>
    </row>
    <row r="198" spans="1:21">
      <c r="A198" s="438">
        <v>2</v>
      </c>
      <c r="B198" s="437" t="s">
        <v>643</v>
      </c>
      <c r="C198" s="436">
        <v>13078811</v>
      </c>
      <c r="D198" s="436">
        <v>77</v>
      </c>
      <c r="E198" s="436">
        <v>12367214.060000001</v>
      </c>
      <c r="F198" s="436">
        <v>77.17</v>
      </c>
      <c r="G198" s="435">
        <v>5.7500000000000002E-2</v>
      </c>
      <c r="H198" s="434">
        <v>1</v>
      </c>
      <c r="I198" s="441"/>
      <c r="J198" s="189"/>
      <c r="K198" s="262">
        <v>3</v>
      </c>
      <c r="L198" s="235" t="s">
        <v>99</v>
      </c>
      <c r="M198" s="286">
        <v>8463627.25</v>
      </c>
      <c r="N198" s="271">
        <v>49.826000000000001</v>
      </c>
      <c r="O198" s="271">
        <v>7442672.7300000004</v>
      </c>
      <c r="P198" s="271">
        <v>46.442999999999998</v>
      </c>
      <c r="Q198" s="375">
        <v>-0.13700000000000001</v>
      </c>
      <c r="R198" s="285"/>
      <c r="S198" s="236">
        <f t="shared" si="23"/>
        <v>0</v>
      </c>
      <c r="T198" s="186">
        <f t="shared" si="24"/>
        <v>0</v>
      </c>
      <c r="U198" s="345" t="str">
        <f t="shared" si="25"/>
        <v>PASS</v>
      </c>
    </row>
    <row r="199" spans="1:21">
      <c r="A199" s="431">
        <v>3</v>
      </c>
      <c r="B199" s="437" t="s">
        <v>99</v>
      </c>
      <c r="C199" s="436">
        <v>8463627.25</v>
      </c>
      <c r="D199" s="436">
        <v>49.83</v>
      </c>
      <c r="E199" s="436">
        <v>7442672.7300000004</v>
      </c>
      <c r="F199" s="436">
        <v>46.44</v>
      </c>
      <c r="G199" s="435">
        <v>0.13719999999999999</v>
      </c>
      <c r="H199" s="434">
        <v>3</v>
      </c>
      <c r="I199" s="441"/>
      <c r="J199" s="189"/>
      <c r="K199" s="262">
        <v>4</v>
      </c>
      <c r="L199" s="235" t="s">
        <v>644</v>
      </c>
      <c r="M199" s="286">
        <v>2806093.09</v>
      </c>
      <c r="N199" s="271">
        <v>16.52</v>
      </c>
      <c r="O199" s="271">
        <v>2506899.0099999998</v>
      </c>
      <c r="P199" s="271">
        <v>15.643000000000001</v>
      </c>
      <c r="Q199" s="375">
        <v>-0.11899999999999999</v>
      </c>
      <c r="R199" s="285"/>
      <c r="S199" s="236">
        <f t="shared" si="23"/>
        <v>0</v>
      </c>
      <c r="T199" s="186">
        <f t="shared" si="24"/>
        <v>0</v>
      </c>
      <c r="U199" s="345" t="str">
        <f t="shared" si="25"/>
        <v>PASS</v>
      </c>
    </row>
    <row r="200" spans="1:21">
      <c r="A200" s="438">
        <v>4</v>
      </c>
      <c r="B200" s="437" t="s">
        <v>644</v>
      </c>
      <c r="C200" s="436">
        <v>2806093.09</v>
      </c>
      <c r="D200" s="436">
        <v>16.52</v>
      </c>
      <c r="E200" s="436">
        <v>2506899.0099999998</v>
      </c>
      <c r="F200" s="436">
        <v>15.64</v>
      </c>
      <c r="G200" s="435">
        <v>0.1193</v>
      </c>
      <c r="H200" s="434">
        <v>4</v>
      </c>
      <c r="I200" s="441"/>
      <c r="J200" s="189"/>
      <c r="K200" s="262">
        <v>5</v>
      </c>
      <c r="L200" s="235" t="s">
        <v>645</v>
      </c>
      <c r="M200" s="286">
        <v>2549788.0099999998</v>
      </c>
      <c r="N200" s="271">
        <v>15.010999999999999</v>
      </c>
      <c r="O200" s="271">
        <v>1947041.51</v>
      </c>
      <c r="P200" s="271">
        <v>12.15</v>
      </c>
      <c r="Q200" s="375">
        <v>-0.31</v>
      </c>
      <c r="R200" s="285"/>
      <c r="S200" s="236">
        <f t="shared" si="23"/>
        <v>0</v>
      </c>
      <c r="T200" s="186">
        <f t="shared" si="24"/>
        <v>0</v>
      </c>
      <c r="U200" s="345" t="str">
        <f t="shared" si="25"/>
        <v>PASS</v>
      </c>
    </row>
    <row r="201" spans="1:21">
      <c r="A201" s="438">
        <v>5</v>
      </c>
      <c r="B201" s="437" t="s">
        <v>645</v>
      </c>
      <c r="C201" s="436">
        <v>2549788.0099999998</v>
      </c>
      <c r="D201" s="436">
        <v>15.01</v>
      </c>
      <c r="E201" s="436">
        <v>1947041.51</v>
      </c>
      <c r="F201" s="436">
        <v>12.15</v>
      </c>
      <c r="G201" s="435">
        <v>0.30959999999999999</v>
      </c>
      <c r="H201" s="434">
        <v>5</v>
      </c>
      <c r="I201" s="441"/>
      <c r="J201" s="189"/>
      <c r="K201" s="234">
        <v>6</v>
      </c>
      <c r="L201" s="235" t="s">
        <v>646</v>
      </c>
      <c r="M201" s="286">
        <v>873272.13</v>
      </c>
      <c r="N201" s="286">
        <v>5.141</v>
      </c>
      <c r="O201" s="286">
        <v>648742.07999999996</v>
      </c>
      <c r="P201" s="271">
        <v>4.048</v>
      </c>
      <c r="Q201" s="375">
        <v>-0.34599999999999997</v>
      </c>
      <c r="R201" s="285"/>
      <c r="S201" s="236">
        <f t="shared" si="23"/>
        <v>0</v>
      </c>
      <c r="T201" s="186">
        <f t="shared" si="24"/>
        <v>0</v>
      </c>
      <c r="U201" s="345" t="str">
        <f t="shared" si="25"/>
        <v>PASS</v>
      </c>
    </row>
    <row r="202" spans="1:21" s="215" customFormat="1">
      <c r="A202" s="438">
        <v>6</v>
      </c>
      <c r="B202" s="437" t="s">
        <v>646</v>
      </c>
      <c r="C202" s="436">
        <v>873272.13</v>
      </c>
      <c r="D202" s="436">
        <v>5.14</v>
      </c>
      <c r="E202" s="436">
        <v>648742.07999999996</v>
      </c>
      <c r="F202" s="436">
        <v>4.05</v>
      </c>
      <c r="G202" s="435">
        <v>0.34610000000000002</v>
      </c>
      <c r="H202" s="434">
        <v>6</v>
      </c>
      <c r="I202" s="441"/>
      <c r="J202" s="189"/>
      <c r="K202" s="262">
        <v>7</v>
      </c>
      <c r="L202" s="235" t="s">
        <v>649</v>
      </c>
      <c r="M202" s="286">
        <v>344227.01</v>
      </c>
      <c r="N202" s="286">
        <v>2.0259999999999998</v>
      </c>
      <c r="O202" s="286">
        <v>355278.07</v>
      </c>
      <c r="P202" s="271">
        <v>2.2170000000000001</v>
      </c>
      <c r="Q202" s="375">
        <v>3.1E-2</v>
      </c>
      <c r="R202" s="285"/>
      <c r="S202" s="236">
        <f t="shared" si="23"/>
        <v>0</v>
      </c>
      <c r="T202" s="186">
        <f t="shared" si="24"/>
        <v>0</v>
      </c>
      <c r="U202" s="345" t="str">
        <f t="shared" si="25"/>
        <v>PASS</v>
      </c>
    </row>
    <row r="203" spans="1:21">
      <c r="A203" s="198">
        <v>7</v>
      </c>
      <c r="B203" s="437" t="s">
        <v>649</v>
      </c>
      <c r="C203" s="436">
        <v>344227.01</v>
      </c>
      <c r="D203" s="436">
        <v>2.0299999999999998</v>
      </c>
      <c r="E203" s="436">
        <v>355278.07</v>
      </c>
      <c r="F203" s="436">
        <v>2.2200000000000002</v>
      </c>
      <c r="G203" s="435">
        <v>-3.1099999999999999E-2</v>
      </c>
      <c r="H203" s="434">
        <v>7</v>
      </c>
      <c r="I203" s="439"/>
      <c r="J203" s="189"/>
      <c r="K203" s="262">
        <v>8</v>
      </c>
      <c r="L203" s="235" t="s">
        <v>654</v>
      </c>
      <c r="M203" s="286">
        <v>250318.77</v>
      </c>
      <c r="N203" s="286">
        <v>1.474</v>
      </c>
      <c r="O203" s="286">
        <v>185561.89</v>
      </c>
      <c r="P203" s="271">
        <v>1.1579999999999999</v>
      </c>
      <c r="Q203" s="375">
        <v>-0.34899999999999998</v>
      </c>
      <c r="R203" s="285"/>
      <c r="S203" s="236">
        <f t="shared" si="23"/>
        <v>0</v>
      </c>
      <c r="T203" s="186">
        <f t="shared" si="24"/>
        <v>0</v>
      </c>
      <c r="U203" s="345" t="str">
        <f t="shared" si="25"/>
        <v>PASS</v>
      </c>
    </row>
    <row r="204" spans="1:21">
      <c r="A204" s="440">
        <v>8</v>
      </c>
      <c r="B204" s="437" t="s">
        <v>654</v>
      </c>
      <c r="C204" s="436">
        <v>250318.77</v>
      </c>
      <c r="D204" s="436">
        <v>1.47</v>
      </c>
      <c r="E204" s="436">
        <v>185561.89</v>
      </c>
      <c r="F204" s="436">
        <v>1.1599999999999999</v>
      </c>
      <c r="G204" s="435">
        <v>0.34899999999999998</v>
      </c>
      <c r="H204" s="434">
        <v>9</v>
      </c>
      <c r="I204" s="439"/>
      <c r="J204" s="189"/>
      <c r="K204" s="262">
        <v>9</v>
      </c>
      <c r="L204" s="235" t="s">
        <v>647</v>
      </c>
      <c r="M204" s="286">
        <v>164580.23000000001</v>
      </c>
      <c r="N204" s="286">
        <v>0.96899999999999997</v>
      </c>
      <c r="O204" s="286">
        <v>141981.56</v>
      </c>
      <c r="P204" s="271">
        <v>0.88600000000000001</v>
      </c>
      <c r="Q204" s="375">
        <v>-0.159</v>
      </c>
      <c r="R204" s="285"/>
      <c r="S204" s="236">
        <f t="shared" si="23"/>
        <v>0</v>
      </c>
      <c r="T204" s="186">
        <f t="shared" si="24"/>
        <v>0</v>
      </c>
      <c r="U204" s="345" t="str">
        <f t="shared" si="25"/>
        <v>PASS</v>
      </c>
    </row>
    <row r="205" spans="1:21">
      <c r="A205" s="440">
        <v>9</v>
      </c>
      <c r="B205" s="437" t="s">
        <v>647</v>
      </c>
      <c r="C205" s="436">
        <v>164580.23000000001</v>
      </c>
      <c r="D205" s="436">
        <v>0.97</v>
      </c>
      <c r="E205" s="436">
        <v>141981.56</v>
      </c>
      <c r="F205" s="436">
        <v>0.89</v>
      </c>
      <c r="G205" s="435">
        <v>0.15920000000000001</v>
      </c>
      <c r="H205" s="434">
        <v>10</v>
      </c>
      <c r="I205" s="439"/>
      <c r="J205" s="189"/>
      <c r="K205" s="234">
        <v>10</v>
      </c>
      <c r="L205" s="235" t="s">
        <v>648</v>
      </c>
      <c r="M205" s="286">
        <v>152737.21</v>
      </c>
      <c r="N205" s="286">
        <v>0.89900000000000002</v>
      </c>
      <c r="O205" s="286">
        <v>188867.71</v>
      </c>
      <c r="P205" s="271">
        <v>1.179</v>
      </c>
      <c r="Q205" s="375">
        <v>0.191</v>
      </c>
      <c r="R205" s="285"/>
      <c r="S205" s="236">
        <f t="shared" si="23"/>
        <v>0</v>
      </c>
      <c r="T205" s="186">
        <f t="shared" si="24"/>
        <v>0</v>
      </c>
      <c r="U205" s="345" t="str">
        <f t="shared" si="25"/>
        <v>PASS</v>
      </c>
    </row>
    <row r="206" spans="1:21" s="215" customFormat="1">
      <c r="A206" s="438">
        <v>10</v>
      </c>
      <c r="B206" s="437" t="s">
        <v>648</v>
      </c>
      <c r="C206" s="436">
        <v>152737.21</v>
      </c>
      <c r="D206" s="436">
        <v>0.9</v>
      </c>
      <c r="E206" s="436">
        <v>188867.71</v>
      </c>
      <c r="F206" s="436">
        <v>1.18</v>
      </c>
      <c r="G206" s="435">
        <v>-0.1913</v>
      </c>
      <c r="H206" s="434">
        <v>8</v>
      </c>
      <c r="I206" s="433"/>
      <c r="J206" s="189"/>
      <c r="K206" s="262">
        <v>11</v>
      </c>
      <c r="L206" s="235" t="s">
        <v>651</v>
      </c>
      <c r="M206" s="286">
        <v>134138.79</v>
      </c>
      <c r="N206" s="286">
        <v>0.79</v>
      </c>
      <c r="O206" s="286">
        <v>92544.34</v>
      </c>
      <c r="P206" s="271">
        <v>0.57699999999999996</v>
      </c>
      <c r="Q206" s="375">
        <v>-0.44900000000000001</v>
      </c>
      <c r="R206" s="285"/>
      <c r="S206" s="236">
        <f t="shared" si="23"/>
        <v>0</v>
      </c>
      <c r="T206" s="186">
        <f t="shared" si="24"/>
        <v>0</v>
      </c>
      <c r="U206" s="345" t="str">
        <f t="shared" si="25"/>
        <v>PASS</v>
      </c>
    </row>
    <row r="207" spans="1:21">
      <c r="A207" s="438">
        <v>11</v>
      </c>
      <c r="B207" s="437" t="s">
        <v>651</v>
      </c>
      <c r="C207" s="436">
        <v>134138.79</v>
      </c>
      <c r="D207" s="436">
        <v>0.79</v>
      </c>
      <c r="E207" s="436">
        <v>92544.34</v>
      </c>
      <c r="F207" s="436">
        <v>0.57999999999999996</v>
      </c>
      <c r="G207" s="435">
        <v>0.44950000000000001</v>
      </c>
      <c r="H207" s="434">
        <v>12</v>
      </c>
      <c r="I207" s="433"/>
      <c r="J207" s="189"/>
      <c r="K207" s="262">
        <v>12</v>
      </c>
      <c r="L207" s="235" t="s">
        <v>652</v>
      </c>
      <c r="M207" s="286">
        <v>111689.43</v>
      </c>
      <c r="N207" s="286">
        <v>0.65800000000000003</v>
      </c>
      <c r="O207" s="286">
        <v>94208.6</v>
      </c>
      <c r="P207" s="271">
        <v>0.58799999999999997</v>
      </c>
      <c r="Q207" s="375">
        <v>-0.186</v>
      </c>
      <c r="R207" s="285"/>
      <c r="S207" s="236">
        <f t="shared" si="23"/>
        <v>0</v>
      </c>
      <c r="T207" s="186">
        <f t="shared" si="24"/>
        <v>0</v>
      </c>
      <c r="U207" s="345" t="str">
        <f t="shared" si="25"/>
        <v>PASS</v>
      </c>
    </row>
    <row r="208" spans="1:21">
      <c r="A208" s="431">
        <v>12</v>
      </c>
      <c r="B208" s="431" t="s">
        <v>652</v>
      </c>
      <c r="C208" s="430">
        <v>111689.43</v>
      </c>
      <c r="D208" s="430">
        <v>0.66</v>
      </c>
      <c r="E208" s="430">
        <v>94208.6</v>
      </c>
      <c r="F208" s="430">
        <v>0.59</v>
      </c>
      <c r="G208" s="429">
        <v>0.18559999999999999</v>
      </c>
      <c r="H208" s="307">
        <v>11</v>
      </c>
      <c r="I208" s="308"/>
      <c r="J208" s="189"/>
      <c r="K208" s="262">
        <v>13</v>
      </c>
      <c r="L208" s="235" t="s">
        <v>653</v>
      </c>
      <c r="M208" s="286">
        <v>104208.11</v>
      </c>
      <c r="N208" s="286">
        <v>0.61299999999999999</v>
      </c>
      <c r="O208" s="286">
        <v>83637.91</v>
      </c>
      <c r="P208" s="271">
        <v>0.52200000000000002</v>
      </c>
      <c r="Q208" s="375">
        <v>-0.246</v>
      </c>
      <c r="R208" s="285"/>
      <c r="S208" s="236">
        <f t="shared" si="23"/>
        <v>0</v>
      </c>
      <c r="T208" s="186">
        <f t="shared" si="24"/>
        <v>0</v>
      </c>
      <c r="U208" s="345" t="str">
        <f t="shared" si="25"/>
        <v>PASS</v>
      </c>
    </row>
    <row r="209" spans="1:21">
      <c r="A209" s="322">
        <v>13</v>
      </c>
      <c r="B209" s="322" t="s">
        <v>653</v>
      </c>
      <c r="C209" s="193">
        <v>104208.11</v>
      </c>
      <c r="D209" s="193">
        <v>0.61</v>
      </c>
      <c r="E209" s="250">
        <v>83637.91</v>
      </c>
      <c r="F209" s="250">
        <v>0.52</v>
      </c>
      <c r="G209" s="242">
        <v>0.24590000000000001</v>
      </c>
      <c r="H209" s="309">
        <v>13</v>
      </c>
      <c r="I209" s="251"/>
      <c r="J209" s="189"/>
      <c r="K209" s="234">
        <v>14</v>
      </c>
      <c r="L209" s="235" t="s">
        <v>668</v>
      </c>
      <c r="M209" s="286">
        <v>18075.099999999999</v>
      </c>
      <c r="N209" s="286">
        <v>0.106</v>
      </c>
      <c r="O209" s="286">
        <v>8859.73</v>
      </c>
      <c r="P209" s="271">
        <v>5.5E-2</v>
      </c>
      <c r="Q209" s="375">
        <v>-1.04</v>
      </c>
      <c r="R209" s="285"/>
      <c r="S209" s="236">
        <f t="shared" si="23"/>
        <v>0</v>
      </c>
      <c r="T209" s="186">
        <f t="shared" si="24"/>
        <v>0</v>
      </c>
      <c r="U209" s="345" t="str">
        <f t="shared" si="25"/>
        <v>PASS</v>
      </c>
    </row>
    <row r="210" spans="1:21" s="18" customFormat="1">
      <c r="A210" s="322">
        <v>14</v>
      </c>
      <c r="B210" s="322" t="s">
        <v>668</v>
      </c>
      <c r="C210" s="193">
        <v>18075.099999999999</v>
      </c>
      <c r="D210" s="193">
        <v>0.11</v>
      </c>
      <c r="E210" s="250">
        <v>8859.73</v>
      </c>
      <c r="F210" s="250">
        <v>0.06</v>
      </c>
      <c r="G210" s="242">
        <v>1.0401</v>
      </c>
      <c r="H210" s="309">
        <v>17</v>
      </c>
      <c r="I210" s="251"/>
      <c r="J210" s="189"/>
      <c r="K210" s="262">
        <v>15</v>
      </c>
      <c r="L210" s="235" t="s">
        <v>708</v>
      </c>
      <c r="M210" s="286">
        <v>15163.51</v>
      </c>
      <c r="N210" s="286">
        <v>8.8999999999999996E-2</v>
      </c>
      <c r="O210" s="286">
        <v>10841.47</v>
      </c>
      <c r="P210" s="271">
        <v>6.8000000000000005E-2</v>
      </c>
      <c r="Q210" s="375">
        <v>-0.39900000000000002</v>
      </c>
      <c r="R210" s="285"/>
      <c r="S210" s="236">
        <f t="shared" si="23"/>
        <v>0</v>
      </c>
      <c r="T210" s="186">
        <f t="shared" si="24"/>
        <v>0</v>
      </c>
      <c r="U210" s="345" t="str">
        <f t="shared" si="25"/>
        <v>PASS</v>
      </c>
    </row>
    <row r="211" spans="1:21">
      <c r="A211" s="322">
        <v>15</v>
      </c>
      <c r="B211" s="322" t="s">
        <v>708</v>
      </c>
      <c r="C211" s="193">
        <v>15163.51</v>
      </c>
      <c r="D211" s="193">
        <v>0.09</v>
      </c>
      <c r="E211" s="250">
        <v>10841.47</v>
      </c>
      <c r="F211" s="250">
        <v>7.0000000000000007E-2</v>
      </c>
      <c r="G211" s="242">
        <v>0.3987</v>
      </c>
      <c r="H211" s="309">
        <v>16</v>
      </c>
      <c r="I211" s="251"/>
      <c r="J211" s="189"/>
      <c r="K211" s="262">
        <v>16</v>
      </c>
      <c r="L211" s="235" t="s">
        <v>650</v>
      </c>
      <c r="M211" s="286">
        <v>13800.4</v>
      </c>
      <c r="N211" s="286">
        <v>8.1000000000000003E-2</v>
      </c>
      <c r="O211" s="286">
        <v>52204.55</v>
      </c>
      <c r="P211" s="271">
        <v>0.32600000000000001</v>
      </c>
      <c r="Q211" s="375">
        <v>0.73599999999999999</v>
      </c>
      <c r="R211" s="285"/>
      <c r="S211" s="236">
        <f t="shared" si="23"/>
        <v>0</v>
      </c>
      <c r="T211" s="186">
        <f t="shared" si="24"/>
        <v>0</v>
      </c>
      <c r="U211" s="345" t="str">
        <f t="shared" si="25"/>
        <v>PASS</v>
      </c>
    </row>
    <row r="212" spans="1:21">
      <c r="A212" s="322">
        <v>16</v>
      </c>
      <c r="B212" s="322" t="s">
        <v>650</v>
      </c>
      <c r="C212" s="193">
        <v>13800.4</v>
      </c>
      <c r="D212" s="193">
        <v>0.08</v>
      </c>
      <c r="E212" s="250">
        <v>52204.55</v>
      </c>
      <c r="F212" s="250">
        <v>0.33</v>
      </c>
      <c r="G212" s="242">
        <v>-0.73560000000000003</v>
      </c>
      <c r="H212" s="309">
        <v>14</v>
      </c>
      <c r="I212" s="243"/>
      <c r="K212" s="262">
        <v>17</v>
      </c>
      <c r="L212" s="235" t="s">
        <v>666</v>
      </c>
      <c r="M212" s="286">
        <v>11315.61</v>
      </c>
      <c r="N212" s="286">
        <v>6.7000000000000004E-2</v>
      </c>
      <c r="O212" s="286">
        <v>15477.22</v>
      </c>
      <c r="P212" s="271">
        <v>9.7000000000000003E-2</v>
      </c>
      <c r="Q212" s="375">
        <v>0.26900000000000002</v>
      </c>
      <c r="R212" s="285"/>
      <c r="S212" s="236">
        <f t="shared" si="23"/>
        <v>0</v>
      </c>
      <c r="T212" s="186">
        <f t="shared" si="24"/>
        <v>0</v>
      </c>
      <c r="U212" s="345" t="str">
        <f t="shared" si="25"/>
        <v>PASS</v>
      </c>
    </row>
    <row r="213" spans="1:21">
      <c r="A213" s="322">
        <v>17</v>
      </c>
      <c r="B213" s="322" t="s">
        <v>666</v>
      </c>
      <c r="C213" s="193">
        <v>11315.61</v>
      </c>
      <c r="D213" s="193">
        <v>7.0000000000000007E-2</v>
      </c>
      <c r="E213" s="250">
        <v>15477.22</v>
      </c>
      <c r="F213" s="250">
        <v>0.1</v>
      </c>
      <c r="G213" s="242">
        <v>-0.26889999999999997</v>
      </c>
      <c r="H213" s="309">
        <v>15</v>
      </c>
      <c r="I213" s="243"/>
      <c r="K213" s="262">
        <v>18</v>
      </c>
      <c r="L213" s="235" t="s">
        <v>655</v>
      </c>
      <c r="M213" s="286">
        <v>9956.6200000000008</v>
      </c>
      <c r="N213" s="286">
        <v>5.8999999999999997E-2</v>
      </c>
      <c r="O213" s="286">
        <v>6245.6</v>
      </c>
      <c r="P213" s="271">
        <v>3.9E-2</v>
      </c>
      <c r="Q213" s="375">
        <v>-0.59399999999999997</v>
      </c>
      <c r="R213" s="285"/>
      <c r="S213" s="236">
        <f t="shared" si="23"/>
        <v>0</v>
      </c>
      <c r="T213" s="186">
        <f t="shared" si="24"/>
        <v>0</v>
      </c>
      <c r="U213" s="345" t="str">
        <f t="shared" si="25"/>
        <v>PASS</v>
      </c>
    </row>
    <row r="214" spans="1:21">
      <c r="A214" s="322">
        <v>18</v>
      </c>
      <c r="B214" s="322" t="s">
        <v>655</v>
      </c>
      <c r="C214" s="193">
        <v>9956.6200000000008</v>
      </c>
      <c r="D214" s="193">
        <v>0.06</v>
      </c>
      <c r="E214" s="250">
        <v>6245.6</v>
      </c>
      <c r="F214" s="250">
        <v>0.04</v>
      </c>
      <c r="G214" s="242">
        <v>0.59419999999999995</v>
      </c>
      <c r="H214" s="309">
        <v>19</v>
      </c>
      <c r="I214" s="243"/>
      <c r="K214" s="262">
        <v>19</v>
      </c>
      <c r="L214" s="235" t="s">
        <v>656</v>
      </c>
      <c r="M214" s="286">
        <v>7560.9</v>
      </c>
      <c r="N214" s="286">
        <v>4.4999999999999998E-2</v>
      </c>
      <c r="O214" s="286">
        <v>8498.25</v>
      </c>
      <c r="P214" s="271">
        <v>5.2999999999999999E-2</v>
      </c>
      <c r="Q214" s="375">
        <v>0.11</v>
      </c>
      <c r="R214" s="293"/>
      <c r="S214" s="236">
        <f t="shared" si="23"/>
        <v>0</v>
      </c>
      <c r="T214" s="186">
        <f t="shared" si="24"/>
        <v>0</v>
      </c>
      <c r="U214" s="345" t="str">
        <f t="shared" si="25"/>
        <v>PASS</v>
      </c>
    </row>
    <row r="215" spans="1:21">
      <c r="A215" s="322">
        <v>19</v>
      </c>
      <c r="B215" s="322" t="s">
        <v>656</v>
      </c>
      <c r="C215" s="193">
        <v>7560.9</v>
      </c>
      <c r="D215" s="193">
        <v>0.04</v>
      </c>
      <c r="E215" s="250">
        <v>8498.25</v>
      </c>
      <c r="F215" s="250">
        <v>0.05</v>
      </c>
      <c r="G215" s="242">
        <v>-0.1103</v>
      </c>
      <c r="H215" s="309">
        <v>18</v>
      </c>
      <c r="I215" s="251"/>
      <c r="K215" s="262">
        <v>20</v>
      </c>
      <c r="L215" s="235" t="s">
        <v>731</v>
      </c>
      <c r="M215" s="286">
        <v>1146.8599999999999</v>
      </c>
      <c r="N215" s="286">
        <v>7.0000000000000001E-3</v>
      </c>
      <c r="O215" s="286">
        <v>612.08000000000004</v>
      </c>
      <c r="P215" s="271">
        <v>4.0000000000000001E-3</v>
      </c>
      <c r="Q215" s="375">
        <v>-0.874</v>
      </c>
      <c r="R215" s="293"/>
      <c r="S215" s="236">
        <f t="shared" si="23"/>
        <v>0</v>
      </c>
      <c r="T215" s="186">
        <f t="shared" si="24"/>
        <v>0</v>
      </c>
      <c r="U215" s="345" t="str">
        <f t="shared" si="25"/>
        <v>PASS</v>
      </c>
    </row>
    <row r="216" spans="1:21">
      <c r="A216" s="322">
        <v>20</v>
      </c>
      <c r="B216" s="322" t="s">
        <v>731</v>
      </c>
      <c r="C216" s="193">
        <v>1146.8599999999999</v>
      </c>
      <c r="D216" s="193">
        <v>0.01</v>
      </c>
      <c r="E216" s="250">
        <v>612.08000000000004</v>
      </c>
      <c r="F216" s="250">
        <v>0</v>
      </c>
      <c r="G216" s="242">
        <v>0.87370000000000003</v>
      </c>
      <c r="H216" s="309">
        <v>24</v>
      </c>
      <c r="I216" s="251"/>
      <c r="K216" s="266"/>
      <c r="L216" s="298" t="s">
        <v>338</v>
      </c>
      <c r="M216" s="252">
        <f>M217-SUM(M196:M215)</f>
        <v>-4415336.1799999923</v>
      </c>
      <c r="N216" s="252"/>
      <c r="O216" s="252">
        <f>O217-SUM(O196:O215)</f>
        <v>68184.180000007153</v>
      </c>
      <c r="P216" s="252"/>
      <c r="Q216" s="375">
        <f>IF(O216=0,"0",(M216-O216)/O216)</f>
        <v>-65.756020824765059</v>
      </c>
      <c r="R216" s="299"/>
      <c r="S216" s="236">
        <f t="shared" si="23"/>
        <v>4416208.5399999926</v>
      </c>
      <c r="T216" s="186">
        <f t="shared" si="24"/>
        <v>-62089.280000007151</v>
      </c>
      <c r="U216" s="345" t="str">
        <f t="shared" si="25"/>
        <v>FAIL</v>
      </c>
    </row>
    <row r="217" spans="1:21">
      <c r="A217" s="322"/>
      <c r="B217" s="437" t="s">
        <v>711</v>
      </c>
      <c r="C217" s="436">
        <v>872.36</v>
      </c>
      <c r="D217" s="436"/>
      <c r="E217" s="436">
        <v>6094.9</v>
      </c>
      <c r="F217" s="436"/>
      <c r="G217" s="435">
        <v>-0.8569</v>
      </c>
      <c r="H217" s="434"/>
      <c r="I217" s="433"/>
      <c r="K217" s="266"/>
      <c r="L217" s="298" t="s">
        <v>339</v>
      </c>
      <c r="M217" s="196">
        <f>[1]SP_Data!L21</f>
        <v>39103556.899999999</v>
      </c>
      <c r="N217" s="196"/>
      <c r="O217" s="196">
        <f>[1]SP_Data!M21</f>
        <v>37986382.340000004</v>
      </c>
      <c r="P217" s="247"/>
      <c r="Q217" s="300"/>
      <c r="R217" s="301"/>
      <c r="S217" s="236">
        <f t="shared" si="23"/>
        <v>4416208.5600000024</v>
      </c>
      <c r="T217" s="186">
        <f t="shared" si="24"/>
        <v>-62089.290000006557</v>
      </c>
      <c r="U217" s="345" t="str">
        <f t="shared" si="25"/>
        <v>FAIL</v>
      </c>
    </row>
    <row r="218" spans="1:21">
      <c r="A218" s="322"/>
      <c r="B218" s="437" t="s">
        <v>35</v>
      </c>
      <c r="C218" s="436">
        <v>43519765.460000001</v>
      </c>
      <c r="D218" s="436"/>
      <c r="E218" s="436">
        <v>37924293.049999997</v>
      </c>
      <c r="F218" s="436"/>
      <c r="G218" s="435"/>
      <c r="H218" s="434"/>
      <c r="I218" s="433"/>
      <c r="K218" s="266"/>
      <c r="L218" s="303" t="s">
        <v>340</v>
      </c>
      <c r="M218" s="196">
        <f>[1]SP_Data!G31</f>
        <v>245.13</v>
      </c>
      <c r="N218" s="201"/>
      <c r="O218" s="201">
        <f>[1]SP_Data!H31</f>
        <v>232.45</v>
      </c>
      <c r="P218" s="247"/>
      <c r="Q218" s="304"/>
      <c r="R218" s="305"/>
      <c r="S218" s="236">
        <f t="shared" si="23"/>
        <v>11.079999999999984</v>
      </c>
      <c r="T218" s="186">
        <f t="shared" si="24"/>
        <v>4.2000000000000171</v>
      </c>
      <c r="U218" s="345" t="str">
        <f t="shared" si="25"/>
        <v>FAIL</v>
      </c>
    </row>
    <row r="219" spans="1:21">
      <c r="A219" s="322"/>
      <c r="B219" s="431" t="s">
        <v>434</v>
      </c>
      <c r="C219" s="430">
        <v>256.20999999999998</v>
      </c>
      <c r="D219" s="430"/>
      <c r="E219" s="430">
        <v>236.65</v>
      </c>
      <c r="F219" s="430"/>
      <c r="G219" s="429"/>
      <c r="H219" s="307"/>
      <c r="I219" s="308"/>
    </row>
    <row r="236" spans="3:17">
      <c r="K236" s="2"/>
      <c r="L236" s="2"/>
      <c r="Q236" s="2"/>
    </row>
    <row r="237" spans="3:17">
      <c r="C237" s="2"/>
      <c r="D237" s="2"/>
      <c r="E237" s="2"/>
      <c r="F237" s="2"/>
      <c r="G237" s="310"/>
      <c r="H237" s="2"/>
      <c r="I237" s="2"/>
    </row>
    <row r="238" spans="3:17">
      <c r="K238" s="2"/>
      <c r="L238" s="2"/>
      <c r="Q238" s="2"/>
    </row>
    <row r="239" spans="3:17">
      <c r="C239" s="2"/>
      <c r="D239" s="2"/>
      <c r="E239" s="2"/>
      <c r="F239" s="2"/>
      <c r="G239" s="311"/>
      <c r="H239" s="2"/>
      <c r="I239" s="2"/>
    </row>
  </sheetData>
  <mergeCells count="9">
    <mergeCell ref="M113:S113"/>
    <mergeCell ref="K167:R167"/>
    <mergeCell ref="A168:I168"/>
    <mergeCell ref="A1:B1"/>
    <mergeCell ref="A2:I2"/>
    <mergeCell ref="K2:U2"/>
    <mergeCell ref="A4:U4"/>
    <mergeCell ref="K86:R86"/>
    <mergeCell ref="A87:I87"/>
  </mergeCells>
  <conditionalFormatting sqref="U196:U218 U169:U191 U142:U164 U88:U110 U61:U83 U34:U56 U7:U29 U115:U137">
    <cfRule type="containsText" dxfId="209" priority="1" operator="containsText" text="FAIL">
      <formula>NOT(ISERROR(SEARCH("FAIL",U7)))</formula>
    </cfRule>
    <cfRule type="containsText" dxfId="208" priority="2" operator="containsText" text="PASS">
      <formula>NOT(ISERROR(SEARCH("PASS",U7)))</formula>
    </cfRule>
  </conditionalFormatting>
  <pageMargins left="0.7" right="0.7" top="0.75" bottom="0.75" header="0.3" footer="0.3"/>
  <pageSetup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J11"/>
  <sheetViews>
    <sheetView showGridLines="0" zoomScale="90" zoomScaleNormal="90" workbookViewId="0">
      <selection sqref="A1:A2"/>
    </sheetView>
  </sheetViews>
  <sheetFormatPr defaultRowHeight="12.75"/>
  <cols>
    <col min="1" max="1" width="15.85546875" style="2" customWidth="1"/>
    <col min="2" max="2" width="14.42578125" style="2" customWidth="1"/>
    <col min="3" max="3" width="17.42578125" style="2" bestFit="1" customWidth="1"/>
    <col min="4" max="4" width="13" style="2" customWidth="1"/>
    <col min="5" max="6" width="25.7109375" style="2" customWidth="1"/>
    <col min="7" max="7" width="13.28515625" style="2" customWidth="1"/>
    <col min="8" max="8" width="11.7109375" style="2" customWidth="1"/>
    <col min="9" max="9" width="18.7109375" style="160" customWidth="1"/>
    <col min="10" max="10" width="23.7109375" style="2" customWidth="1"/>
    <col min="11" max="16384" width="9.140625" style="2"/>
  </cols>
  <sheetData>
    <row r="1" spans="1:10" ht="12.75" customHeight="1">
      <c r="A1" s="720" t="s">
        <v>30</v>
      </c>
      <c r="B1" s="711" t="s">
        <v>20</v>
      </c>
      <c r="C1" s="745" t="s">
        <v>26</v>
      </c>
      <c r="D1" s="711" t="s">
        <v>16</v>
      </c>
      <c r="E1" s="745" t="s">
        <v>24</v>
      </c>
      <c r="F1" s="711" t="s">
        <v>25</v>
      </c>
      <c r="G1" s="711" t="s">
        <v>17</v>
      </c>
      <c r="H1" s="14" t="s">
        <v>18</v>
      </c>
      <c r="I1" s="709" t="s">
        <v>19</v>
      </c>
      <c r="J1" s="711" t="s">
        <v>0</v>
      </c>
    </row>
    <row r="2" spans="1:10">
      <c r="A2" s="744"/>
      <c r="B2" s="712"/>
      <c r="C2" s="747"/>
      <c r="D2" s="712"/>
      <c r="E2" s="747"/>
      <c r="F2" s="712"/>
      <c r="G2" s="712"/>
      <c r="H2" s="13" t="s">
        <v>394</v>
      </c>
      <c r="I2" s="710"/>
      <c r="J2" s="712"/>
    </row>
    <row r="3" spans="1:10" s="35" customFormat="1" ht="34.5" customHeight="1">
      <c r="A3" s="792" t="s">
        <v>31</v>
      </c>
      <c r="B3" s="778" t="s">
        <v>146</v>
      </c>
      <c r="C3" s="31" t="s">
        <v>170</v>
      </c>
      <c r="D3" s="32" t="s">
        <v>171</v>
      </c>
      <c r="E3" s="789" t="s">
        <v>166</v>
      </c>
      <c r="F3" s="25" t="s">
        <v>172</v>
      </c>
      <c r="G3" s="795" t="s">
        <v>160</v>
      </c>
      <c r="H3" s="11" t="s">
        <v>1</v>
      </c>
      <c r="I3" s="159"/>
      <c r="J3" s="30"/>
    </row>
    <row r="4" spans="1:10" ht="71.25" customHeight="1">
      <c r="A4" s="793"/>
      <c r="B4" s="779"/>
      <c r="C4" s="15" t="s">
        <v>147</v>
      </c>
      <c r="D4" s="15" t="s">
        <v>154</v>
      </c>
      <c r="E4" s="790"/>
      <c r="F4" s="607" t="s">
        <v>470</v>
      </c>
      <c r="G4" s="796"/>
      <c r="H4" s="11" t="s">
        <v>1</v>
      </c>
      <c r="I4" s="159"/>
      <c r="J4" s="12"/>
    </row>
    <row r="5" spans="1:10" ht="39.950000000000003" customHeight="1">
      <c r="A5" s="793"/>
      <c r="B5" s="779"/>
      <c r="C5" s="15" t="s">
        <v>148</v>
      </c>
      <c r="D5" s="15" t="s">
        <v>153</v>
      </c>
      <c r="E5" s="790"/>
      <c r="F5" s="714" t="s">
        <v>178</v>
      </c>
      <c r="G5" s="796"/>
      <c r="H5" s="11" t="s">
        <v>1</v>
      </c>
      <c r="I5" s="159"/>
      <c r="J5" s="12"/>
    </row>
    <row r="6" spans="1:10" ht="27.95" customHeight="1">
      <c r="A6" s="793"/>
      <c r="B6" s="779"/>
      <c r="C6" s="33" t="s">
        <v>149</v>
      </c>
      <c r="D6" s="33" t="s">
        <v>155</v>
      </c>
      <c r="E6" s="790"/>
      <c r="F6" s="714"/>
      <c r="G6" s="796"/>
      <c r="H6" s="11" t="s">
        <v>1</v>
      </c>
      <c r="I6" s="159"/>
      <c r="J6" s="12"/>
    </row>
    <row r="7" spans="1:10" ht="27.95" customHeight="1">
      <c r="A7" s="793"/>
      <c r="B7" s="779"/>
      <c r="C7" s="24" t="s">
        <v>150</v>
      </c>
      <c r="D7" s="20" t="s">
        <v>156</v>
      </c>
      <c r="E7" s="790"/>
      <c r="F7" s="714"/>
      <c r="G7" s="796"/>
      <c r="H7" s="11" t="s">
        <v>1</v>
      </c>
      <c r="I7" s="159"/>
      <c r="J7" s="12"/>
    </row>
    <row r="8" spans="1:10" ht="27.95" customHeight="1">
      <c r="A8" s="793"/>
      <c r="B8" s="779"/>
      <c r="C8" s="33" t="s">
        <v>151</v>
      </c>
      <c r="D8" s="33" t="s">
        <v>157</v>
      </c>
      <c r="E8" s="790"/>
      <c r="F8" s="714"/>
      <c r="G8" s="796"/>
      <c r="H8" s="11" t="s">
        <v>1</v>
      </c>
      <c r="I8" s="159"/>
      <c r="J8" s="12"/>
    </row>
    <row r="9" spans="1:10" ht="27.95" customHeight="1">
      <c r="A9" s="793"/>
      <c r="B9" s="779"/>
      <c r="C9" s="33" t="s">
        <v>152</v>
      </c>
      <c r="D9" s="33" t="s">
        <v>158</v>
      </c>
      <c r="E9" s="790"/>
      <c r="F9" s="714"/>
      <c r="G9" s="796"/>
      <c r="H9" s="11" t="s">
        <v>1</v>
      </c>
      <c r="I9" s="163"/>
      <c r="J9" s="12"/>
    </row>
    <row r="10" spans="1:10" ht="27.95" customHeight="1">
      <c r="A10" s="793"/>
      <c r="B10" s="779"/>
      <c r="C10" s="22" t="s">
        <v>34</v>
      </c>
      <c r="D10" s="22" t="s">
        <v>159</v>
      </c>
      <c r="E10" s="790"/>
      <c r="F10" s="714"/>
      <c r="G10" s="796"/>
      <c r="H10" s="11" t="s">
        <v>1</v>
      </c>
      <c r="I10" s="163"/>
      <c r="J10" s="12"/>
    </row>
    <row r="11" spans="1:10" ht="27.95" customHeight="1">
      <c r="A11" s="794"/>
      <c r="B11" s="780"/>
      <c r="C11" s="29" t="s">
        <v>35</v>
      </c>
      <c r="D11" s="37" t="s">
        <v>108</v>
      </c>
      <c r="E11" s="791"/>
      <c r="F11" s="714"/>
      <c r="G11" s="797"/>
      <c r="H11" s="11" t="s">
        <v>1</v>
      </c>
      <c r="I11" s="164"/>
      <c r="J11" s="12"/>
    </row>
  </sheetData>
  <mergeCells count="14">
    <mergeCell ref="J1:J2"/>
    <mergeCell ref="F1:F2"/>
    <mergeCell ref="G3:G11"/>
    <mergeCell ref="G1:G2"/>
    <mergeCell ref="F5:F11"/>
    <mergeCell ref="I1:I2"/>
    <mergeCell ref="E1:E2"/>
    <mergeCell ref="B3:B11"/>
    <mergeCell ref="E3:E11"/>
    <mergeCell ref="A1:A2"/>
    <mergeCell ref="B1:B2"/>
    <mergeCell ref="C1:C2"/>
    <mergeCell ref="D1:D2"/>
    <mergeCell ref="A3:A11"/>
  </mergeCells>
  <conditionalFormatting sqref="H3:H11">
    <cfRule type="cellIs" dxfId="207" priority="8" operator="equal">
      <formula>"Not Tested"</formula>
    </cfRule>
    <cfRule type="cellIs" dxfId="206" priority="9" operator="equal">
      <formula>"Pending"</formula>
    </cfRule>
    <cfRule type="cellIs" dxfId="205" priority="10" operator="equal">
      <formula>"Ongoing"</formula>
    </cfRule>
    <cfRule type="cellIs" dxfId="204" priority="11" operator="equal">
      <formula>"Blocked"</formula>
    </cfRule>
    <cfRule type="cellIs" dxfId="203" priority="12" operator="equal">
      <formula>"Fail"</formula>
    </cfRule>
    <cfRule type="cellIs" dxfId="202" priority="13" operator="equal">
      <formula>"Partially Fail"</formula>
    </cfRule>
    <cfRule type="cellIs" dxfId="201" priority="14" operator="equal">
      <formula>"Pass"</formula>
    </cfRule>
  </conditionalFormatting>
  <conditionalFormatting sqref="H3:H11">
    <cfRule type="cellIs" dxfId="200" priority="1" operator="equal">
      <formula>"Not Tested"</formula>
    </cfRule>
    <cfRule type="cellIs" dxfId="199" priority="2" operator="equal">
      <formula>"Pending"</formula>
    </cfRule>
    <cfRule type="cellIs" dxfId="198" priority="3" operator="equal">
      <formula>"Ongoing"</formula>
    </cfRule>
    <cfRule type="cellIs" dxfId="197" priority="4" operator="equal">
      <formula>"Blocked"</formula>
    </cfRule>
    <cfRule type="cellIs" dxfId="196" priority="5" operator="equal">
      <formula>"Fail"</formula>
    </cfRule>
    <cfRule type="cellIs" dxfId="195" priority="6" operator="equal">
      <formula>"Partially Pass"</formula>
    </cfRule>
    <cfRule type="cellIs" dxfId="194" priority="7" operator="equal">
      <formula>"Pass"</formula>
    </cfRule>
  </conditionalFormatting>
  <hyperlinks>
    <hyperlink ref="G3" location="'T20 Reports Data'!A1" display="T20 Reports Data'!A1"/>
    <hyperlink ref="G3:G9" location="'DC Data'!A1" display="DC Data'!A1"/>
    <hyperlink ref="G3:G11" location="HCM_Data!A1" display="HCM Data'!A1"/>
    <hyperlink ref="F4"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H3:H11</xm:sqref>
        </x14:dataValidation>
      </x14:dataValidations>
    </ext>
  </extLst>
</worksheet>
</file>

<file path=xl/worksheets/sheet16.xml><?xml version="1.0" encoding="utf-8"?>
<worksheet xmlns="http://schemas.openxmlformats.org/spreadsheetml/2006/main" xmlns:r="http://schemas.openxmlformats.org/officeDocument/2006/relationships">
  <dimension ref="A1:K7"/>
  <sheetViews>
    <sheetView showGridLines="0" zoomScale="90" zoomScaleNormal="90" workbookViewId="0">
      <selection sqref="A1:A2"/>
    </sheetView>
  </sheetViews>
  <sheetFormatPr defaultRowHeight="12.75"/>
  <cols>
    <col min="1" max="1" width="19.85546875" style="2" bestFit="1" customWidth="1"/>
    <col min="2" max="2" width="12" style="2" bestFit="1" customWidth="1"/>
    <col min="3" max="3" width="9.5703125" style="2" bestFit="1" customWidth="1"/>
    <col min="4" max="4" width="7.7109375" style="2" bestFit="1" customWidth="1"/>
    <col min="5" max="5" width="16.28515625" style="2" bestFit="1" customWidth="1"/>
    <col min="6" max="7" width="25.7109375" style="2" customWidth="1"/>
    <col min="8" max="8" width="11.5703125" style="2" bestFit="1" customWidth="1"/>
    <col min="9" max="9" width="12.42578125" style="2" bestFit="1" customWidth="1"/>
    <col min="10" max="10" width="14.5703125" style="160" customWidth="1"/>
    <col min="11" max="11" width="37" style="2" bestFit="1" customWidth="1"/>
    <col min="12" max="16384" width="9.140625" style="2"/>
  </cols>
  <sheetData>
    <row r="1" spans="1:11" ht="15" customHeight="1">
      <c r="A1" s="720" t="s">
        <v>30</v>
      </c>
      <c r="B1" s="711" t="s">
        <v>20</v>
      </c>
      <c r="C1" s="745" t="s">
        <v>26</v>
      </c>
      <c r="D1" s="746"/>
      <c r="E1" s="711" t="s">
        <v>16</v>
      </c>
      <c r="F1" s="711" t="s">
        <v>24</v>
      </c>
      <c r="G1" s="711" t="s">
        <v>25</v>
      </c>
      <c r="H1" s="711" t="s">
        <v>17</v>
      </c>
      <c r="I1" s="14" t="s">
        <v>18</v>
      </c>
      <c r="J1" s="709" t="s">
        <v>19</v>
      </c>
      <c r="K1" s="711" t="s">
        <v>0</v>
      </c>
    </row>
    <row r="2" spans="1:11" ht="15" customHeight="1">
      <c r="A2" s="744"/>
      <c r="B2" s="712"/>
      <c r="C2" s="747"/>
      <c r="D2" s="748"/>
      <c r="E2" s="712"/>
      <c r="F2" s="712"/>
      <c r="G2" s="712"/>
      <c r="H2" s="712"/>
      <c r="I2" s="13" t="s">
        <v>394</v>
      </c>
      <c r="J2" s="710"/>
      <c r="K2" s="712"/>
    </row>
    <row r="3" spans="1:11" ht="38.25">
      <c r="A3" s="713" t="s">
        <v>31</v>
      </c>
      <c r="B3" s="749" t="s">
        <v>121</v>
      </c>
      <c r="C3" s="753" t="s">
        <v>122</v>
      </c>
      <c r="D3" s="15" t="s">
        <v>123</v>
      </c>
      <c r="E3" s="15" t="s">
        <v>126</v>
      </c>
      <c r="F3" s="752" t="s">
        <v>167</v>
      </c>
      <c r="G3" s="23" t="s">
        <v>172</v>
      </c>
      <c r="H3" s="757" t="s">
        <v>120</v>
      </c>
      <c r="I3" s="11" t="s">
        <v>1</v>
      </c>
      <c r="J3" s="128"/>
      <c r="K3" s="12"/>
    </row>
    <row r="4" spans="1:11" ht="66.75" customHeight="1">
      <c r="A4" s="713"/>
      <c r="B4" s="749"/>
      <c r="C4" s="754"/>
      <c r="D4" s="33" t="s">
        <v>124</v>
      </c>
      <c r="E4" s="33" t="s">
        <v>127</v>
      </c>
      <c r="F4" s="752"/>
      <c r="G4" s="608" t="s">
        <v>470</v>
      </c>
      <c r="H4" s="757"/>
      <c r="I4" s="11" t="s">
        <v>1</v>
      </c>
      <c r="J4" s="128"/>
      <c r="K4" s="12"/>
    </row>
    <row r="5" spans="1:11" ht="35.1" customHeight="1">
      <c r="A5" s="713"/>
      <c r="B5" s="749"/>
      <c r="C5" s="754"/>
      <c r="D5" s="24" t="s">
        <v>35</v>
      </c>
      <c r="E5" s="20" t="s">
        <v>128</v>
      </c>
      <c r="F5" s="752"/>
      <c r="G5" s="750" t="s">
        <v>179</v>
      </c>
      <c r="H5" s="757"/>
      <c r="I5" s="11" t="s">
        <v>1</v>
      </c>
      <c r="J5" s="128"/>
      <c r="K5" s="12"/>
    </row>
    <row r="6" spans="1:11" ht="41.25" customHeight="1">
      <c r="A6" s="713"/>
      <c r="B6" s="749"/>
      <c r="C6" s="755"/>
      <c r="D6" s="33" t="s">
        <v>125</v>
      </c>
      <c r="E6" s="33" t="s">
        <v>129</v>
      </c>
      <c r="F6" s="752"/>
      <c r="G6" s="751"/>
      <c r="H6" s="757"/>
      <c r="I6" s="11" t="s">
        <v>1</v>
      </c>
      <c r="J6" s="128"/>
      <c r="K6" s="12"/>
    </row>
    <row r="7" spans="1:11" ht="27.95" customHeight="1"/>
  </sheetData>
  <mergeCells count="15">
    <mergeCell ref="A3:A6"/>
    <mergeCell ref="B3:B6"/>
    <mergeCell ref="F3:F6"/>
    <mergeCell ref="H3:H6"/>
    <mergeCell ref="C3:C6"/>
    <mergeCell ref="C1:D2"/>
    <mergeCell ref="A1:A2"/>
    <mergeCell ref="B1:B2"/>
    <mergeCell ref="E1:E2"/>
    <mergeCell ref="F1:F2"/>
    <mergeCell ref="G1:G2"/>
    <mergeCell ref="H1:H2"/>
    <mergeCell ref="G5:G6"/>
    <mergeCell ref="J1:J2"/>
    <mergeCell ref="K1:K2"/>
  </mergeCells>
  <conditionalFormatting sqref="I3:I6">
    <cfRule type="cellIs" dxfId="193" priority="64" operator="equal">
      <formula>"Not Tested"</formula>
    </cfRule>
    <cfRule type="cellIs" dxfId="192" priority="65" operator="equal">
      <formula>"Pending"</formula>
    </cfRule>
    <cfRule type="cellIs" dxfId="191" priority="66" operator="equal">
      <formula>"Ongoing"</formula>
    </cfRule>
    <cfRule type="cellIs" dxfId="190" priority="67" operator="equal">
      <formula>"Blocked"</formula>
    </cfRule>
    <cfRule type="cellIs" dxfId="189" priority="68" operator="equal">
      <formula>"Fail"</formula>
    </cfRule>
    <cfRule type="cellIs" dxfId="188" priority="69" operator="equal">
      <formula>"Partially Fail"</formula>
    </cfRule>
    <cfRule type="cellIs" dxfId="187" priority="70" operator="equal">
      <formula>"Pass"</formula>
    </cfRule>
  </conditionalFormatting>
  <conditionalFormatting sqref="I3:I6">
    <cfRule type="cellIs" dxfId="186" priority="57" operator="equal">
      <formula>"Not Tested"</formula>
    </cfRule>
    <cfRule type="cellIs" dxfId="185" priority="58" operator="equal">
      <formula>"Pending"</formula>
    </cfRule>
    <cfRule type="cellIs" dxfId="184" priority="59" operator="equal">
      <formula>"Ongoing"</formula>
    </cfRule>
    <cfRule type="cellIs" dxfId="183" priority="60" operator="equal">
      <formula>"Blocked"</formula>
    </cfRule>
    <cfRule type="cellIs" dxfId="182" priority="61" operator="equal">
      <formula>"Fail"</formula>
    </cfRule>
    <cfRule type="cellIs" dxfId="181" priority="62" operator="equal">
      <formula>"Partially Pass"</formula>
    </cfRule>
    <cfRule type="cellIs" dxfId="180" priority="63" operator="equal">
      <formula>"Pass"</formula>
    </cfRule>
  </conditionalFormatting>
  <conditionalFormatting sqref="I3:I6">
    <cfRule type="cellIs" dxfId="179" priority="50" operator="equal">
      <formula>"Not Tested"</formula>
    </cfRule>
    <cfRule type="cellIs" dxfId="178" priority="51" operator="equal">
      <formula>"Pending"</formula>
    </cfRule>
    <cfRule type="cellIs" dxfId="177" priority="52" operator="equal">
      <formula>"Ongoing"</formula>
    </cfRule>
    <cfRule type="cellIs" dxfId="176" priority="53" operator="equal">
      <formula>"Blocked"</formula>
    </cfRule>
    <cfRule type="cellIs" dxfId="175" priority="54" operator="equal">
      <formula>"Fail"</formula>
    </cfRule>
    <cfRule type="cellIs" dxfId="174" priority="55" operator="equal">
      <formula>"Partially Fail"</formula>
    </cfRule>
    <cfRule type="cellIs" dxfId="173" priority="56" operator="equal">
      <formula>"Pass"</formula>
    </cfRule>
  </conditionalFormatting>
  <conditionalFormatting sqref="I3:I6">
    <cfRule type="cellIs" dxfId="172" priority="43" operator="equal">
      <formula>"Not Tested"</formula>
    </cfRule>
    <cfRule type="cellIs" dxfId="171" priority="44" operator="equal">
      <formula>"Pending"</formula>
    </cfRule>
    <cfRule type="cellIs" dxfId="170" priority="45" operator="equal">
      <formula>"Ongoing"</formula>
    </cfRule>
    <cfRule type="cellIs" dxfId="169" priority="46" operator="equal">
      <formula>"Blocked"</formula>
    </cfRule>
    <cfRule type="cellIs" dxfId="168" priority="47" operator="equal">
      <formula>"Fail"</formula>
    </cfRule>
    <cfRule type="cellIs" dxfId="167" priority="48" operator="equal">
      <formula>"Partially Pass"</formula>
    </cfRule>
    <cfRule type="cellIs" dxfId="166" priority="49" operator="equal">
      <formula>"Pass"</formula>
    </cfRule>
  </conditionalFormatting>
  <conditionalFormatting sqref="I3:I6">
    <cfRule type="cellIs" dxfId="165" priority="36" operator="equal">
      <formula>"Not Tested"</formula>
    </cfRule>
    <cfRule type="cellIs" dxfId="164" priority="37" operator="equal">
      <formula>"Pending"</formula>
    </cfRule>
    <cfRule type="cellIs" dxfId="163" priority="38" operator="equal">
      <formula>"Ongoing"</formula>
    </cfRule>
    <cfRule type="cellIs" dxfId="162" priority="39" operator="equal">
      <formula>"Blocked"</formula>
    </cfRule>
    <cfRule type="cellIs" dxfId="161" priority="40" operator="equal">
      <formula>"Fail"</formula>
    </cfRule>
    <cfRule type="cellIs" dxfId="160" priority="41" operator="equal">
      <formula>"Partially Fail"</formula>
    </cfRule>
    <cfRule type="cellIs" dxfId="159" priority="42" operator="equal">
      <formula>"Pass"</formula>
    </cfRule>
  </conditionalFormatting>
  <conditionalFormatting sqref="I3:I6">
    <cfRule type="cellIs" dxfId="158" priority="29" operator="equal">
      <formula>"Not Tested"</formula>
    </cfRule>
    <cfRule type="cellIs" dxfId="157" priority="30" operator="equal">
      <formula>"Pending"</formula>
    </cfRule>
    <cfRule type="cellIs" dxfId="156" priority="31" operator="equal">
      <formula>"Ongoing"</formula>
    </cfRule>
    <cfRule type="cellIs" dxfId="155" priority="32" operator="equal">
      <formula>"Blocked"</formula>
    </cfRule>
    <cfRule type="cellIs" dxfId="154" priority="33" operator="equal">
      <formula>"Fail"</formula>
    </cfRule>
    <cfRule type="cellIs" dxfId="153" priority="34" operator="equal">
      <formula>"Partially Pass"</formula>
    </cfRule>
    <cfRule type="cellIs" dxfId="152" priority="35" operator="equal">
      <formula>"Pass"</formula>
    </cfRule>
  </conditionalFormatting>
  <conditionalFormatting sqref="I3:I6">
    <cfRule type="cellIs" dxfId="151" priority="22" operator="equal">
      <formula>"Not Tested"</formula>
    </cfRule>
    <cfRule type="cellIs" dxfId="150" priority="23" operator="equal">
      <formula>"Pending"</formula>
    </cfRule>
    <cfRule type="cellIs" dxfId="149" priority="24" operator="equal">
      <formula>"Ongoing"</formula>
    </cfRule>
    <cfRule type="cellIs" dxfId="148" priority="25" operator="equal">
      <formula>"Blocked"</formula>
    </cfRule>
    <cfRule type="cellIs" dxfId="147" priority="26" operator="equal">
      <formula>"Fail"</formula>
    </cfRule>
    <cfRule type="cellIs" dxfId="146" priority="27" operator="equal">
      <formula>"Partially Fail"</formula>
    </cfRule>
    <cfRule type="cellIs" dxfId="145" priority="28" operator="equal">
      <formula>"Pass"</formula>
    </cfRule>
  </conditionalFormatting>
  <conditionalFormatting sqref="I3:I6">
    <cfRule type="cellIs" dxfId="144" priority="15" operator="equal">
      <formula>"Not Tested"</formula>
    </cfRule>
    <cfRule type="cellIs" dxfId="143" priority="16" operator="equal">
      <formula>"Pending"</formula>
    </cfRule>
    <cfRule type="cellIs" dxfId="142" priority="17" operator="equal">
      <formula>"Ongoing"</formula>
    </cfRule>
    <cfRule type="cellIs" dxfId="141" priority="18" operator="equal">
      <formula>"Blocked"</formula>
    </cfRule>
    <cfRule type="cellIs" dxfId="140" priority="19" operator="equal">
      <formula>"Fail"</formula>
    </cfRule>
    <cfRule type="cellIs" dxfId="139" priority="20" operator="equal">
      <formula>"Partially Pass"</formula>
    </cfRule>
    <cfRule type="cellIs" dxfId="138" priority="21" operator="equal">
      <formula>"Pass"</formula>
    </cfRule>
  </conditionalFormatting>
  <conditionalFormatting sqref="I3:I6">
    <cfRule type="cellIs" dxfId="137" priority="8" operator="equal">
      <formula>"Not Tested"</formula>
    </cfRule>
    <cfRule type="cellIs" dxfId="136" priority="9" operator="equal">
      <formula>"Pending"</formula>
    </cfRule>
    <cfRule type="cellIs" dxfId="135" priority="10" operator="equal">
      <formula>"Ongoing"</formula>
    </cfRule>
    <cfRule type="cellIs" dxfId="134" priority="11" operator="equal">
      <formula>"Blocked"</formula>
    </cfRule>
    <cfRule type="cellIs" dxfId="133" priority="12" operator="equal">
      <formula>"Fail"</formula>
    </cfRule>
    <cfRule type="cellIs" dxfId="132" priority="13" operator="equal">
      <formula>"Partially Fail"</formula>
    </cfRule>
    <cfRule type="cellIs" dxfId="131" priority="14" operator="equal">
      <formula>"Pass"</formula>
    </cfRule>
  </conditionalFormatting>
  <conditionalFormatting sqref="I3:I6">
    <cfRule type="cellIs" dxfId="130" priority="1" operator="equal">
      <formula>"Not Tested"</formula>
    </cfRule>
    <cfRule type="cellIs" dxfId="129" priority="2" operator="equal">
      <formula>"Pending"</formula>
    </cfRule>
    <cfRule type="cellIs" dxfId="128" priority="3" operator="equal">
      <formula>"Ongoing"</formula>
    </cfRule>
    <cfRule type="cellIs" dxfId="127" priority="4" operator="equal">
      <formula>"Blocked"</formula>
    </cfRule>
    <cfRule type="cellIs" dxfId="126" priority="5" operator="equal">
      <formula>"Fail"</formula>
    </cfRule>
    <cfRule type="cellIs" dxfId="125" priority="6" operator="equal">
      <formula>"Partially Pass"</formula>
    </cfRule>
    <cfRule type="cellIs" dxfId="124" priority="7" operator="equal">
      <formula>"Pass"</formula>
    </cfRule>
  </conditionalFormatting>
  <hyperlinks>
    <hyperlink ref="H4:H6" location="'MD Data'!A1" display="MD Data'!A1"/>
    <hyperlink ref="H3" location="'T20 Reports Data'!A1" display="T20 Reports Data'!A1"/>
    <hyperlink ref="H3:H6" location="MD_Data!A1" display="MD Data'!A1"/>
    <hyperlink ref="G4" r:id="rI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I3:I6</xm:sqref>
        </x14:dataValidation>
      </x14:dataValidations>
    </ext>
  </extLst>
</worksheet>
</file>

<file path=xl/worksheets/sheet17.xml><?xml version="1.0" encoding="utf-8"?>
<worksheet xmlns="http://schemas.openxmlformats.org/spreadsheetml/2006/main" xmlns:r="http://schemas.openxmlformats.org/officeDocument/2006/relationships">
  <dimension ref="A1:K6"/>
  <sheetViews>
    <sheetView showGridLines="0" zoomScale="90" zoomScaleNormal="90" workbookViewId="0">
      <selection sqref="A1:A2"/>
    </sheetView>
  </sheetViews>
  <sheetFormatPr defaultRowHeight="12.75"/>
  <cols>
    <col min="1" max="1" width="19.85546875" style="2" bestFit="1" customWidth="1"/>
    <col min="2" max="2" width="12" style="2" bestFit="1" customWidth="1"/>
    <col min="3" max="3" width="11.85546875" style="2" bestFit="1" customWidth="1"/>
    <col min="4" max="4" width="16.85546875" style="2" bestFit="1" customWidth="1"/>
    <col min="5" max="5" width="22" style="2" bestFit="1" customWidth="1"/>
    <col min="6" max="7" width="25.7109375" style="2" customWidth="1"/>
    <col min="8" max="8" width="12.85546875" style="2" bestFit="1" customWidth="1"/>
    <col min="9" max="9" width="12.42578125" style="2" bestFit="1" customWidth="1"/>
    <col min="10" max="10" width="18.7109375" style="160" customWidth="1"/>
    <col min="11" max="11" width="18.7109375" style="2" customWidth="1"/>
    <col min="12" max="16384" width="9.140625" style="2"/>
  </cols>
  <sheetData>
    <row r="1" spans="1:11" ht="15" customHeight="1">
      <c r="A1" s="720" t="s">
        <v>30</v>
      </c>
      <c r="B1" s="711" t="s">
        <v>20</v>
      </c>
      <c r="C1" s="745" t="s">
        <v>26</v>
      </c>
      <c r="D1" s="746"/>
      <c r="E1" s="711" t="s">
        <v>16</v>
      </c>
      <c r="F1" s="745" t="s">
        <v>24</v>
      </c>
      <c r="G1" s="711" t="s">
        <v>25</v>
      </c>
      <c r="H1" s="711" t="s">
        <v>17</v>
      </c>
      <c r="I1" s="14" t="s">
        <v>18</v>
      </c>
      <c r="J1" s="709" t="s">
        <v>19</v>
      </c>
      <c r="K1" s="711" t="s">
        <v>0</v>
      </c>
    </row>
    <row r="2" spans="1:11" ht="15" customHeight="1">
      <c r="A2" s="744"/>
      <c r="B2" s="712"/>
      <c r="C2" s="747"/>
      <c r="D2" s="748"/>
      <c r="E2" s="712"/>
      <c r="F2" s="747"/>
      <c r="G2" s="712"/>
      <c r="H2" s="712"/>
      <c r="I2" s="13" t="s">
        <v>394</v>
      </c>
      <c r="J2" s="710"/>
      <c r="K2" s="712"/>
    </row>
    <row r="3" spans="1:11" ht="35.1" customHeight="1">
      <c r="A3" s="713" t="s">
        <v>31</v>
      </c>
      <c r="B3" s="749" t="s">
        <v>130</v>
      </c>
      <c r="C3" s="38" t="s">
        <v>131</v>
      </c>
      <c r="D3" s="739" t="s">
        <v>134</v>
      </c>
      <c r="E3" s="739" t="s">
        <v>135</v>
      </c>
      <c r="F3" s="752" t="s">
        <v>168</v>
      </c>
      <c r="G3" s="25" t="s">
        <v>172</v>
      </c>
      <c r="H3" s="757" t="s">
        <v>161</v>
      </c>
      <c r="I3" s="11" t="s">
        <v>1</v>
      </c>
      <c r="J3" s="161"/>
      <c r="K3" s="12"/>
    </row>
    <row r="4" spans="1:11" ht="72">
      <c r="A4" s="713"/>
      <c r="B4" s="749"/>
      <c r="C4" s="38" t="s">
        <v>132</v>
      </c>
      <c r="D4" s="750"/>
      <c r="E4" s="750"/>
      <c r="F4" s="752"/>
      <c r="G4" s="607" t="s">
        <v>470</v>
      </c>
      <c r="H4" s="757"/>
      <c r="I4" s="11" t="s">
        <v>1</v>
      </c>
      <c r="J4" s="162"/>
      <c r="K4" s="12"/>
    </row>
    <row r="5" spans="1:11" ht="35.1" customHeight="1">
      <c r="A5" s="713"/>
      <c r="B5" s="749"/>
      <c r="C5" s="38" t="s">
        <v>133</v>
      </c>
      <c r="D5" s="750"/>
      <c r="E5" s="750"/>
      <c r="F5" s="752"/>
      <c r="G5" s="714" t="s">
        <v>180</v>
      </c>
      <c r="H5" s="757"/>
      <c r="I5" s="11" t="s">
        <v>1</v>
      </c>
      <c r="J5" s="162"/>
      <c r="K5" s="12"/>
    </row>
    <row r="6" spans="1:11" ht="50.25" customHeight="1">
      <c r="A6" s="713"/>
      <c r="B6" s="749"/>
      <c r="C6" s="38" t="s">
        <v>35</v>
      </c>
      <c r="D6" s="751"/>
      <c r="E6" s="751"/>
      <c r="F6" s="752"/>
      <c r="G6" s="714"/>
      <c r="H6" s="757"/>
      <c r="I6" s="11" t="s">
        <v>1</v>
      </c>
      <c r="J6" s="162"/>
      <c r="K6" s="12"/>
    </row>
  </sheetData>
  <mergeCells count="16">
    <mergeCell ref="G5:G6"/>
    <mergeCell ref="E3:E6"/>
    <mergeCell ref="J1:J2"/>
    <mergeCell ref="K1:K2"/>
    <mergeCell ref="A3:A6"/>
    <mergeCell ref="B3:B6"/>
    <mergeCell ref="F3:F6"/>
    <mergeCell ref="H3:H6"/>
    <mergeCell ref="D3:D6"/>
    <mergeCell ref="A1:A2"/>
    <mergeCell ref="B1:B2"/>
    <mergeCell ref="C1:D2"/>
    <mergeCell ref="E1:E2"/>
    <mergeCell ref="F1:F2"/>
    <mergeCell ref="G1:G2"/>
    <mergeCell ref="H1:H2"/>
  </mergeCells>
  <conditionalFormatting sqref="I3:I6">
    <cfRule type="cellIs" dxfId="123" priority="50" operator="equal">
      <formula>"Not Tested"</formula>
    </cfRule>
    <cfRule type="cellIs" dxfId="122" priority="51" operator="equal">
      <formula>"Pending"</formula>
    </cfRule>
    <cfRule type="cellIs" dxfId="121" priority="52" operator="equal">
      <formula>"Ongoing"</formula>
    </cfRule>
    <cfRule type="cellIs" dxfId="120" priority="53" operator="equal">
      <formula>"Blocked"</formula>
    </cfRule>
    <cfRule type="cellIs" dxfId="119" priority="54" operator="equal">
      <formula>"Fail"</formula>
    </cfRule>
    <cfRule type="cellIs" dxfId="118" priority="55" operator="equal">
      <formula>"Partially Fail"</formula>
    </cfRule>
    <cfRule type="cellIs" dxfId="117" priority="56" operator="equal">
      <formula>"Pass"</formula>
    </cfRule>
  </conditionalFormatting>
  <conditionalFormatting sqref="I3:I6">
    <cfRule type="cellIs" dxfId="116" priority="43" operator="equal">
      <formula>"Not Tested"</formula>
    </cfRule>
    <cfRule type="cellIs" dxfId="115" priority="44" operator="equal">
      <formula>"Pending"</formula>
    </cfRule>
    <cfRule type="cellIs" dxfId="114" priority="45" operator="equal">
      <formula>"Ongoing"</formula>
    </cfRule>
    <cfRule type="cellIs" dxfId="113" priority="46" operator="equal">
      <formula>"Blocked"</formula>
    </cfRule>
    <cfRule type="cellIs" dxfId="112" priority="47" operator="equal">
      <formula>"Fail"</formula>
    </cfRule>
    <cfRule type="cellIs" dxfId="111" priority="48" operator="equal">
      <formula>"Partially Pass"</formula>
    </cfRule>
    <cfRule type="cellIs" dxfId="110" priority="49" operator="equal">
      <formula>"Pass"</formula>
    </cfRule>
  </conditionalFormatting>
  <conditionalFormatting sqref="I3:I6">
    <cfRule type="cellIs" dxfId="109" priority="36" operator="equal">
      <formula>"Not Tested"</formula>
    </cfRule>
    <cfRule type="cellIs" dxfId="108" priority="37" operator="equal">
      <formula>"Pending"</formula>
    </cfRule>
    <cfRule type="cellIs" dxfId="107" priority="38" operator="equal">
      <formula>"Ongoing"</formula>
    </cfRule>
    <cfRule type="cellIs" dxfId="106" priority="39" operator="equal">
      <formula>"Blocked"</formula>
    </cfRule>
    <cfRule type="cellIs" dxfId="105" priority="40" operator="equal">
      <formula>"Fail"</formula>
    </cfRule>
    <cfRule type="cellIs" dxfId="104" priority="41" operator="equal">
      <formula>"Partially Fail"</formula>
    </cfRule>
    <cfRule type="cellIs" dxfId="103" priority="42" operator="equal">
      <formula>"Pass"</formula>
    </cfRule>
  </conditionalFormatting>
  <conditionalFormatting sqref="I3:I6">
    <cfRule type="cellIs" dxfId="102" priority="29" operator="equal">
      <formula>"Not Tested"</formula>
    </cfRule>
    <cfRule type="cellIs" dxfId="101" priority="30" operator="equal">
      <formula>"Pending"</formula>
    </cfRule>
    <cfRule type="cellIs" dxfId="100" priority="31" operator="equal">
      <formula>"Ongoing"</formula>
    </cfRule>
    <cfRule type="cellIs" dxfId="99" priority="32" operator="equal">
      <formula>"Blocked"</formula>
    </cfRule>
    <cfRule type="cellIs" dxfId="98" priority="33" operator="equal">
      <formula>"Fail"</formula>
    </cfRule>
    <cfRule type="cellIs" dxfId="97" priority="34" operator="equal">
      <formula>"Partially Pass"</formula>
    </cfRule>
    <cfRule type="cellIs" dxfId="96" priority="35" operator="equal">
      <formula>"Pass"</formula>
    </cfRule>
  </conditionalFormatting>
  <conditionalFormatting sqref="I4:I6">
    <cfRule type="cellIs" dxfId="95" priority="22" operator="equal">
      <formula>"Not Tested"</formula>
    </cfRule>
    <cfRule type="cellIs" dxfId="94" priority="23" operator="equal">
      <formula>"Pending"</formula>
    </cfRule>
    <cfRule type="cellIs" dxfId="93" priority="24" operator="equal">
      <formula>"Ongoing"</formula>
    </cfRule>
    <cfRule type="cellIs" dxfId="92" priority="25" operator="equal">
      <formula>"Blocked"</formula>
    </cfRule>
    <cfRule type="cellIs" dxfId="91" priority="26" operator="equal">
      <formula>"Fail"</formula>
    </cfRule>
    <cfRule type="cellIs" dxfId="90" priority="27" operator="equal">
      <formula>"Partially Fail"</formula>
    </cfRule>
    <cfRule type="cellIs" dxfId="89" priority="28" operator="equal">
      <formula>"Pass"</formula>
    </cfRule>
  </conditionalFormatting>
  <conditionalFormatting sqref="I4:I6">
    <cfRule type="cellIs" dxfId="88" priority="15" operator="equal">
      <formula>"Not Tested"</formula>
    </cfRule>
    <cfRule type="cellIs" dxfId="87" priority="16" operator="equal">
      <formula>"Pending"</formula>
    </cfRule>
    <cfRule type="cellIs" dxfId="86" priority="17" operator="equal">
      <formula>"Ongoing"</formula>
    </cfRule>
    <cfRule type="cellIs" dxfId="85" priority="18" operator="equal">
      <formula>"Blocked"</formula>
    </cfRule>
    <cfRule type="cellIs" dxfId="84" priority="19" operator="equal">
      <formula>"Fail"</formula>
    </cfRule>
    <cfRule type="cellIs" dxfId="83" priority="20" operator="equal">
      <formula>"Partially Pass"</formula>
    </cfRule>
    <cfRule type="cellIs" dxfId="82" priority="21" operator="equal">
      <formula>"Pass"</formula>
    </cfRule>
  </conditionalFormatting>
  <conditionalFormatting sqref="I4:I6">
    <cfRule type="cellIs" dxfId="81" priority="8" operator="equal">
      <formula>"Not Tested"</formula>
    </cfRule>
    <cfRule type="cellIs" dxfId="80" priority="9" operator="equal">
      <formula>"Pending"</formula>
    </cfRule>
    <cfRule type="cellIs" dxfId="79" priority="10" operator="equal">
      <formula>"Ongoing"</formula>
    </cfRule>
    <cfRule type="cellIs" dxfId="78" priority="11" operator="equal">
      <formula>"Blocked"</formula>
    </cfRule>
    <cfRule type="cellIs" dxfId="77" priority="12" operator="equal">
      <formula>"Fail"</formula>
    </cfRule>
    <cfRule type="cellIs" dxfId="76" priority="13" operator="equal">
      <formula>"Partially Fail"</formula>
    </cfRule>
    <cfRule type="cellIs" dxfId="75" priority="14" operator="equal">
      <formula>"Pass"</formula>
    </cfRule>
  </conditionalFormatting>
  <conditionalFormatting sqref="I4:I6">
    <cfRule type="cellIs" dxfId="74" priority="1" operator="equal">
      <formula>"Not Tested"</formula>
    </cfRule>
    <cfRule type="cellIs" dxfId="73" priority="2" operator="equal">
      <formula>"Pending"</formula>
    </cfRule>
    <cfRule type="cellIs" dxfId="72" priority="3" operator="equal">
      <formula>"Ongoing"</formula>
    </cfRule>
    <cfRule type="cellIs" dxfId="71" priority="4" operator="equal">
      <formula>"Blocked"</formula>
    </cfRule>
    <cfRule type="cellIs" dxfId="70" priority="5" operator="equal">
      <formula>"Fail"</formula>
    </cfRule>
    <cfRule type="cellIs" dxfId="69" priority="6" operator="equal">
      <formula>"Partially Pass"</formula>
    </cfRule>
    <cfRule type="cellIs" dxfId="68" priority="7" operator="equal">
      <formula>"Pass"</formula>
    </cfRule>
  </conditionalFormatting>
  <hyperlinks>
    <hyperlink ref="H4:H6" location="'MD Data'!A1" display="MD Data'!A1"/>
    <hyperlink ref="H3" location="'T20 Reports Data'!A1" display="T20 Reports Data'!A1"/>
    <hyperlink ref="H3:H6" location="CBR_Tab!A1" display="CBR Data'!A1"/>
    <hyperlink ref="G4"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I3:I6</xm:sqref>
        </x14:dataValidation>
      </x14:dataValidations>
    </ext>
  </extLst>
</worksheet>
</file>

<file path=xl/worksheets/sheet18.xml><?xml version="1.0" encoding="utf-8"?>
<worksheet xmlns="http://schemas.openxmlformats.org/spreadsheetml/2006/main" xmlns:r="http://schemas.openxmlformats.org/officeDocument/2006/relationships">
  <dimension ref="A1:N23"/>
  <sheetViews>
    <sheetView showGridLines="0" zoomScale="85" zoomScaleNormal="85" workbookViewId="0">
      <selection activeCell="I14" sqref="I14:M19"/>
    </sheetView>
  </sheetViews>
  <sheetFormatPr defaultRowHeight="12.75"/>
  <cols>
    <col min="1" max="1" width="11.85546875" style="2" customWidth="1"/>
    <col min="2" max="2" width="9.7109375" style="2" bestFit="1" customWidth="1"/>
    <col min="3" max="3" width="17.85546875" style="2" customWidth="1"/>
    <col min="4" max="4" width="16.42578125" style="2" customWidth="1"/>
    <col min="5" max="5" width="17.28515625" style="2" customWidth="1"/>
    <col min="6" max="6" width="15" style="2" customWidth="1"/>
    <col min="7" max="7" width="9.140625" style="2"/>
    <col min="8" max="8" width="9" style="2" bestFit="1" customWidth="1"/>
    <col min="9" max="9" width="9.7109375" style="2" bestFit="1" customWidth="1"/>
    <col min="10" max="11" width="14.28515625" style="2" bestFit="1" customWidth="1"/>
    <col min="12" max="12" width="12.5703125" style="2" bestFit="1" customWidth="1"/>
    <col min="13" max="13" width="10.28515625" style="2" customWidth="1"/>
    <col min="14" max="14" width="9.28515625" style="2" bestFit="1" customWidth="1"/>
    <col min="15" max="16384" width="9.140625" style="2"/>
  </cols>
  <sheetData>
    <row r="1" spans="1:14" ht="15" customHeight="1">
      <c r="A1" s="804" t="s">
        <v>27</v>
      </c>
      <c r="B1" s="764"/>
      <c r="C1" s="764"/>
      <c r="D1" s="764"/>
      <c r="E1" s="764"/>
      <c r="F1" s="764"/>
      <c r="G1" s="64"/>
      <c r="H1" s="802" t="s">
        <v>28</v>
      </c>
      <c r="I1" s="803"/>
      <c r="J1" s="803"/>
      <c r="K1" s="803"/>
      <c r="L1" s="803"/>
      <c r="M1" s="803"/>
      <c r="N1" s="64"/>
    </row>
    <row r="2" spans="1:14">
      <c r="A2" s="798" t="s">
        <v>23</v>
      </c>
      <c r="B2" s="798"/>
      <c r="C2" s="798"/>
      <c r="D2" s="798"/>
      <c r="E2" s="798"/>
      <c r="F2" s="798"/>
      <c r="H2" s="798" t="s">
        <v>23</v>
      </c>
      <c r="I2" s="798"/>
      <c r="J2" s="798"/>
      <c r="K2" s="798"/>
      <c r="L2" s="798"/>
      <c r="M2" s="798"/>
      <c r="N2" s="800" t="s">
        <v>29</v>
      </c>
    </row>
    <row r="3" spans="1:14" ht="25.5">
      <c r="A3" s="46" t="s">
        <v>92</v>
      </c>
      <c r="B3" s="46" t="s">
        <v>93</v>
      </c>
      <c r="C3" s="46" t="s">
        <v>94</v>
      </c>
      <c r="D3" s="46" t="s">
        <v>34</v>
      </c>
      <c r="E3" s="46" t="s">
        <v>95</v>
      </c>
      <c r="F3" s="46" t="s">
        <v>96</v>
      </c>
      <c r="H3" s="46" t="s">
        <v>92</v>
      </c>
      <c r="I3" s="46" t="s">
        <v>93</v>
      </c>
      <c r="J3" s="46" t="s">
        <v>94</v>
      </c>
      <c r="K3" s="46" t="s">
        <v>34</v>
      </c>
      <c r="L3" s="46" t="s">
        <v>95</v>
      </c>
      <c r="M3" s="46" t="s">
        <v>96</v>
      </c>
      <c r="N3" s="801"/>
    </row>
    <row r="4" spans="1:14">
      <c r="A4" s="39" t="s">
        <v>86</v>
      </c>
      <c r="B4" s="41">
        <v>399</v>
      </c>
      <c r="C4" s="43"/>
      <c r="D4" s="43"/>
      <c r="E4" s="43"/>
      <c r="F4" s="119"/>
      <c r="G4" s="95"/>
      <c r="H4" s="39" t="s">
        <v>86</v>
      </c>
      <c r="I4" s="49"/>
      <c r="J4" s="48"/>
      <c r="K4" s="48"/>
      <c r="L4" s="48"/>
      <c r="M4" s="105">
        <f>(J4+K4)/(J10+K10)</f>
        <v>0</v>
      </c>
      <c r="N4" s="36" t="e">
        <f>EXACT(#REF!,J4)</f>
        <v>#REF!</v>
      </c>
    </row>
    <row r="5" spans="1:14">
      <c r="A5" s="39" t="s">
        <v>87</v>
      </c>
      <c r="B5" s="168">
        <v>1600</v>
      </c>
      <c r="C5" s="43"/>
      <c r="D5" s="43"/>
      <c r="E5" s="43"/>
      <c r="F5" s="119"/>
      <c r="G5" s="95"/>
      <c r="H5" s="39" t="s">
        <v>87</v>
      </c>
      <c r="I5" s="49"/>
      <c r="J5" s="48"/>
      <c r="K5" s="48"/>
      <c r="L5" s="48"/>
      <c r="M5" s="105">
        <f>(J5+K5)/(J10+K10)</f>
        <v>0</v>
      </c>
      <c r="N5" s="36" t="b">
        <f t="shared" ref="N5:N10" si="0">EXACT(C4,J5)</f>
        <v>1</v>
      </c>
    </row>
    <row r="6" spans="1:14">
      <c r="A6" s="39" t="s">
        <v>88</v>
      </c>
      <c r="B6" s="168">
        <v>2000</v>
      </c>
      <c r="C6" s="43"/>
      <c r="D6" s="43"/>
      <c r="E6" s="43"/>
      <c r="F6" s="119"/>
      <c r="G6" s="95"/>
      <c r="H6" s="39" t="s">
        <v>88</v>
      </c>
      <c r="I6" s="49"/>
      <c r="J6" s="48"/>
      <c r="K6" s="48"/>
      <c r="L6" s="48"/>
      <c r="M6" s="105">
        <f>(J6+K6)/(J10+K10)</f>
        <v>0</v>
      </c>
      <c r="N6" s="36" t="b">
        <f t="shared" si="0"/>
        <v>1</v>
      </c>
    </row>
    <row r="7" spans="1:14">
      <c r="A7" s="39" t="s">
        <v>89</v>
      </c>
      <c r="B7" s="168">
        <v>5999</v>
      </c>
      <c r="C7" s="43"/>
      <c r="D7" s="43"/>
      <c r="E7" s="43"/>
      <c r="F7" s="119"/>
      <c r="G7" s="95"/>
      <c r="H7" s="39" t="s">
        <v>89</v>
      </c>
      <c r="I7" s="49"/>
      <c r="J7" s="48"/>
      <c r="K7" s="48"/>
      <c r="L7" s="48"/>
      <c r="M7" s="105">
        <f>(J7+K7)/(J10+K10)</f>
        <v>0</v>
      </c>
      <c r="N7" s="36" t="b">
        <f t="shared" si="0"/>
        <v>1</v>
      </c>
    </row>
    <row r="8" spans="1:14">
      <c r="A8" s="39" t="s">
        <v>90</v>
      </c>
      <c r="B8" s="168">
        <v>9998</v>
      </c>
      <c r="C8" s="93"/>
      <c r="D8" s="118"/>
      <c r="E8" s="94"/>
      <c r="F8" s="119"/>
      <c r="G8" s="95"/>
      <c r="H8" s="39" t="s">
        <v>90</v>
      </c>
      <c r="I8" s="49"/>
      <c r="J8" s="48"/>
      <c r="K8" s="48"/>
      <c r="L8" s="48"/>
      <c r="M8" s="105">
        <f>(J8+K8)/(J10+K10)</f>
        <v>0</v>
      </c>
      <c r="N8" s="36" t="b">
        <f t="shared" si="0"/>
        <v>1</v>
      </c>
    </row>
    <row r="9" spans="1:14">
      <c r="A9" s="65" t="s">
        <v>91</v>
      </c>
      <c r="B9" s="92">
        <v>19996</v>
      </c>
      <c r="C9" s="66"/>
      <c r="D9" s="66"/>
      <c r="E9" s="66"/>
      <c r="F9" s="119"/>
      <c r="G9" s="95"/>
      <c r="H9" s="39" t="s">
        <v>91</v>
      </c>
      <c r="I9" s="49"/>
      <c r="J9" s="48"/>
      <c r="K9" s="48"/>
      <c r="L9" s="48"/>
      <c r="M9" s="105">
        <f>(J9+K9)/(J10+K10)</f>
        <v>0</v>
      </c>
      <c r="N9" s="36" t="b">
        <f t="shared" si="0"/>
        <v>1</v>
      </c>
    </row>
    <row r="10" spans="1:14">
      <c r="A10" s="172" t="s">
        <v>35</v>
      </c>
      <c r="B10" s="173">
        <v>39992</v>
      </c>
      <c r="C10" s="174"/>
      <c r="D10" s="174"/>
      <c r="E10" s="174"/>
      <c r="F10" s="175"/>
      <c r="G10" s="95"/>
      <c r="H10" s="65" t="s">
        <v>35</v>
      </c>
      <c r="I10" s="50">
        <f>SUM(I4:I9)</f>
        <v>0</v>
      </c>
      <c r="J10" s="68">
        <v>4238012.05</v>
      </c>
      <c r="K10" s="68">
        <v>1479174.58</v>
      </c>
      <c r="L10" s="68" t="e">
        <f>(J10+K10)/I10</f>
        <v>#DIV/0!</v>
      </c>
      <c r="M10" s="105">
        <f>SUM(M4:M9)</f>
        <v>0</v>
      </c>
      <c r="N10" s="36" t="b">
        <f t="shared" si="0"/>
        <v>0</v>
      </c>
    </row>
    <row r="11" spans="1:14">
      <c r="H11" s="805"/>
      <c r="I11" s="805"/>
      <c r="J11" s="805"/>
      <c r="K11" s="805"/>
      <c r="L11" s="805"/>
      <c r="M11" s="805"/>
    </row>
    <row r="12" spans="1:14">
      <c r="A12" s="798" t="s">
        <v>71</v>
      </c>
      <c r="B12" s="798"/>
      <c r="C12" s="798"/>
      <c r="D12" s="798"/>
      <c r="E12" s="798"/>
      <c r="F12" s="798"/>
      <c r="H12" s="798" t="s">
        <v>71</v>
      </c>
      <c r="I12" s="798"/>
      <c r="J12" s="798"/>
      <c r="K12" s="798"/>
      <c r="L12" s="798"/>
      <c r="M12" s="798"/>
      <c r="N12" s="800" t="s">
        <v>29</v>
      </c>
    </row>
    <row r="13" spans="1:14" ht="25.5">
      <c r="A13" s="46" t="s">
        <v>92</v>
      </c>
      <c r="B13" s="46" t="s">
        <v>93</v>
      </c>
      <c r="C13" s="46" t="s">
        <v>94</v>
      </c>
      <c r="D13" s="46" t="s">
        <v>34</v>
      </c>
      <c r="E13" s="46" t="s">
        <v>95</v>
      </c>
      <c r="F13" s="46" t="s">
        <v>96</v>
      </c>
      <c r="H13" s="46" t="s">
        <v>92</v>
      </c>
      <c r="I13" s="46" t="s">
        <v>93</v>
      </c>
      <c r="J13" s="46" t="s">
        <v>94</v>
      </c>
      <c r="K13" s="46" t="s">
        <v>34</v>
      </c>
      <c r="L13" s="46" t="s">
        <v>95</v>
      </c>
      <c r="M13" s="46" t="s">
        <v>96</v>
      </c>
      <c r="N13" s="801"/>
    </row>
    <row r="14" spans="1:14">
      <c r="A14" s="39" t="s">
        <v>86</v>
      </c>
      <c r="B14" s="41">
        <v>237</v>
      </c>
      <c r="C14" s="43"/>
      <c r="D14" s="43"/>
      <c r="E14" s="43"/>
      <c r="F14" s="40"/>
      <c r="H14" s="39" t="s">
        <v>86</v>
      </c>
      <c r="I14" s="42"/>
      <c r="J14" s="44"/>
      <c r="K14" s="44"/>
      <c r="L14" s="44"/>
      <c r="M14" s="104"/>
      <c r="N14" s="36" t="b">
        <f>EXACT(C14,J14)</f>
        <v>1</v>
      </c>
    </row>
    <row r="15" spans="1:14">
      <c r="A15" s="39" t="s">
        <v>87</v>
      </c>
      <c r="B15" s="41">
        <v>952</v>
      </c>
      <c r="C15" s="43"/>
      <c r="D15" s="43"/>
      <c r="E15" s="43"/>
      <c r="F15" s="40"/>
      <c r="H15" s="39" t="s">
        <v>87</v>
      </c>
      <c r="I15" s="42"/>
      <c r="J15" s="44"/>
      <c r="K15" s="44"/>
      <c r="L15" s="44"/>
      <c r="M15" s="104"/>
      <c r="N15" s="36" t="b">
        <f t="shared" ref="N15:N20" si="1">EXACT(C15,J15)</f>
        <v>1</v>
      </c>
    </row>
    <row r="16" spans="1:14">
      <c r="A16" s="39" t="s">
        <v>88</v>
      </c>
      <c r="B16" s="168">
        <v>1190</v>
      </c>
      <c r="C16" s="43"/>
      <c r="D16" s="43"/>
      <c r="E16" s="43"/>
      <c r="F16" s="40"/>
      <c r="H16" s="39" t="s">
        <v>88</v>
      </c>
      <c r="I16" s="169"/>
      <c r="J16" s="44"/>
      <c r="K16" s="44"/>
      <c r="L16" s="44"/>
      <c r="M16" s="104"/>
      <c r="N16" s="36" t="b">
        <f t="shared" si="1"/>
        <v>1</v>
      </c>
    </row>
    <row r="17" spans="1:14">
      <c r="A17" s="39" t="s">
        <v>89</v>
      </c>
      <c r="B17" s="168">
        <v>3568</v>
      </c>
      <c r="C17" s="43"/>
      <c r="D17" s="43"/>
      <c r="E17" s="43"/>
      <c r="F17" s="40"/>
      <c r="H17" s="39" t="s">
        <v>89</v>
      </c>
      <c r="I17" s="169"/>
      <c r="J17" s="44"/>
      <c r="K17" s="44"/>
      <c r="L17" s="44"/>
      <c r="M17" s="104"/>
      <c r="N17" s="36" t="b">
        <f t="shared" si="1"/>
        <v>1</v>
      </c>
    </row>
    <row r="18" spans="1:14">
      <c r="A18" s="39" t="s">
        <v>90</v>
      </c>
      <c r="B18" s="168">
        <v>5948</v>
      </c>
      <c r="C18" s="43"/>
      <c r="D18" s="43"/>
      <c r="E18" s="43"/>
      <c r="F18" s="40"/>
      <c r="H18" s="39" t="s">
        <v>90</v>
      </c>
      <c r="I18" s="169"/>
      <c r="J18" s="44"/>
      <c r="K18" s="44"/>
      <c r="L18" s="44"/>
      <c r="M18" s="104"/>
      <c r="N18" s="36" t="b">
        <f t="shared" si="1"/>
        <v>1</v>
      </c>
    </row>
    <row r="19" spans="1:14">
      <c r="A19" s="39" t="s">
        <v>91</v>
      </c>
      <c r="B19" s="168">
        <v>11896</v>
      </c>
      <c r="C19" s="43"/>
      <c r="D19" s="43"/>
      <c r="E19" s="43"/>
      <c r="F19" s="40"/>
      <c r="H19" s="39" t="s">
        <v>91</v>
      </c>
      <c r="I19" s="169"/>
      <c r="J19" s="44"/>
      <c r="K19" s="44"/>
      <c r="L19" s="44"/>
      <c r="M19" s="104"/>
      <c r="N19" s="36" t="b">
        <f t="shared" si="1"/>
        <v>1</v>
      </c>
    </row>
    <row r="20" spans="1:14">
      <c r="A20" s="65" t="s">
        <v>35</v>
      </c>
      <c r="B20" s="92">
        <v>23791</v>
      </c>
      <c r="C20" s="66"/>
      <c r="D20" s="66"/>
      <c r="E20" s="66"/>
      <c r="F20" s="67"/>
      <c r="H20" s="65" t="s">
        <v>35</v>
      </c>
      <c r="I20" s="170">
        <v>23791</v>
      </c>
      <c r="J20" s="69">
        <v>0</v>
      </c>
      <c r="K20" s="69">
        <v>0</v>
      </c>
      <c r="L20" s="69">
        <v>0</v>
      </c>
      <c r="M20" s="171">
        <v>0</v>
      </c>
      <c r="N20" s="36" t="b">
        <f t="shared" si="1"/>
        <v>0</v>
      </c>
    </row>
    <row r="23" spans="1:14">
      <c r="J23" s="138"/>
      <c r="K23" s="138"/>
    </row>
  </sheetData>
  <mergeCells count="9">
    <mergeCell ref="N2:N3"/>
    <mergeCell ref="N12:N13"/>
    <mergeCell ref="A2:F2"/>
    <mergeCell ref="A12:F12"/>
    <mergeCell ref="H1:M1"/>
    <mergeCell ref="A1:F1"/>
    <mergeCell ref="H2:M2"/>
    <mergeCell ref="H11:M11"/>
    <mergeCell ref="H12:M12"/>
  </mergeCells>
  <conditionalFormatting sqref="N4:N10 N14:N20">
    <cfRule type="cellIs" dxfId="67" priority="3" operator="equal">
      <formula>FALSE</formula>
    </cfRule>
    <cfRule type="cellIs" dxfId="66" priority="4" operator="equal">
      <formula>TRUE</formula>
    </cfRule>
  </conditionalFormatting>
  <pageMargins left="0.7" right="0.7" top="0.75" bottom="0.75" header="0.3" footer="0.3"/>
  <pageSetup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L35"/>
  <sheetViews>
    <sheetView showGridLines="0" workbookViewId="0">
      <selection activeCell="A30" sqref="A30"/>
    </sheetView>
  </sheetViews>
  <sheetFormatPr defaultRowHeight="12.75"/>
  <cols>
    <col min="1" max="1" width="17.28515625" style="52" bestFit="1" customWidth="1"/>
    <col min="2" max="2" width="9.28515625" style="52" bestFit="1" customWidth="1"/>
    <col min="3" max="3" width="9.85546875" style="52" customWidth="1"/>
    <col min="4" max="4" width="12.5703125" style="52" bestFit="1" customWidth="1"/>
    <col min="5" max="5" width="11.28515625" style="52" customWidth="1"/>
    <col min="6" max="6" width="9.140625" style="52"/>
    <col min="7" max="7" width="17.28515625" style="52" bestFit="1" customWidth="1"/>
    <col min="8" max="8" width="8.7109375" style="52" bestFit="1" customWidth="1"/>
    <col min="9" max="9" width="10" style="52" customWidth="1"/>
    <col min="10" max="10" width="12.5703125" style="52" bestFit="1" customWidth="1"/>
    <col min="11" max="11" width="8.85546875" style="52" bestFit="1" customWidth="1"/>
    <col min="12" max="16384" width="9.140625" style="52"/>
  </cols>
  <sheetData>
    <row r="1" spans="1:12" ht="15" customHeight="1">
      <c r="A1" s="808" t="s">
        <v>27</v>
      </c>
      <c r="B1" s="809"/>
      <c r="C1" s="809"/>
      <c r="D1" s="809"/>
      <c r="E1" s="809"/>
      <c r="G1" s="806" t="s">
        <v>28</v>
      </c>
      <c r="H1" s="807"/>
      <c r="I1" s="807"/>
      <c r="J1" s="807"/>
      <c r="K1" s="807"/>
      <c r="L1" s="807"/>
    </row>
    <row r="2" spans="1:12" ht="25.5">
      <c r="A2" s="56" t="s">
        <v>36</v>
      </c>
      <c r="B2" s="56" t="s">
        <v>70</v>
      </c>
      <c r="C2" s="56" t="s">
        <v>23</v>
      </c>
      <c r="D2" s="56" t="s">
        <v>71</v>
      </c>
      <c r="E2" s="56" t="s">
        <v>21</v>
      </c>
      <c r="G2" s="56" t="s">
        <v>36</v>
      </c>
      <c r="H2" s="56" t="s">
        <v>70</v>
      </c>
      <c r="I2" s="56" t="s">
        <v>23</v>
      </c>
      <c r="J2" s="56" t="s">
        <v>71</v>
      </c>
      <c r="K2" s="56" t="s">
        <v>21</v>
      </c>
      <c r="L2" s="53" t="s">
        <v>29</v>
      </c>
    </row>
    <row r="3" spans="1:12">
      <c r="A3" s="54" t="s">
        <v>37</v>
      </c>
      <c r="B3" s="57" t="s">
        <v>72</v>
      </c>
      <c r="C3" s="57">
        <v>241.08</v>
      </c>
      <c r="D3" s="57">
        <v>316.02</v>
      </c>
      <c r="E3" s="58">
        <v>-0.23710000000000001</v>
      </c>
      <c r="G3" s="59" t="s">
        <v>37</v>
      </c>
      <c r="H3" s="60" t="s">
        <v>72</v>
      </c>
      <c r="I3" s="60"/>
      <c r="J3" s="60"/>
      <c r="K3" s="61"/>
      <c r="L3" s="55" t="b">
        <f>EXACT(C3,I3)</f>
        <v>0</v>
      </c>
    </row>
    <row r="4" spans="1:12">
      <c r="A4" s="54" t="s">
        <v>38</v>
      </c>
      <c r="B4" s="57" t="s">
        <v>72</v>
      </c>
      <c r="C4" s="57">
        <v>2689.18</v>
      </c>
      <c r="D4" s="57">
        <v>3769.96</v>
      </c>
      <c r="E4" s="58">
        <v>-0.28670000000000001</v>
      </c>
      <c r="G4" s="59" t="s">
        <v>38</v>
      </c>
      <c r="H4" s="60" t="s">
        <v>72</v>
      </c>
      <c r="I4" s="60"/>
      <c r="J4" s="60"/>
      <c r="K4" s="61"/>
      <c r="L4" s="55" t="b">
        <f t="shared" ref="L4:L26" si="0">EXACT(C4,I4)</f>
        <v>0</v>
      </c>
    </row>
    <row r="5" spans="1:12" ht="25.5">
      <c r="A5" s="54" t="s">
        <v>73</v>
      </c>
      <c r="B5" s="57"/>
      <c r="C5" s="57"/>
      <c r="D5" s="57"/>
      <c r="E5" s="58"/>
      <c r="G5" s="59" t="s">
        <v>73</v>
      </c>
      <c r="H5" s="60" t="s">
        <v>72</v>
      </c>
      <c r="I5" s="60"/>
      <c r="J5" s="60"/>
      <c r="K5" s="61"/>
      <c r="L5" s="55" t="b">
        <f t="shared" si="0"/>
        <v>1</v>
      </c>
    </row>
    <row r="6" spans="1:12" ht="25.5">
      <c r="A6" s="54" t="s">
        <v>72</v>
      </c>
      <c r="B6" s="57">
        <v>2168.7600000000002</v>
      </c>
      <c r="C6" s="57">
        <v>3012.58</v>
      </c>
      <c r="D6" s="58">
        <v>-0.28010000000000002</v>
      </c>
      <c r="E6" s="58"/>
      <c r="G6" s="59" t="s">
        <v>74</v>
      </c>
      <c r="H6" s="60" t="s">
        <v>72</v>
      </c>
      <c r="I6" s="60"/>
      <c r="J6" s="60"/>
      <c r="K6" s="61"/>
      <c r="L6" s="55" t="b">
        <f t="shared" si="0"/>
        <v>0</v>
      </c>
    </row>
    <row r="7" spans="1:12" ht="25.5">
      <c r="A7" s="54" t="s">
        <v>74</v>
      </c>
      <c r="B7" s="57"/>
      <c r="C7" s="57"/>
      <c r="D7" s="57"/>
      <c r="E7" s="58"/>
      <c r="G7" s="59" t="s">
        <v>75</v>
      </c>
      <c r="H7" s="60" t="s">
        <v>72</v>
      </c>
      <c r="I7" s="60"/>
      <c r="J7" s="60"/>
      <c r="K7" s="61"/>
      <c r="L7" s="55" t="b">
        <f t="shared" si="0"/>
        <v>1</v>
      </c>
    </row>
    <row r="8" spans="1:12" ht="18" customHeight="1">
      <c r="A8" s="54" t="s">
        <v>72</v>
      </c>
      <c r="B8" s="57">
        <v>317.52</v>
      </c>
      <c r="C8" s="57">
        <v>455.74</v>
      </c>
      <c r="D8" s="58">
        <v>-0.30330000000000001</v>
      </c>
      <c r="E8" s="58"/>
      <c r="G8" s="59" t="s">
        <v>39</v>
      </c>
      <c r="H8" s="60" t="s">
        <v>72</v>
      </c>
      <c r="I8" s="60"/>
      <c r="J8" s="60"/>
      <c r="K8" s="61"/>
      <c r="L8" s="55" t="b">
        <f t="shared" si="0"/>
        <v>0</v>
      </c>
    </row>
    <row r="9" spans="1:12" ht="25.5">
      <c r="A9" s="54" t="s">
        <v>75</v>
      </c>
      <c r="B9" s="57"/>
      <c r="C9" s="57"/>
      <c r="D9" s="57"/>
      <c r="E9" s="58"/>
      <c r="G9" s="59" t="s">
        <v>40</v>
      </c>
      <c r="H9" s="60" t="s">
        <v>72</v>
      </c>
      <c r="I9" s="60"/>
      <c r="J9" s="60"/>
      <c r="K9" s="61"/>
      <c r="L9" s="55" t="b">
        <f t="shared" si="0"/>
        <v>1</v>
      </c>
    </row>
    <row r="10" spans="1:12">
      <c r="A10" s="54" t="s">
        <v>72</v>
      </c>
      <c r="B10" s="57">
        <v>143.72999999999999</v>
      </c>
      <c r="C10" s="57">
        <v>192.93</v>
      </c>
      <c r="D10" s="176">
        <v>-0.255</v>
      </c>
      <c r="E10" s="58"/>
      <c r="G10" s="59" t="s">
        <v>41</v>
      </c>
      <c r="H10" s="60" t="s">
        <v>72</v>
      </c>
      <c r="I10" s="60"/>
      <c r="J10" s="60"/>
      <c r="K10" s="61"/>
      <c r="L10" s="55" t="b">
        <f t="shared" si="0"/>
        <v>0</v>
      </c>
    </row>
    <row r="11" spans="1:12">
      <c r="A11" s="54" t="s">
        <v>39</v>
      </c>
      <c r="B11" s="57" t="s">
        <v>72</v>
      </c>
      <c r="C11" s="57">
        <v>184.06</v>
      </c>
      <c r="D11" s="57">
        <v>255.17</v>
      </c>
      <c r="E11" s="58">
        <v>-0.2787</v>
      </c>
      <c r="G11" s="59" t="s">
        <v>42</v>
      </c>
      <c r="H11" s="60" t="s">
        <v>72</v>
      </c>
      <c r="I11" s="60"/>
      <c r="J11" s="60"/>
      <c r="K11" s="61"/>
      <c r="L11" s="55" t="b">
        <f t="shared" si="0"/>
        <v>0</v>
      </c>
    </row>
    <row r="12" spans="1:12">
      <c r="A12" s="54" t="s">
        <v>40</v>
      </c>
      <c r="B12" s="57" t="s">
        <v>72</v>
      </c>
      <c r="C12" s="57">
        <v>343.4</v>
      </c>
      <c r="D12" s="62">
        <v>493.76</v>
      </c>
      <c r="E12" s="58">
        <v>-0.30449999999999999</v>
      </c>
      <c r="G12" s="59" t="s">
        <v>43</v>
      </c>
      <c r="H12" s="60" t="s">
        <v>72</v>
      </c>
      <c r="I12" s="60"/>
      <c r="J12" s="63"/>
      <c r="K12" s="61"/>
      <c r="L12" s="55" t="b">
        <f t="shared" si="0"/>
        <v>0</v>
      </c>
    </row>
    <row r="13" spans="1:12">
      <c r="A13" s="54" t="s">
        <v>41</v>
      </c>
      <c r="B13" s="57" t="s">
        <v>72</v>
      </c>
      <c r="C13" s="57">
        <v>75.59</v>
      </c>
      <c r="D13" s="57">
        <v>93.54</v>
      </c>
      <c r="E13" s="58">
        <v>-0.19189999999999999</v>
      </c>
      <c r="G13" s="59" t="s">
        <v>76</v>
      </c>
      <c r="H13" s="60" t="s">
        <v>72</v>
      </c>
      <c r="I13" s="60"/>
      <c r="J13" s="60"/>
      <c r="K13" s="61"/>
      <c r="L13" s="55" t="b">
        <f t="shared" si="0"/>
        <v>0</v>
      </c>
    </row>
    <row r="14" spans="1:12" ht="25.5">
      <c r="A14" s="54" t="s">
        <v>42</v>
      </c>
      <c r="B14" s="57" t="s">
        <v>72</v>
      </c>
      <c r="C14" s="57">
        <v>103.76</v>
      </c>
      <c r="D14" s="57">
        <v>142.22</v>
      </c>
      <c r="E14" s="58">
        <v>-0.27039999999999997</v>
      </c>
      <c r="G14" s="59" t="s">
        <v>77</v>
      </c>
      <c r="H14" s="60" t="s">
        <v>72</v>
      </c>
      <c r="I14" s="60"/>
      <c r="J14" s="60"/>
      <c r="K14" s="61"/>
      <c r="L14" s="55" t="b">
        <f t="shared" si="0"/>
        <v>0</v>
      </c>
    </row>
    <row r="15" spans="1:12">
      <c r="A15" s="54" t="s">
        <v>43</v>
      </c>
      <c r="B15" s="57" t="s">
        <v>72</v>
      </c>
      <c r="C15" s="57">
        <v>11.62</v>
      </c>
      <c r="D15" s="57">
        <v>15.24</v>
      </c>
      <c r="E15" s="58">
        <v>-0.23749999999999999</v>
      </c>
      <c r="G15" s="59" t="s">
        <v>44</v>
      </c>
      <c r="H15" s="60" t="s">
        <v>72</v>
      </c>
      <c r="I15" s="60"/>
      <c r="J15" s="60"/>
      <c r="K15" s="61"/>
      <c r="L15" s="55" t="b">
        <f t="shared" si="0"/>
        <v>0</v>
      </c>
    </row>
    <row r="16" spans="1:12">
      <c r="A16" s="54" t="s">
        <v>76</v>
      </c>
      <c r="B16" s="57"/>
      <c r="C16" s="57"/>
      <c r="D16" s="57"/>
      <c r="E16" s="58"/>
      <c r="G16" s="59" t="s">
        <v>45</v>
      </c>
      <c r="H16" s="60" t="s">
        <v>72</v>
      </c>
      <c r="I16" s="60"/>
      <c r="J16" s="60"/>
      <c r="K16" s="61"/>
      <c r="L16" s="55" t="b">
        <f t="shared" si="0"/>
        <v>1</v>
      </c>
    </row>
    <row r="17" spans="1:12">
      <c r="A17" s="54" t="s">
        <v>72</v>
      </c>
      <c r="B17" s="57">
        <v>7.36</v>
      </c>
      <c r="C17" s="57">
        <v>9.7899999999999991</v>
      </c>
      <c r="D17" s="58">
        <v>-0.2482</v>
      </c>
      <c r="E17" s="58"/>
      <c r="G17" s="59" t="s">
        <v>46</v>
      </c>
      <c r="H17" s="60" t="s">
        <v>72</v>
      </c>
      <c r="I17" s="60"/>
      <c r="J17" s="60"/>
      <c r="K17" s="61"/>
      <c r="L17" s="55" t="b">
        <f t="shared" si="0"/>
        <v>0</v>
      </c>
    </row>
    <row r="18" spans="1:12" ht="25.5">
      <c r="A18" s="54" t="s">
        <v>77</v>
      </c>
      <c r="B18" s="57"/>
      <c r="C18" s="57"/>
      <c r="D18" s="57"/>
      <c r="E18" s="58"/>
      <c r="G18" s="59" t="s">
        <v>78</v>
      </c>
      <c r="H18" s="60" t="s">
        <v>72</v>
      </c>
      <c r="I18" s="60"/>
      <c r="J18" s="60"/>
      <c r="K18" s="61"/>
      <c r="L18" s="55" t="b">
        <f t="shared" si="0"/>
        <v>1</v>
      </c>
    </row>
    <row r="19" spans="1:12" ht="25.5">
      <c r="A19" s="54" t="s">
        <v>72</v>
      </c>
      <c r="B19" s="57">
        <v>4.26</v>
      </c>
      <c r="C19" s="57">
        <v>5.45</v>
      </c>
      <c r="D19" s="58">
        <v>-0.21829999999999999</v>
      </c>
      <c r="E19" s="58"/>
      <c r="G19" s="59" t="s">
        <v>79</v>
      </c>
      <c r="H19" s="60" t="s">
        <v>72</v>
      </c>
      <c r="I19" s="60"/>
      <c r="J19" s="60"/>
      <c r="K19" s="61"/>
      <c r="L19" s="55" t="b">
        <f t="shared" si="0"/>
        <v>0</v>
      </c>
    </row>
    <row r="20" spans="1:12" ht="25.5">
      <c r="A20" s="54" t="s">
        <v>44</v>
      </c>
      <c r="B20" s="57" t="s">
        <v>72</v>
      </c>
      <c r="C20" s="57">
        <v>0</v>
      </c>
      <c r="D20" s="57">
        <v>0</v>
      </c>
      <c r="E20" s="58">
        <v>0</v>
      </c>
      <c r="G20" s="59" t="s">
        <v>80</v>
      </c>
      <c r="H20" s="60" t="s">
        <v>72</v>
      </c>
      <c r="I20" s="60"/>
      <c r="J20" s="60"/>
      <c r="K20" s="61"/>
      <c r="L20" s="55" t="b">
        <f t="shared" si="0"/>
        <v>0</v>
      </c>
    </row>
    <row r="21" spans="1:12" ht="25.5">
      <c r="A21" s="54" t="s">
        <v>45</v>
      </c>
      <c r="B21" s="57" t="s">
        <v>72</v>
      </c>
      <c r="C21" s="57">
        <v>1510.84</v>
      </c>
      <c r="D21" s="57">
        <v>67.86</v>
      </c>
      <c r="E21" s="58">
        <v>21.264099999999999</v>
      </c>
      <c r="G21" s="59" t="s">
        <v>81</v>
      </c>
      <c r="H21" s="60" t="s">
        <v>72</v>
      </c>
      <c r="I21" s="60"/>
      <c r="J21" s="60"/>
      <c r="K21" s="61"/>
      <c r="L21" s="55" t="b">
        <f t="shared" si="0"/>
        <v>0</v>
      </c>
    </row>
    <row r="22" spans="1:12" ht="25.5">
      <c r="A22" s="54" t="s">
        <v>46</v>
      </c>
      <c r="B22" s="57" t="s">
        <v>72</v>
      </c>
      <c r="C22" s="57">
        <v>9.33</v>
      </c>
      <c r="D22" s="57">
        <v>18.55</v>
      </c>
      <c r="E22" s="58">
        <v>-0.497</v>
      </c>
      <c r="G22" s="59" t="s">
        <v>82</v>
      </c>
      <c r="H22" s="60" t="s">
        <v>72</v>
      </c>
      <c r="I22" s="60"/>
      <c r="J22" s="60"/>
      <c r="K22" s="61"/>
      <c r="L22" s="55" t="b">
        <f t="shared" si="0"/>
        <v>0</v>
      </c>
    </row>
    <row r="23" spans="1:12" ht="38.25">
      <c r="A23" s="54" t="s">
        <v>78</v>
      </c>
      <c r="B23" s="57"/>
      <c r="C23" s="58"/>
      <c r="D23" s="58"/>
      <c r="E23" s="58"/>
      <c r="G23" s="59" t="s">
        <v>47</v>
      </c>
      <c r="H23" s="60" t="s">
        <v>83</v>
      </c>
      <c r="I23" s="61"/>
      <c r="J23" s="61"/>
      <c r="K23" s="61"/>
      <c r="L23" s="55" t="b">
        <f t="shared" si="0"/>
        <v>1</v>
      </c>
    </row>
    <row r="24" spans="1:12" ht="25.5">
      <c r="A24" s="54" t="s">
        <v>72</v>
      </c>
      <c r="B24" s="57">
        <v>9.15</v>
      </c>
      <c r="C24" s="57">
        <v>17.73</v>
      </c>
      <c r="D24" s="58">
        <v>-0.4839</v>
      </c>
      <c r="E24" s="58"/>
      <c r="G24" s="59" t="s">
        <v>48</v>
      </c>
      <c r="H24" s="60" t="s">
        <v>84</v>
      </c>
      <c r="I24" s="60"/>
      <c r="J24" s="60"/>
      <c r="K24" s="61"/>
      <c r="L24" s="55" t="b">
        <f t="shared" si="0"/>
        <v>0</v>
      </c>
    </row>
    <row r="25" spans="1:12" ht="25.5">
      <c r="A25" s="54" t="s">
        <v>79</v>
      </c>
      <c r="B25" s="57"/>
      <c r="C25" s="57"/>
      <c r="D25" s="57"/>
      <c r="E25" s="58"/>
      <c r="G25" s="59" t="s">
        <v>49</v>
      </c>
      <c r="H25" s="60" t="s">
        <v>72</v>
      </c>
      <c r="I25" s="60"/>
      <c r="J25" s="60"/>
      <c r="K25" s="61"/>
      <c r="L25" s="55" t="b">
        <f t="shared" si="0"/>
        <v>1</v>
      </c>
    </row>
    <row r="26" spans="1:12" ht="25.5">
      <c r="A26" s="54" t="s">
        <v>72</v>
      </c>
      <c r="B26" s="57">
        <v>0.09</v>
      </c>
      <c r="C26" s="58">
        <v>0.12</v>
      </c>
      <c r="D26" s="58">
        <v>-0.25</v>
      </c>
      <c r="E26" s="58"/>
      <c r="G26" s="59" t="s">
        <v>50</v>
      </c>
      <c r="H26" s="60" t="s">
        <v>33</v>
      </c>
      <c r="I26" s="61"/>
      <c r="J26" s="61"/>
      <c r="K26" s="61"/>
      <c r="L26" s="55" t="b">
        <f t="shared" si="0"/>
        <v>0</v>
      </c>
    </row>
    <row r="27" spans="1:12">
      <c r="A27" s="52" t="s">
        <v>80</v>
      </c>
    </row>
    <row r="28" spans="1:12">
      <c r="A28" s="52" t="s">
        <v>72</v>
      </c>
      <c r="B28" s="52">
        <v>0</v>
      </c>
      <c r="C28" s="52">
        <v>0</v>
      </c>
      <c r="D28" s="177">
        <v>0</v>
      </c>
    </row>
    <row r="29" spans="1:12">
      <c r="A29" s="52" t="s">
        <v>269</v>
      </c>
    </row>
    <row r="30" spans="1:12">
      <c r="A30" s="97" t="s">
        <v>72</v>
      </c>
      <c r="B30" s="97">
        <v>0.13</v>
      </c>
      <c r="C30" s="97">
        <v>0.7</v>
      </c>
      <c r="D30" s="178">
        <v>-0.81430000000000002</v>
      </c>
      <c r="E30" s="98"/>
    </row>
    <row r="31" spans="1:12" ht="29.25" customHeight="1">
      <c r="A31" s="96" t="s">
        <v>47</v>
      </c>
      <c r="B31" s="96" t="s">
        <v>83</v>
      </c>
      <c r="C31" s="90">
        <v>7.21</v>
      </c>
      <c r="D31" s="90">
        <v>2.5</v>
      </c>
      <c r="E31" s="179">
        <v>1.8839999999999999</v>
      </c>
    </row>
    <row r="32" spans="1:12">
      <c r="A32" s="52" t="s">
        <v>48</v>
      </c>
      <c r="B32" s="52" t="s">
        <v>84</v>
      </c>
      <c r="C32" s="52">
        <v>161.91999999999999</v>
      </c>
      <c r="D32" s="52">
        <v>3.66</v>
      </c>
      <c r="E32" s="177">
        <v>43.240400000000001</v>
      </c>
    </row>
    <row r="33" spans="1:5">
      <c r="A33" s="52" t="s">
        <v>49</v>
      </c>
      <c r="B33" s="52" t="s">
        <v>72</v>
      </c>
      <c r="C33" s="52">
        <v>0</v>
      </c>
      <c r="D33" s="52">
        <v>0</v>
      </c>
      <c r="E33" s="177">
        <v>0</v>
      </c>
    </row>
    <row r="34" spans="1:5">
      <c r="A34" s="52" t="s">
        <v>50</v>
      </c>
      <c r="B34" s="52" t="s">
        <v>33</v>
      </c>
      <c r="C34" s="52">
        <v>0</v>
      </c>
      <c r="D34" s="52">
        <v>0</v>
      </c>
      <c r="E34" s="177">
        <v>0</v>
      </c>
    </row>
    <row r="35" spans="1:5">
      <c r="A35" s="52" t="s">
        <v>51</v>
      </c>
      <c r="B35" s="52" t="s">
        <v>33</v>
      </c>
      <c r="C35" s="52">
        <v>0</v>
      </c>
      <c r="D35" s="52">
        <v>0</v>
      </c>
      <c r="E35" s="177">
        <v>0</v>
      </c>
    </row>
  </sheetData>
  <mergeCells count="2">
    <mergeCell ref="G1:L1"/>
    <mergeCell ref="A1:E1"/>
  </mergeCells>
  <conditionalFormatting sqref="L3:L26">
    <cfRule type="cellIs" dxfId="65" priority="1" operator="equal">
      <formula>FALSE</formula>
    </cfRule>
    <cfRule type="cellIs" dxfId="64" priority="2" operator="equal">
      <formula>TRUE</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6"/>
  <sheetViews>
    <sheetView showGridLines="0" zoomScale="90" zoomScaleNormal="90" workbookViewId="0">
      <selection sqref="A1:A2"/>
    </sheetView>
  </sheetViews>
  <sheetFormatPr defaultRowHeight="15"/>
  <cols>
    <col min="1" max="1" width="19.85546875" bestFit="1" customWidth="1"/>
    <col min="2" max="2" width="10.5703125" bestFit="1" customWidth="1"/>
    <col min="3" max="3" width="13" bestFit="1" customWidth="1"/>
    <col min="4" max="4" width="17.85546875" bestFit="1" customWidth="1"/>
    <col min="5" max="5" width="22.5703125" bestFit="1" customWidth="1"/>
    <col min="6" max="6" width="22.7109375" customWidth="1"/>
    <col min="7" max="7" width="23.7109375" customWidth="1"/>
    <col min="8" max="8" width="11.42578125" customWidth="1"/>
    <col min="9" max="9" width="12.42578125" bestFit="1" customWidth="1"/>
    <col min="10" max="10" width="14" customWidth="1"/>
    <col min="11" max="11" width="18.7109375" customWidth="1"/>
  </cols>
  <sheetData>
    <row r="1" spans="1:11" ht="15" customHeight="1">
      <c r="A1" s="720" t="s">
        <v>30</v>
      </c>
      <c r="B1" s="711" t="s">
        <v>20</v>
      </c>
      <c r="C1" s="745" t="s">
        <v>26</v>
      </c>
      <c r="D1" s="746"/>
      <c r="E1" s="711" t="s">
        <v>16</v>
      </c>
      <c r="F1" s="745" t="s">
        <v>24</v>
      </c>
      <c r="G1" s="711" t="s">
        <v>25</v>
      </c>
      <c r="H1" s="711" t="s">
        <v>17</v>
      </c>
      <c r="I1" s="14" t="s">
        <v>18</v>
      </c>
      <c r="J1" s="711" t="s">
        <v>19</v>
      </c>
      <c r="K1" s="711" t="s">
        <v>0</v>
      </c>
    </row>
    <row r="2" spans="1:11" ht="15" customHeight="1">
      <c r="A2" s="744"/>
      <c r="B2" s="712"/>
      <c r="C2" s="747"/>
      <c r="D2" s="748"/>
      <c r="E2" s="712"/>
      <c r="F2" s="747"/>
      <c r="G2" s="712"/>
      <c r="H2" s="712"/>
      <c r="I2" s="13">
        <v>40941</v>
      </c>
      <c r="J2" s="712"/>
      <c r="K2" s="712"/>
    </row>
    <row r="3" spans="1:11" ht="50.1" customHeight="1">
      <c r="A3" s="713" t="s">
        <v>31</v>
      </c>
      <c r="B3" s="749" t="s">
        <v>136</v>
      </c>
      <c r="C3" s="739" t="s">
        <v>141</v>
      </c>
      <c r="D3" s="26" t="s">
        <v>137</v>
      </c>
      <c r="E3" s="23" t="s">
        <v>142</v>
      </c>
      <c r="F3" s="752" t="s">
        <v>169</v>
      </c>
      <c r="G3" s="714" t="s">
        <v>163</v>
      </c>
      <c r="H3" s="757" t="s">
        <v>162</v>
      </c>
      <c r="I3" s="11" t="s">
        <v>3</v>
      </c>
      <c r="J3" s="88"/>
      <c r="K3" s="12"/>
    </row>
    <row r="4" spans="1:11" ht="50.1" customHeight="1">
      <c r="A4" s="713"/>
      <c r="B4" s="749"/>
      <c r="C4" s="750"/>
      <c r="D4" s="27" t="s">
        <v>138</v>
      </c>
      <c r="E4" s="23" t="s">
        <v>143</v>
      </c>
      <c r="F4" s="752"/>
      <c r="G4" s="714"/>
      <c r="H4" s="757"/>
      <c r="I4" s="11" t="s">
        <v>3</v>
      </c>
      <c r="J4" s="88"/>
      <c r="K4" s="12"/>
    </row>
    <row r="5" spans="1:11" ht="50.1" customHeight="1">
      <c r="A5" s="713"/>
      <c r="B5" s="749"/>
      <c r="C5" s="750"/>
      <c r="D5" s="27" t="s">
        <v>139</v>
      </c>
      <c r="E5" s="23" t="s">
        <v>144</v>
      </c>
      <c r="F5" s="752"/>
      <c r="G5" s="714"/>
      <c r="H5" s="757"/>
      <c r="I5" s="11" t="s">
        <v>3</v>
      </c>
      <c r="J5" s="88"/>
      <c r="K5" s="12"/>
    </row>
    <row r="6" spans="1:11" ht="50.1" customHeight="1">
      <c r="A6" s="713"/>
      <c r="B6" s="749"/>
      <c r="C6" s="751"/>
      <c r="D6" s="28" t="s">
        <v>140</v>
      </c>
      <c r="E6" s="25" t="s">
        <v>145</v>
      </c>
      <c r="F6" s="752"/>
      <c r="G6" s="714"/>
      <c r="H6" s="757"/>
      <c r="I6" s="11" t="s">
        <v>3</v>
      </c>
      <c r="J6" s="88"/>
      <c r="K6" s="12"/>
    </row>
  </sheetData>
  <mergeCells count="15">
    <mergeCell ref="J1:J2"/>
    <mergeCell ref="K1:K2"/>
    <mergeCell ref="G3:G6"/>
    <mergeCell ref="H3:H6"/>
    <mergeCell ref="A1:A2"/>
    <mergeCell ref="B1:B2"/>
    <mergeCell ref="C1:D2"/>
    <mergeCell ref="A3:A6"/>
    <mergeCell ref="B3:B6"/>
    <mergeCell ref="C3:C6"/>
    <mergeCell ref="E1:E2"/>
    <mergeCell ref="F1:F2"/>
    <mergeCell ref="G1:G2"/>
    <mergeCell ref="H1:H2"/>
    <mergeCell ref="F3:F6"/>
  </mergeCells>
  <conditionalFormatting sqref="I3:I6">
    <cfRule type="cellIs" dxfId="63" priority="22" operator="equal">
      <formula>"Not Tested"</formula>
    </cfRule>
    <cfRule type="cellIs" dxfId="62" priority="23" operator="equal">
      <formula>"Pending"</formula>
    </cfRule>
    <cfRule type="cellIs" dxfId="61" priority="24" operator="equal">
      <formula>"Ongoing"</formula>
    </cfRule>
    <cfRule type="cellIs" dxfId="60" priority="25" operator="equal">
      <formula>"Blocked"</formula>
    </cfRule>
    <cfRule type="cellIs" dxfId="59" priority="26" operator="equal">
      <formula>"Fail"</formula>
    </cfRule>
    <cfRule type="cellIs" dxfId="58" priority="27" operator="equal">
      <formula>"Partially Fail"</formula>
    </cfRule>
    <cfRule type="cellIs" dxfId="57" priority="28" operator="equal">
      <formula>"Pass"</formula>
    </cfRule>
  </conditionalFormatting>
  <conditionalFormatting sqref="I3:I6">
    <cfRule type="cellIs" dxfId="56" priority="15" operator="equal">
      <formula>"Not Tested"</formula>
    </cfRule>
    <cfRule type="cellIs" dxfId="55" priority="16" operator="equal">
      <formula>"Pending"</formula>
    </cfRule>
    <cfRule type="cellIs" dxfId="54" priority="17" operator="equal">
      <formula>"Ongoing"</formula>
    </cfRule>
    <cfRule type="cellIs" dxfId="53" priority="18" operator="equal">
      <formula>"Blocked"</formula>
    </cfRule>
    <cfRule type="cellIs" dxfId="52" priority="19" operator="equal">
      <formula>"Fail"</formula>
    </cfRule>
    <cfRule type="cellIs" dxfId="51" priority="20" operator="equal">
      <formula>"Partially Pass"</formula>
    </cfRule>
    <cfRule type="cellIs" dxfId="50" priority="21" operator="equal">
      <formula>"Pass"</formula>
    </cfRule>
  </conditionalFormatting>
  <hyperlinks>
    <hyperlink ref="H4:H6" location="'MD Data'!A1" display="MD Data'!A1"/>
    <hyperlink ref="H3" location="'T20 Reports Data'!A1" display="T20 Reports Data'!A1"/>
    <hyperlink ref="H3:H6" location="'CC Tab'!A1" display="CC Data'!A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I3:I6</xm:sqref>
        </x14:dataValidation>
      </x14:dataValidations>
    </ext>
  </extLst>
</worksheet>
</file>

<file path=xl/worksheets/sheet21.xml><?xml version="1.0" encoding="utf-8"?>
<worksheet xmlns="http://schemas.openxmlformats.org/spreadsheetml/2006/main" xmlns:r="http://schemas.openxmlformats.org/officeDocument/2006/relationships">
  <dimension ref="A1:J8"/>
  <sheetViews>
    <sheetView showGridLines="0" topLeftCell="E1" zoomScale="90" zoomScaleNormal="90" workbookViewId="0">
      <selection activeCell="G3" sqref="G3:G8"/>
    </sheetView>
  </sheetViews>
  <sheetFormatPr defaultRowHeight="12.75"/>
  <cols>
    <col min="1" max="1" width="19.85546875" style="2" bestFit="1" customWidth="1"/>
    <col min="2" max="2" width="16.28515625" style="2" bestFit="1" customWidth="1"/>
    <col min="3" max="3" width="16.42578125" style="2" bestFit="1" customWidth="1"/>
    <col min="4" max="4" width="17.7109375" style="2" bestFit="1" customWidth="1"/>
    <col min="5" max="5" width="26.85546875" style="2" bestFit="1" customWidth="1"/>
    <col min="6" max="6" width="25.7109375" style="2" customWidth="1"/>
    <col min="7" max="7" width="11.5703125" style="2" bestFit="1" customWidth="1"/>
    <col min="8" max="8" width="12.42578125" style="2" bestFit="1" customWidth="1"/>
    <col min="9" max="10" width="18.7109375" style="2" customWidth="1"/>
    <col min="11" max="16384" width="9.140625" style="2"/>
  </cols>
  <sheetData>
    <row r="1" spans="1:10" ht="15" customHeight="1">
      <c r="A1" s="720" t="s">
        <v>30</v>
      </c>
      <c r="B1" s="711" t="s">
        <v>20</v>
      </c>
      <c r="C1" s="745" t="s">
        <v>26</v>
      </c>
      <c r="D1" s="711" t="s">
        <v>16</v>
      </c>
      <c r="E1" s="745" t="s">
        <v>24</v>
      </c>
      <c r="F1" s="711" t="s">
        <v>25</v>
      </c>
      <c r="G1" s="711" t="s">
        <v>17</v>
      </c>
      <c r="H1" s="14" t="s">
        <v>18</v>
      </c>
      <c r="I1" s="711" t="s">
        <v>19</v>
      </c>
      <c r="J1" s="711" t="s">
        <v>0</v>
      </c>
    </row>
    <row r="2" spans="1:10" ht="15" customHeight="1">
      <c r="A2" s="744"/>
      <c r="B2" s="712"/>
      <c r="C2" s="747"/>
      <c r="D2" s="712"/>
      <c r="E2" s="747"/>
      <c r="F2" s="712"/>
      <c r="G2" s="712"/>
      <c r="H2" s="13">
        <v>40941</v>
      </c>
      <c r="I2" s="810"/>
      <c r="J2" s="712"/>
    </row>
    <row r="3" spans="1:10" ht="34.5" customHeight="1">
      <c r="A3" s="778" t="s">
        <v>31</v>
      </c>
      <c r="B3" s="811" t="s">
        <v>97</v>
      </c>
      <c r="C3" s="15" t="s">
        <v>98</v>
      </c>
      <c r="D3" s="15" t="s">
        <v>103</v>
      </c>
      <c r="E3" s="814" t="s">
        <v>165</v>
      </c>
      <c r="F3" s="23" t="s">
        <v>172</v>
      </c>
      <c r="G3" s="817" t="s">
        <v>109</v>
      </c>
      <c r="H3" s="11" t="s">
        <v>3</v>
      </c>
      <c r="I3" s="157"/>
      <c r="J3" s="12"/>
    </row>
    <row r="4" spans="1:10" ht="70.5" customHeight="1">
      <c r="A4" s="779"/>
      <c r="B4" s="812"/>
      <c r="C4" s="15" t="s">
        <v>99</v>
      </c>
      <c r="D4" s="15" t="s">
        <v>104</v>
      </c>
      <c r="E4" s="815"/>
      <c r="F4" s="87" t="s">
        <v>177</v>
      </c>
      <c r="G4" s="818"/>
      <c r="H4" s="11" t="s">
        <v>3</v>
      </c>
      <c r="I4" s="157"/>
      <c r="J4" s="12"/>
    </row>
    <row r="5" spans="1:10" ht="26.1" customHeight="1">
      <c r="A5" s="779"/>
      <c r="B5" s="812"/>
      <c r="C5" s="33" t="s">
        <v>100</v>
      </c>
      <c r="D5" s="33" t="s">
        <v>105</v>
      </c>
      <c r="E5" s="815"/>
      <c r="F5" s="750" t="s">
        <v>176</v>
      </c>
      <c r="G5" s="818"/>
      <c r="H5" s="11" t="s">
        <v>3</v>
      </c>
      <c r="I5" s="157"/>
      <c r="J5" s="12"/>
    </row>
    <row r="6" spans="1:10" ht="26.1" customHeight="1">
      <c r="A6" s="779"/>
      <c r="B6" s="812"/>
      <c r="C6" s="24" t="s">
        <v>101</v>
      </c>
      <c r="D6" s="20" t="s">
        <v>106</v>
      </c>
      <c r="E6" s="815"/>
      <c r="F6" s="750"/>
      <c r="G6" s="818"/>
      <c r="H6" s="11" t="s">
        <v>3</v>
      </c>
      <c r="I6" s="156"/>
      <c r="J6" s="12"/>
    </row>
    <row r="7" spans="1:10" ht="26.1" customHeight="1">
      <c r="A7" s="779"/>
      <c r="B7" s="812"/>
      <c r="C7" s="33" t="s">
        <v>102</v>
      </c>
      <c r="D7" s="33" t="s">
        <v>107</v>
      </c>
      <c r="E7" s="815"/>
      <c r="F7" s="750"/>
      <c r="G7" s="818"/>
      <c r="H7" s="11" t="s">
        <v>3</v>
      </c>
      <c r="I7" s="155"/>
      <c r="J7" s="12"/>
    </row>
    <row r="8" spans="1:10" ht="26.1" customHeight="1">
      <c r="A8" s="780"/>
      <c r="B8" s="813"/>
      <c r="C8" s="33" t="s">
        <v>35</v>
      </c>
      <c r="D8" s="33" t="s">
        <v>108</v>
      </c>
      <c r="E8" s="816"/>
      <c r="F8" s="751"/>
      <c r="G8" s="819"/>
      <c r="H8" s="11" t="s">
        <v>3</v>
      </c>
      <c r="I8" s="155"/>
      <c r="J8" s="12"/>
    </row>
  </sheetData>
  <mergeCells count="14">
    <mergeCell ref="I1:I2"/>
    <mergeCell ref="J1:J2"/>
    <mergeCell ref="A3:A8"/>
    <mergeCell ref="B3:B8"/>
    <mergeCell ref="E3:E8"/>
    <mergeCell ref="G3:G8"/>
    <mergeCell ref="A1:A2"/>
    <mergeCell ref="B1:B2"/>
    <mergeCell ref="C1:C2"/>
    <mergeCell ref="D1:D2"/>
    <mergeCell ref="E1:E2"/>
    <mergeCell ref="F1:F2"/>
    <mergeCell ref="G1:G2"/>
    <mergeCell ref="F5:F8"/>
  </mergeCells>
  <conditionalFormatting sqref="H3:H8">
    <cfRule type="cellIs" dxfId="49" priority="8" operator="equal">
      <formula>"Not Tested"</formula>
    </cfRule>
    <cfRule type="cellIs" dxfId="48" priority="9" operator="equal">
      <formula>"Pending"</formula>
    </cfRule>
    <cfRule type="cellIs" dxfId="47" priority="10" operator="equal">
      <formula>"Ongoing"</formula>
    </cfRule>
    <cfRule type="cellIs" dxfId="46" priority="11" operator="equal">
      <formula>"Blocked"</formula>
    </cfRule>
    <cfRule type="cellIs" dxfId="45" priority="12" operator="equal">
      <formula>"Fail"</formula>
    </cfRule>
    <cfRule type="cellIs" dxfId="44" priority="13" operator="equal">
      <formula>"Partially Fail"</formula>
    </cfRule>
    <cfRule type="cellIs" dxfId="43" priority="14" operator="equal">
      <formula>"Pass"</formula>
    </cfRule>
  </conditionalFormatting>
  <conditionalFormatting sqref="H3:H8">
    <cfRule type="cellIs" dxfId="42" priority="1" operator="equal">
      <formula>"Not Tested"</formula>
    </cfRule>
    <cfRule type="cellIs" dxfId="41" priority="2" operator="equal">
      <formula>"Pending"</formula>
    </cfRule>
    <cfRule type="cellIs" dxfId="40" priority="3" operator="equal">
      <formula>"Ongoing"</formula>
    </cfRule>
    <cfRule type="cellIs" dxfId="39" priority="4" operator="equal">
      <formula>"Blocked"</formula>
    </cfRule>
    <cfRule type="cellIs" dxfId="38" priority="5" operator="equal">
      <formula>"Fail"</formula>
    </cfRule>
    <cfRule type="cellIs" dxfId="37" priority="6" operator="equal">
      <formula>"Partially Pass"</formula>
    </cfRule>
    <cfRule type="cellIs" dxfId="36" priority="7" operator="equal">
      <formula>"Pass"</formula>
    </cfRule>
  </conditionalFormatting>
  <hyperlinks>
    <hyperlink ref="G3" location="'T20 Reports Data'!A1" display="T20 Reports Data'!A1"/>
    <hyperlink ref="G3:G8" location="'DC Data'!A1" display="DC Data'!A1"/>
    <hyperlink ref="F4" r:id="rId1"/>
  </hyperlinks>
  <pageMargins left="0.7" right="0.7" top="0.75" bottom="0.75" header="0.3" footer="0.3"/>
  <pageSetup orientation="portrait" horizontalDpi="200" verticalDpi="2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H3:H8</xm:sqref>
        </x14:dataValidation>
      </x14:dataValidations>
    </ext>
  </extLst>
</worksheet>
</file>

<file path=xl/worksheets/sheet22.xml><?xml version="1.0" encoding="utf-8"?>
<worksheet xmlns="http://schemas.openxmlformats.org/spreadsheetml/2006/main" xmlns:r="http://schemas.openxmlformats.org/officeDocument/2006/relationships">
  <dimension ref="A1:N14"/>
  <sheetViews>
    <sheetView showGridLines="0" zoomScale="90" zoomScaleNormal="90" workbookViewId="0">
      <selection sqref="A1:F1"/>
    </sheetView>
  </sheetViews>
  <sheetFormatPr defaultRowHeight="12.75"/>
  <cols>
    <col min="1" max="1" width="24.42578125" style="2" customWidth="1"/>
    <col min="2" max="2" width="14.28515625" style="2" bestFit="1" customWidth="1"/>
    <col min="3" max="3" width="14" style="2" bestFit="1" customWidth="1"/>
    <col min="4" max="4" width="13.7109375" style="2" customWidth="1"/>
    <col min="5" max="5" width="10.42578125" style="2" bestFit="1" customWidth="1"/>
    <col min="6" max="6" width="17.42578125" style="2" bestFit="1" customWidth="1"/>
    <col min="7" max="7" width="9.140625" style="2"/>
    <col min="8" max="8" width="23.7109375" style="2" customWidth="1"/>
    <col min="9" max="9" width="18.140625" style="2" bestFit="1" customWidth="1"/>
    <col min="10" max="10" width="14" style="2" bestFit="1" customWidth="1"/>
    <col min="11" max="11" width="12.140625" style="2" customWidth="1"/>
    <col min="12" max="12" width="10.85546875" style="2" customWidth="1"/>
    <col min="13" max="13" width="17.42578125" style="2" bestFit="1" customWidth="1"/>
    <col min="14" max="14" width="9.28515625" style="2" bestFit="1" customWidth="1"/>
    <col min="15" max="16384" width="9.140625" style="2"/>
  </cols>
  <sheetData>
    <row r="1" spans="1:14" ht="6" customHeight="1">
      <c r="A1" s="804" t="s">
        <v>27</v>
      </c>
      <c r="B1" s="764"/>
      <c r="C1" s="764"/>
      <c r="D1" s="764"/>
      <c r="E1" s="764"/>
      <c r="F1" s="764"/>
      <c r="G1" s="64"/>
      <c r="H1" s="820" t="s">
        <v>28</v>
      </c>
      <c r="I1" s="763"/>
      <c r="J1" s="763"/>
      <c r="K1" s="763"/>
      <c r="L1" s="763"/>
      <c r="M1" s="763"/>
      <c r="N1" s="763"/>
    </row>
    <row r="2" spans="1:14" ht="31.5" customHeight="1">
      <c r="A2" s="70" t="s">
        <v>110</v>
      </c>
      <c r="B2" s="70"/>
      <c r="C2" s="70"/>
      <c r="D2" s="70"/>
      <c r="H2" s="70" t="s">
        <v>110</v>
      </c>
      <c r="I2" s="70"/>
      <c r="J2" s="70"/>
      <c r="K2" s="70"/>
      <c r="L2" s="800" t="s">
        <v>29</v>
      </c>
    </row>
    <row r="3" spans="1:14" ht="27" customHeight="1">
      <c r="A3" s="70" t="s">
        <v>111</v>
      </c>
      <c r="B3" s="70" t="s">
        <v>112</v>
      </c>
      <c r="C3" s="91" t="s">
        <v>113</v>
      </c>
      <c r="D3" s="70" t="s">
        <v>114</v>
      </c>
      <c r="H3" s="70" t="s">
        <v>111</v>
      </c>
      <c r="I3" s="70" t="s">
        <v>112</v>
      </c>
      <c r="J3" s="70" t="s">
        <v>113</v>
      </c>
      <c r="K3" s="70" t="s">
        <v>114</v>
      </c>
      <c r="L3" s="801"/>
    </row>
    <row r="4" spans="1:14">
      <c r="A4" s="118"/>
      <c r="B4" s="101"/>
      <c r="C4" s="99"/>
      <c r="D4" s="146"/>
      <c r="E4" s="90"/>
      <c r="F4" s="90"/>
      <c r="G4" s="90"/>
      <c r="H4" s="71"/>
      <c r="I4" s="72"/>
      <c r="J4" s="51"/>
      <c r="K4" s="71"/>
      <c r="L4" s="36" t="b">
        <f>EXACT(A4,H4)</f>
        <v>1</v>
      </c>
    </row>
    <row r="6" spans="1:14" ht="38.25">
      <c r="A6" s="70" t="s">
        <v>115</v>
      </c>
      <c r="B6" s="73" t="s">
        <v>116</v>
      </c>
      <c r="C6" s="73" t="s">
        <v>118</v>
      </c>
      <c r="D6" s="73" t="s">
        <v>119</v>
      </c>
      <c r="E6" s="70" t="s">
        <v>112</v>
      </c>
      <c r="F6" s="70" t="s">
        <v>117</v>
      </c>
      <c r="H6" s="70" t="s">
        <v>115</v>
      </c>
      <c r="I6" s="70" t="s">
        <v>116</v>
      </c>
      <c r="J6" s="73" t="s">
        <v>118</v>
      </c>
      <c r="K6" s="73" t="s">
        <v>119</v>
      </c>
      <c r="L6" s="70" t="s">
        <v>112</v>
      </c>
      <c r="M6" s="70" t="s">
        <v>117</v>
      </c>
      <c r="N6" s="47" t="s">
        <v>29</v>
      </c>
    </row>
    <row r="7" spans="1:14">
      <c r="A7" s="142"/>
      <c r="B7" s="143"/>
      <c r="C7" s="139"/>
      <c r="D7" s="120"/>
      <c r="E7" s="148"/>
      <c r="F7" s="149"/>
      <c r="G7" s="90"/>
      <c r="H7" s="142" t="s">
        <v>98</v>
      </c>
      <c r="I7" s="71"/>
      <c r="J7" s="51"/>
      <c r="K7" s="51"/>
      <c r="L7" s="72"/>
      <c r="M7" s="71"/>
      <c r="N7" s="36" t="b">
        <f>EXACT(C7,J7)</f>
        <v>1</v>
      </c>
    </row>
    <row r="8" spans="1:14">
      <c r="A8" s="141"/>
      <c r="B8" s="143"/>
      <c r="C8" s="139"/>
      <c r="D8" s="120"/>
      <c r="E8" s="148"/>
      <c r="F8" s="149"/>
      <c r="G8" s="90"/>
      <c r="H8" s="141" t="s">
        <v>99</v>
      </c>
      <c r="I8" s="71"/>
      <c r="J8" s="51"/>
      <c r="K8" s="51"/>
      <c r="L8" s="72"/>
      <c r="M8" s="71"/>
      <c r="N8" s="36" t="b">
        <v>0</v>
      </c>
    </row>
    <row r="9" spans="1:14">
      <c r="A9" s="141"/>
      <c r="B9" s="143"/>
      <c r="C9" s="139"/>
      <c r="D9" s="120"/>
      <c r="E9" s="148"/>
      <c r="F9" s="149"/>
      <c r="G9" s="90"/>
      <c r="H9" s="141" t="s">
        <v>100</v>
      </c>
      <c r="I9" s="71"/>
      <c r="J9" s="51"/>
      <c r="K9" s="51"/>
      <c r="L9" s="72"/>
      <c r="M9" s="71"/>
      <c r="N9" s="36" t="b">
        <f>EXACT(C9,J9)</f>
        <v>1</v>
      </c>
    </row>
    <row r="10" spans="1:14">
      <c r="A10" s="141"/>
      <c r="B10" s="143"/>
      <c r="C10" s="139"/>
      <c r="D10" s="120"/>
      <c r="E10" s="148"/>
      <c r="F10" s="149"/>
      <c r="G10" s="90"/>
      <c r="H10" s="141" t="s">
        <v>101</v>
      </c>
      <c r="I10" s="71"/>
      <c r="J10" s="51"/>
      <c r="K10" s="51"/>
      <c r="L10" s="72"/>
      <c r="M10" s="71"/>
      <c r="N10" s="36" t="b">
        <f>EXACT(C10,J10)</f>
        <v>1</v>
      </c>
    </row>
    <row r="11" spans="1:14">
      <c r="A11" s="141"/>
      <c r="B11" s="143"/>
      <c r="C11" s="139"/>
      <c r="D11" s="120"/>
      <c r="E11" s="148"/>
      <c r="F11" s="149"/>
      <c r="G11" s="90"/>
      <c r="H11" s="141" t="s">
        <v>102</v>
      </c>
      <c r="I11" s="71"/>
      <c r="J11" s="51"/>
      <c r="K11" s="51"/>
      <c r="L11" s="72"/>
      <c r="M11" s="71"/>
      <c r="N11" s="36" t="b">
        <f>EXACT(C11,J11)</f>
        <v>1</v>
      </c>
    </row>
    <row r="12" spans="1:14" s="1" customFormat="1">
      <c r="A12" s="141"/>
      <c r="B12" s="143"/>
      <c r="C12" s="140"/>
      <c r="D12" s="122"/>
      <c r="E12" s="150"/>
      <c r="F12" s="151"/>
      <c r="G12" s="123"/>
      <c r="H12" s="141" t="s">
        <v>266</v>
      </c>
      <c r="I12" s="125"/>
      <c r="J12" s="124"/>
      <c r="K12" s="124"/>
      <c r="L12" s="126"/>
      <c r="M12" s="125"/>
      <c r="N12" s="121" t="b">
        <f>EXACT(C12,J12)</f>
        <v>1</v>
      </c>
    </row>
    <row r="13" spans="1:14" s="1" customFormat="1">
      <c r="A13" s="145"/>
      <c r="B13" s="154"/>
      <c r="C13" s="147"/>
      <c r="D13" s="147"/>
      <c r="E13" s="152"/>
      <c r="F13" s="153"/>
      <c r="H13" s="145" t="s">
        <v>35</v>
      </c>
      <c r="I13" s="71"/>
      <c r="J13" s="158"/>
      <c r="K13" s="158"/>
      <c r="L13" s="71"/>
      <c r="M13" s="71"/>
      <c r="N13" s="121" t="b">
        <v>0</v>
      </c>
    </row>
    <row r="14" spans="1:14">
      <c r="B14" s="144"/>
    </row>
  </sheetData>
  <mergeCells count="3">
    <mergeCell ref="A1:F1"/>
    <mergeCell ref="L2:L3"/>
    <mergeCell ref="H1:N1"/>
  </mergeCells>
  <conditionalFormatting sqref="L4">
    <cfRule type="cellIs" dxfId="35" priority="5" operator="equal">
      <formula>FALSE</formula>
    </cfRule>
    <cfRule type="cellIs" dxfId="34" priority="6" operator="equal">
      <formula>TRUE</formula>
    </cfRule>
  </conditionalFormatting>
  <conditionalFormatting sqref="N7:N12">
    <cfRule type="cellIs" dxfId="33" priority="3" operator="equal">
      <formula>FALSE</formula>
    </cfRule>
    <cfRule type="cellIs" dxfId="32" priority="4" operator="equal">
      <formula>TRUE</formula>
    </cfRule>
  </conditionalFormatting>
  <conditionalFormatting sqref="N13">
    <cfRule type="cellIs" dxfId="31" priority="1" operator="equal">
      <formula>FALSE</formula>
    </cfRule>
    <cfRule type="cellIs" dxfId="30" priority="2" operator="equal">
      <formula>TRUE</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dimension ref="A1:P85"/>
  <sheetViews>
    <sheetView showGridLines="0" workbookViewId="0">
      <selection activeCell="E3" sqref="E3:E4"/>
    </sheetView>
  </sheetViews>
  <sheetFormatPr defaultRowHeight="12.75"/>
  <cols>
    <col min="1" max="1" width="25" style="52" bestFit="1" customWidth="1"/>
    <col min="2" max="2" width="17.140625" style="52" customWidth="1"/>
    <col min="3" max="3" width="16.140625" style="100" customWidth="1"/>
    <col min="4" max="4" width="18.85546875" style="52" bestFit="1" customWidth="1"/>
    <col min="5" max="5" width="20" style="52" bestFit="1" customWidth="1"/>
    <col min="6" max="6" width="13.85546875" style="52" bestFit="1" customWidth="1"/>
    <col min="7" max="7" width="12.5703125" style="52" customWidth="1"/>
    <col min="8" max="8" width="9.140625" style="52"/>
    <col min="9" max="9" width="25" style="52" customWidth="1"/>
    <col min="10" max="10" width="18.7109375" style="52" customWidth="1"/>
    <col min="11" max="11" width="18.28515625" style="52" customWidth="1"/>
    <col min="12" max="12" width="18.28515625" style="52" bestFit="1" customWidth="1"/>
    <col min="13" max="13" width="20.5703125" style="52" bestFit="1" customWidth="1"/>
    <col min="14" max="14" width="13.85546875" style="52" bestFit="1" customWidth="1"/>
    <col min="15" max="15" width="18.28515625" style="52" bestFit="1" customWidth="1"/>
    <col min="16" max="16384" width="9.140625" style="52"/>
  </cols>
  <sheetData>
    <row r="1" spans="1:16" ht="15" customHeight="1">
      <c r="A1" s="823"/>
      <c r="B1" s="824"/>
      <c r="C1" s="824"/>
      <c r="D1" s="824"/>
      <c r="E1" s="824"/>
      <c r="F1" s="824"/>
      <c r="G1" s="824"/>
      <c r="H1" s="80"/>
      <c r="I1" s="825"/>
      <c r="J1" s="826"/>
      <c r="K1" s="826"/>
      <c r="L1" s="826"/>
      <c r="M1" s="826"/>
      <c r="N1" s="826"/>
      <c r="O1" s="826"/>
    </row>
    <row r="2" spans="1:16">
      <c r="A2" s="81"/>
      <c r="I2" s="81"/>
    </row>
    <row r="3" spans="1:16" ht="15" customHeight="1">
      <c r="A3" s="828" t="s">
        <v>137</v>
      </c>
      <c r="B3" s="828" t="s">
        <v>267</v>
      </c>
      <c r="C3" s="828" t="s">
        <v>139</v>
      </c>
      <c r="D3" s="828" t="s">
        <v>268</v>
      </c>
      <c r="E3" s="828" t="s">
        <v>267</v>
      </c>
      <c r="F3" s="828" t="s">
        <v>139</v>
      </c>
      <c r="G3" s="827"/>
      <c r="I3" s="82"/>
      <c r="J3" s="82"/>
      <c r="K3" s="82"/>
      <c r="L3" s="82"/>
      <c r="M3" s="82"/>
      <c r="N3" s="82"/>
      <c r="O3" s="82"/>
      <c r="P3" s="821"/>
    </row>
    <row r="4" spans="1:16" ht="15" customHeight="1">
      <c r="A4" s="829"/>
      <c r="B4" s="829"/>
      <c r="C4" s="829"/>
      <c r="D4" s="829"/>
      <c r="E4" s="829"/>
      <c r="F4" s="829"/>
      <c r="G4" s="799"/>
      <c r="I4" s="74"/>
      <c r="J4" s="74"/>
      <c r="K4" s="74"/>
      <c r="L4" s="74"/>
      <c r="M4" s="74"/>
      <c r="N4" s="74"/>
      <c r="O4" s="74"/>
      <c r="P4" s="822"/>
    </row>
    <row r="5" spans="1:16" ht="15">
      <c r="A5" s="127" t="s">
        <v>196</v>
      </c>
      <c r="B5" s="128" t="s">
        <v>196</v>
      </c>
      <c r="C5" s="88" t="b">
        <f>(A5=B5)</f>
        <v>1</v>
      </c>
      <c r="D5" s="136"/>
      <c r="E5" s="55"/>
      <c r="F5" s="76"/>
      <c r="G5" s="55"/>
      <c r="I5" s="63"/>
      <c r="J5" s="63"/>
      <c r="K5" s="75"/>
      <c r="L5" s="63"/>
      <c r="M5" s="63"/>
      <c r="N5" s="75"/>
      <c r="O5" s="63"/>
      <c r="P5" s="55"/>
    </row>
    <row r="6" spans="1:16" ht="15">
      <c r="A6" s="127" t="s">
        <v>197</v>
      </c>
      <c r="B6" s="128" t="s">
        <v>197</v>
      </c>
      <c r="C6" s="88" t="b">
        <f t="shared" ref="C6:C59" si="0">(A6=B6)</f>
        <v>1</v>
      </c>
      <c r="D6" s="136"/>
      <c r="E6" s="55"/>
      <c r="F6" s="76"/>
      <c r="G6" s="55"/>
      <c r="I6" s="63"/>
      <c r="J6" s="63"/>
      <c r="K6" s="75"/>
      <c r="L6" s="63"/>
      <c r="M6" s="63"/>
      <c r="N6" s="75"/>
      <c r="O6" s="63"/>
      <c r="P6" s="55"/>
    </row>
    <row r="7" spans="1:16" ht="15">
      <c r="A7" s="127" t="s">
        <v>198</v>
      </c>
      <c r="B7" s="128" t="s">
        <v>198</v>
      </c>
      <c r="C7" s="88" t="b">
        <f t="shared" si="0"/>
        <v>1</v>
      </c>
      <c r="D7" s="136"/>
      <c r="E7" s="55"/>
      <c r="F7" s="76"/>
      <c r="G7" s="55"/>
      <c r="I7" s="63"/>
      <c r="J7" s="63"/>
      <c r="K7" s="75"/>
      <c r="L7" s="63"/>
      <c r="M7" s="63"/>
      <c r="N7" s="75"/>
      <c r="O7" s="63"/>
      <c r="P7" s="55"/>
    </row>
    <row r="8" spans="1:16" ht="15">
      <c r="A8" s="127" t="s">
        <v>199</v>
      </c>
      <c r="B8" s="128" t="s">
        <v>199</v>
      </c>
      <c r="C8" s="88" t="b">
        <f t="shared" si="0"/>
        <v>1</v>
      </c>
      <c r="D8" s="136"/>
      <c r="E8" s="55"/>
      <c r="F8" s="76"/>
      <c r="G8" s="55"/>
      <c r="I8" s="63"/>
      <c r="J8" s="63"/>
      <c r="K8" s="75"/>
      <c r="L8" s="63"/>
      <c r="M8" s="63"/>
      <c r="N8" s="75"/>
      <c r="O8" s="63"/>
      <c r="P8" s="55"/>
    </row>
    <row r="9" spans="1:16" ht="15">
      <c r="A9" s="129" t="s">
        <v>200</v>
      </c>
      <c r="B9" s="128" t="s">
        <v>201</v>
      </c>
      <c r="C9" s="88" t="b">
        <f t="shared" si="0"/>
        <v>0</v>
      </c>
      <c r="D9" s="136"/>
      <c r="E9" s="55"/>
      <c r="F9" s="76"/>
      <c r="G9" s="55"/>
      <c r="I9" s="63"/>
      <c r="J9" s="63"/>
      <c r="K9" s="75"/>
      <c r="L9" s="63"/>
      <c r="M9" s="63"/>
      <c r="N9" s="75"/>
      <c r="O9" s="63"/>
      <c r="P9" s="55"/>
    </row>
    <row r="10" spans="1:16" ht="15">
      <c r="A10" s="127" t="s">
        <v>201</v>
      </c>
      <c r="B10" s="128" t="s">
        <v>202</v>
      </c>
      <c r="C10" s="88" t="b">
        <f t="shared" si="0"/>
        <v>0</v>
      </c>
      <c r="D10" s="136"/>
      <c r="E10" s="55"/>
      <c r="F10" s="76"/>
      <c r="G10" s="55"/>
      <c r="I10" s="63"/>
      <c r="J10" s="63"/>
      <c r="K10" s="75"/>
      <c r="L10" s="63"/>
      <c r="M10" s="63"/>
      <c r="N10" s="75"/>
      <c r="O10" s="63"/>
      <c r="P10" s="55"/>
    </row>
    <row r="11" spans="1:16" ht="15">
      <c r="A11" s="127" t="s">
        <v>202</v>
      </c>
      <c r="B11" s="128" t="s">
        <v>203</v>
      </c>
      <c r="C11" s="88" t="b">
        <f t="shared" si="0"/>
        <v>0</v>
      </c>
      <c r="D11" s="136"/>
      <c r="E11" s="55"/>
      <c r="F11" s="76"/>
      <c r="G11" s="55"/>
      <c r="I11" s="63"/>
      <c r="J11" s="63"/>
      <c r="K11" s="75"/>
      <c r="L11" s="63"/>
      <c r="M11" s="63"/>
      <c r="N11" s="75"/>
      <c r="O11" s="63"/>
      <c r="P11" s="55"/>
    </row>
    <row r="12" spans="1:16" ht="15">
      <c r="A12" s="127" t="s">
        <v>204</v>
      </c>
      <c r="B12" s="128" t="s">
        <v>204</v>
      </c>
      <c r="C12" s="88" t="b">
        <f t="shared" si="0"/>
        <v>1</v>
      </c>
      <c r="D12" s="136"/>
      <c r="E12" s="55"/>
      <c r="F12" s="76"/>
      <c r="G12" s="55"/>
      <c r="I12" s="63"/>
      <c r="J12" s="63"/>
      <c r="K12" s="75"/>
      <c r="L12" s="63"/>
      <c r="M12" s="63"/>
      <c r="N12" s="75"/>
      <c r="O12" s="63"/>
      <c r="P12" s="55"/>
    </row>
    <row r="13" spans="1:16" ht="15">
      <c r="A13" s="127" t="s">
        <v>205</v>
      </c>
      <c r="B13" s="130" t="s">
        <v>206</v>
      </c>
      <c r="C13" s="88" t="b">
        <f t="shared" si="0"/>
        <v>0</v>
      </c>
      <c r="D13" s="136"/>
      <c r="E13" s="55"/>
      <c r="F13" s="76"/>
      <c r="G13" s="55"/>
      <c r="I13" s="63"/>
      <c r="J13" s="63"/>
      <c r="K13" s="75"/>
      <c r="L13" s="63"/>
      <c r="M13" s="63"/>
      <c r="N13" s="75"/>
      <c r="O13" s="63"/>
      <c r="P13" s="55"/>
    </row>
    <row r="14" spans="1:16" ht="15">
      <c r="A14" s="129" t="s">
        <v>207</v>
      </c>
      <c r="B14" s="128" t="s">
        <v>205</v>
      </c>
      <c r="C14" s="88" t="b">
        <f t="shared" si="0"/>
        <v>0</v>
      </c>
      <c r="D14" s="136"/>
      <c r="E14" s="55"/>
      <c r="F14" s="76"/>
      <c r="G14" s="55"/>
      <c r="I14" s="63"/>
      <c r="J14" s="63"/>
      <c r="K14" s="75"/>
      <c r="L14" s="63"/>
      <c r="M14" s="63"/>
      <c r="N14" s="75"/>
      <c r="O14" s="63"/>
      <c r="P14" s="55"/>
    </row>
    <row r="15" spans="1:16" ht="15">
      <c r="A15" s="129" t="s">
        <v>208</v>
      </c>
      <c r="B15" s="128" t="s">
        <v>209</v>
      </c>
      <c r="C15" s="88" t="b">
        <f t="shared" si="0"/>
        <v>0</v>
      </c>
      <c r="D15" s="136"/>
      <c r="E15" s="55"/>
      <c r="F15" s="76"/>
      <c r="G15" s="55"/>
      <c r="I15" s="63"/>
      <c r="J15" s="63"/>
      <c r="K15" s="75"/>
      <c r="L15" s="63"/>
      <c r="M15" s="63"/>
      <c r="N15" s="75"/>
      <c r="O15" s="63"/>
      <c r="P15" s="55"/>
    </row>
    <row r="16" spans="1:16" ht="15">
      <c r="A16" s="127" t="s">
        <v>209</v>
      </c>
      <c r="B16" s="128" t="s">
        <v>210</v>
      </c>
      <c r="C16" s="88" t="b">
        <f t="shared" si="0"/>
        <v>0</v>
      </c>
      <c r="D16" s="136"/>
      <c r="E16" s="55"/>
      <c r="F16" s="76"/>
      <c r="G16" s="55"/>
      <c r="I16" s="63"/>
      <c r="J16" s="63"/>
      <c r="K16" s="75"/>
      <c r="L16" s="63"/>
      <c r="M16" s="63"/>
      <c r="N16" s="75"/>
      <c r="O16" s="63"/>
      <c r="P16" s="55"/>
    </row>
    <row r="17" spans="1:16" ht="15">
      <c r="A17" s="127" t="s">
        <v>210</v>
      </c>
      <c r="B17" s="131" t="s">
        <v>211</v>
      </c>
      <c r="C17" s="88" t="b">
        <f t="shared" si="0"/>
        <v>0</v>
      </c>
      <c r="D17" s="136"/>
      <c r="E17" s="55"/>
      <c r="F17" s="76"/>
      <c r="G17" s="55"/>
      <c r="I17" s="63"/>
      <c r="J17" s="63"/>
      <c r="K17" s="75"/>
      <c r="L17" s="63"/>
      <c r="M17" s="63"/>
      <c r="N17" s="75"/>
      <c r="O17" s="63"/>
      <c r="P17" s="55"/>
    </row>
    <row r="18" spans="1:16" ht="15">
      <c r="A18" s="127" t="s">
        <v>212</v>
      </c>
      <c r="B18" s="128" t="s">
        <v>212</v>
      </c>
      <c r="C18" s="88" t="b">
        <f t="shared" si="0"/>
        <v>1</v>
      </c>
      <c r="D18" s="136"/>
      <c r="E18" s="55"/>
      <c r="F18" s="76"/>
      <c r="G18" s="55"/>
      <c r="I18" s="63"/>
      <c r="J18" s="63"/>
      <c r="K18" s="75"/>
      <c r="L18" s="63"/>
      <c r="M18" s="63"/>
      <c r="N18" s="75"/>
      <c r="O18" s="63"/>
      <c r="P18" s="55"/>
    </row>
    <row r="19" spans="1:16" ht="15">
      <c r="A19" s="127" t="s">
        <v>213</v>
      </c>
      <c r="B19" s="128" t="s">
        <v>213</v>
      </c>
      <c r="C19" s="88" t="b">
        <f t="shared" si="0"/>
        <v>1</v>
      </c>
      <c r="D19" s="136"/>
      <c r="E19" s="55"/>
      <c r="F19" s="76"/>
      <c r="G19" s="55"/>
      <c r="I19" s="63"/>
      <c r="J19" s="63"/>
      <c r="K19" s="75"/>
      <c r="L19" s="63"/>
      <c r="M19" s="63"/>
      <c r="N19" s="75"/>
      <c r="O19" s="63"/>
      <c r="P19" s="55"/>
    </row>
    <row r="20" spans="1:16" ht="15">
      <c r="A20" s="127" t="s">
        <v>214</v>
      </c>
      <c r="B20" s="128" t="s">
        <v>214</v>
      </c>
      <c r="C20" s="88" t="b">
        <f t="shared" si="0"/>
        <v>1</v>
      </c>
      <c r="D20" s="136"/>
      <c r="E20" s="55"/>
      <c r="F20" s="76"/>
      <c r="G20" s="55"/>
      <c r="I20" s="63"/>
      <c r="J20" s="63"/>
      <c r="K20" s="75"/>
      <c r="L20" s="63"/>
      <c r="M20" s="63"/>
      <c r="N20" s="75"/>
      <c r="O20" s="63"/>
      <c r="P20" s="55"/>
    </row>
    <row r="21" spans="1:16" ht="15">
      <c r="A21" s="129" t="s">
        <v>215</v>
      </c>
      <c r="B21" s="128" t="s">
        <v>216</v>
      </c>
      <c r="C21" s="88" t="b">
        <f t="shared" si="0"/>
        <v>0</v>
      </c>
      <c r="D21" s="136"/>
      <c r="E21" s="55"/>
      <c r="F21" s="76"/>
      <c r="G21" s="55"/>
      <c r="I21" s="63"/>
      <c r="J21" s="63"/>
      <c r="K21" s="75"/>
      <c r="L21" s="63"/>
      <c r="M21" s="63"/>
      <c r="N21" s="75"/>
      <c r="O21" s="63"/>
      <c r="P21" s="55"/>
    </row>
    <row r="22" spans="1:16" ht="15">
      <c r="A22" s="127" t="s">
        <v>216</v>
      </c>
      <c r="B22" s="128" t="s">
        <v>217</v>
      </c>
      <c r="C22" s="88" t="b">
        <f t="shared" si="0"/>
        <v>0</v>
      </c>
      <c r="D22" s="136"/>
      <c r="E22" s="55"/>
      <c r="F22" s="76"/>
      <c r="G22" s="55"/>
      <c r="I22" s="63"/>
      <c r="J22" s="63"/>
      <c r="K22" s="75"/>
      <c r="L22" s="63"/>
      <c r="M22" s="63"/>
      <c r="N22" s="75"/>
      <c r="O22" s="63"/>
      <c r="P22" s="55"/>
    </row>
    <row r="23" spans="1:16" ht="15">
      <c r="A23" s="127" t="s">
        <v>217</v>
      </c>
      <c r="B23" s="131" t="s">
        <v>218</v>
      </c>
      <c r="C23" s="88" t="b">
        <f t="shared" si="0"/>
        <v>0</v>
      </c>
      <c r="D23" s="136"/>
      <c r="E23" s="55"/>
      <c r="F23" s="76"/>
      <c r="G23" s="55"/>
      <c r="I23" s="63"/>
      <c r="J23" s="63"/>
      <c r="K23" s="75"/>
      <c r="L23" s="63"/>
      <c r="M23" s="63"/>
      <c r="N23" s="75"/>
      <c r="O23" s="63"/>
      <c r="P23" s="55"/>
    </row>
    <row r="24" spans="1:16" ht="15">
      <c r="A24" s="129" t="s">
        <v>219</v>
      </c>
      <c r="B24" s="131" t="s">
        <v>220</v>
      </c>
      <c r="C24" s="88" t="b">
        <f t="shared" si="0"/>
        <v>0</v>
      </c>
      <c r="D24" s="136"/>
      <c r="E24" s="55"/>
      <c r="F24" s="76"/>
      <c r="G24" s="55"/>
      <c r="I24" s="63"/>
      <c r="J24" s="63"/>
      <c r="K24" s="75"/>
      <c r="L24" s="63"/>
      <c r="M24" s="63"/>
      <c r="N24" s="75"/>
      <c r="O24" s="63"/>
      <c r="P24" s="55"/>
    </row>
    <row r="25" spans="1:16" ht="15">
      <c r="A25" s="127" t="s">
        <v>221</v>
      </c>
      <c r="B25" s="128" t="s">
        <v>221</v>
      </c>
      <c r="C25" s="88" t="b">
        <f t="shared" si="0"/>
        <v>1</v>
      </c>
      <c r="D25" s="136"/>
      <c r="E25" s="55"/>
      <c r="F25" s="76"/>
      <c r="G25" s="55"/>
      <c r="I25" s="63"/>
      <c r="J25" s="63"/>
      <c r="K25" s="75"/>
      <c r="L25" s="63"/>
      <c r="M25" s="63"/>
      <c r="N25" s="75"/>
      <c r="O25" s="63"/>
      <c r="P25" s="55"/>
    </row>
    <row r="26" spans="1:16" ht="15">
      <c r="A26" s="127" t="s">
        <v>222</v>
      </c>
      <c r="B26" s="131" t="s">
        <v>223</v>
      </c>
      <c r="C26" s="88" t="b">
        <f t="shared" si="0"/>
        <v>0</v>
      </c>
      <c r="D26" s="136"/>
      <c r="E26" s="55"/>
      <c r="F26" s="76"/>
      <c r="G26" s="55"/>
      <c r="I26" s="63"/>
      <c r="J26" s="63"/>
      <c r="K26" s="75"/>
      <c r="L26" s="63"/>
      <c r="M26" s="63"/>
      <c r="N26" s="75"/>
      <c r="O26" s="63"/>
      <c r="P26" s="55"/>
    </row>
    <row r="27" spans="1:16" ht="15">
      <c r="A27" s="132" t="s">
        <v>224</v>
      </c>
      <c r="B27" s="128" t="s">
        <v>222</v>
      </c>
      <c r="C27" s="88" t="b">
        <f t="shared" si="0"/>
        <v>0</v>
      </c>
      <c r="D27" s="136"/>
      <c r="E27" s="55"/>
      <c r="F27" s="76"/>
      <c r="G27" s="55"/>
      <c r="I27" s="63"/>
      <c r="J27" s="63"/>
      <c r="K27" s="75"/>
      <c r="L27" s="63"/>
      <c r="M27" s="63"/>
      <c r="N27" s="75"/>
      <c r="O27" s="63"/>
      <c r="P27" s="55"/>
    </row>
    <row r="28" spans="1:16" ht="15">
      <c r="A28" s="127" t="s">
        <v>225</v>
      </c>
      <c r="B28" s="131" t="s">
        <v>226</v>
      </c>
      <c r="C28" s="88" t="b">
        <f t="shared" si="0"/>
        <v>0</v>
      </c>
      <c r="D28" s="136"/>
      <c r="E28" s="55"/>
      <c r="F28" s="76"/>
      <c r="G28" s="55"/>
      <c r="I28" s="63"/>
      <c r="J28" s="63"/>
      <c r="K28" s="75"/>
      <c r="L28" s="63"/>
      <c r="M28" s="63"/>
      <c r="N28" s="75"/>
      <c r="O28" s="63"/>
      <c r="P28" s="55"/>
    </row>
    <row r="29" spans="1:16" ht="15">
      <c r="A29" s="127" t="s">
        <v>227</v>
      </c>
      <c r="B29" s="131" t="s">
        <v>228</v>
      </c>
      <c r="C29" s="88" t="b">
        <f t="shared" si="0"/>
        <v>0</v>
      </c>
    </row>
    <row r="30" spans="1:16" ht="15">
      <c r="A30" s="127" t="s">
        <v>229</v>
      </c>
      <c r="B30" s="128" t="s">
        <v>227</v>
      </c>
      <c r="C30" s="88" t="b">
        <f t="shared" si="0"/>
        <v>0</v>
      </c>
      <c r="I30" s="81"/>
    </row>
    <row r="31" spans="1:16" ht="15">
      <c r="A31" s="133" t="s">
        <v>230</v>
      </c>
      <c r="B31" s="128" t="s">
        <v>229</v>
      </c>
      <c r="C31" s="88" t="b">
        <f t="shared" si="0"/>
        <v>0</v>
      </c>
      <c r="D31" s="83"/>
      <c r="E31" s="83"/>
      <c r="F31" s="83"/>
      <c r="I31" s="83"/>
      <c r="J31" s="83"/>
      <c r="K31" s="83"/>
      <c r="L31" s="83"/>
      <c r="M31" s="83"/>
      <c r="N31" s="83"/>
      <c r="O31" s="821"/>
    </row>
    <row r="32" spans="1:16" ht="15">
      <c r="A32" s="127" t="s">
        <v>231</v>
      </c>
      <c r="B32" s="128" t="s">
        <v>230</v>
      </c>
      <c r="C32" s="88" t="b">
        <f t="shared" si="0"/>
        <v>0</v>
      </c>
      <c r="D32" s="83"/>
      <c r="E32" s="83"/>
      <c r="F32" s="83"/>
      <c r="I32" s="83"/>
      <c r="J32" s="83"/>
      <c r="K32" s="83"/>
      <c r="L32" s="83"/>
      <c r="M32" s="83"/>
      <c r="N32" s="83"/>
      <c r="O32" s="822"/>
    </row>
    <row r="33" spans="1:15" ht="15">
      <c r="A33" s="127" t="s">
        <v>232</v>
      </c>
      <c r="B33" s="128" t="s">
        <v>231</v>
      </c>
      <c r="C33" s="88" t="b">
        <f t="shared" si="0"/>
        <v>0</v>
      </c>
      <c r="D33" s="137"/>
      <c r="E33" s="76"/>
      <c r="F33" s="78"/>
      <c r="I33" s="63"/>
      <c r="J33" s="63"/>
      <c r="K33" s="63"/>
      <c r="L33" s="63"/>
      <c r="M33" s="75"/>
      <c r="N33" s="79"/>
      <c r="O33" s="55"/>
    </row>
    <row r="34" spans="1:15" ht="15">
      <c r="A34" s="127" t="s">
        <v>233</v>
      </c>
      <c r="B34" s="128" t="s">
        <v>232</v>
      </c>
      <c r="C34" s="88" t="b">
        <f t="shared" si="0"/>
        <v>0</v>
      </c>
      <c r="D34" s="137"/>
      <c r="E34" s="76"/>
      <c r="F34" s="78"/>
      <c r="I34" s="63"/>
      <c r="J34" s="63"/>
      <c r="K34" s="63"/>
      <c r="L34" s="63"/>
      <c r="M34" s="75"/>
      <c r="N34" s="79"/>
      <c r="O34" s="55"/>
    </row>
    <row r="35" spans="1:15" ht="15">
      <c r="A35" s="127" t="s">
        <v>234</v>
      </c>
      <c r="B35" s="128" t="s">
        <v>233</v>
      </c>
      <c r="C35" s="88" t="b">
        <f t="shared" si="0"/>
        <v>0</v>
      </c>
      <c r="D35" s="137"/>
      <c r="E35" s="76"/>
      <c r="F35" s="78"/>
      <c r="I35" s="63"/>
      <c r="J35" s="63"/>
      <c r="K35" s="63"/>
      <c r="L35" s="63"/>
      <c r="M35" s="75"/>
      <c r="N35" s="79"/>
      <c r="O35" s="55"/>
    </row>
    <row r="36" spans="1:15" ht="15">
      <c r="A36" s="127" t="s">
        <v>235</v>
      </c>
      <c r="B36" s="128" t="s">
        <v>234</v>
      </c>
      <c r="C36" s="88" t="b">
        <f t="shared" si="0"/>
        <v>0</v>
      </c>
      <c r="D36" s="137"/>
      <c r="E36" s="76"/>
      <c r="F36" s="78"/>
      <c r="I36" s="63"/>
      <c r="J36" s="63"/>
      <c r="K36" s="63"/>
      <c r="L36" s="63"/>
      <c r="M36" s="75"/>
      <c r="N36" s="79"/>
      <c r="O36" s="55"/>
    </row>
    <row r="37" spans="1:15" ht="15">
      <c r="A37" s="127" t="s">
        <v>236</v>
      </c>
      <c r="B37" s="128" t="s">
        <v>235</v>
      </c>
      <c r="C37" s="88" t="b">
        <f t="shared" si="0"/>
        <v>0</v>
      </c>
      <c r="D37" s="137"/>
      <c r="E37" s="76"/>
      <c r="F37" s="78"/>
      <c r="I37" s="63"/>
      <c r="J37" s="63"/>
      <c r="K37" s="63"/>
      <c r="L37" s="63"/>
      <c r="M37" s="75"/>
      <c r="N37" s="79"/>
      <c r="O37" s="55"/>
    </row>
    <row r="38" spans="1:15" ht="15">
      <c r="A38" s="129" t="s">
        <v>237</v>
      </c>
      <c r="B38" s="128" t="s">
        <v>236</v>
      </c>
      <c r="C38" s="88" t="b">
        <f t="shared" si="0"/>
        <v>0</v>
      </c>
      <c r="D38" s="137"/>
      <c r="E38" s="76"/>
      <c r="F38" s="78"/>
      <c r="I38" s="63"/>
      <c r="J38" s="63"/>
      <c r="K38" s="63"/>
      <c r="L38" s="63"/>
      <c r="M38" s="75"/>
      <c r="N38" s="79"/>
      <c r="O38" s="55"/>
    </row>
    <row r="39" spans="1:15" ht="15">
      <c r="A39" s="127" t="s">
        <v>238</v>
      </c>
      <c r="B39" s="134" t="s">
        <v>238</v>
      </c>
      <c r="C39" s="88" t="b">
        <f t="shared" si="0"/>
        <v>1</v>
      </c>
      <c r="D39" s="137"/>
      <c r="E39" s="76"/>
      <c r="F39" s="78"/>
      <c r="I39" s="63"/>
      <c r="J39" s="63"/>
      <c r="K39" s="63"/>
      <c r="L39" s="63"/>
      <c r="M39" s="75"/>
      <c r="N39" s="79"/>
      <c r="O39" s="55"/>
    </row>
    <row r="40" spans="1:15" ht="15">
      <c r="A40" s="129" t="s">
        <v>239</v>
      </c>
      <c r="B40" s="134" t="s">
        <v>240</v>
      </c>
      <c r="C40" s="88" t="b">
        <f t="shared" si="0"/>
        <v>0</v>
      </c>
      <c r="D40" s="137"/>
      <c r="E40" s="76"/>
      <c r="F40" s="78"/>
      <c r="I40" s="63"/>
      <c r="J40" s="63"/>
      <c r="K40" s="63"/>
      <c r="L40" s="63"/>
      <c r="M40" s="75"/>
      <c r="N40" s="79"/>
      <c r="O40" s="55"/>
    </row>
    <row r="41" spans="1:15" ht="15">
      <c r="A41" s="135" t="s">
        <v>241</v>
      </c>
      <c r="B41" s="128" t="s">
        <v>242</v>
      </c>
      <c r="C41" s="88" t="b">
        <f t="shared" si="0"/>
        <v>0</v>
      </c>
      <c r="D41" s="137"/>
      <c r="E41" s="76"/>
      <c r="F41" s="78"/>
      <c r="I41" s="63"/>
      <c r="J41" s="63"/>
      <c r="K41" s="63"/>
      <c r="L41" s="63"/>
      <c r="M41" s="75"/>
      <c r="N41" s="79"/>
      <c r="O41" s="55"/>
    </row>
    <row r="42" spans="1:15" ht="15">
      <c r="A42" s="127" t="s">
        <v>240</v>
      </c>
      <c r="B42" s="131" t="s">
        <v>243</v>
      </c>
      <c r="C42" s="88" t="b">
        <f t="shared" si="0"/>
        <v>0</v>
      </c>
      <c r="D42" s="137"/>
      <c r="E42" s="76"/>
      <c r="F42" s="78"/>
      <c r="I42" s="63"/>
      <c r="J42" s="63"/>
      <c r="K42" s="63"/>
      <c r="L42" s="63"/>
      <c r="M42" s="75"/>
      <c r="N42" s="79"/>
      <c r="O42" s="55"/>
    </row>
    <row r="43" spans="1:15" ht="15">
      <c r="A43" s="132" t="s">
        <v>244</v>
      </c>
      <c r="B43" s="128" t="s">
        <v>245</v>
      </c>
      <c r="C43" s="88" t="b">
        <f t="shared" si="0"/>
        <v>0</v>
      </c>
      <c r="D43" s="137"/>
      <c r="E43" s="76"/>
      <c r="F43" s="78"/>
      <c r="I43" s="63"/>
      <c r="J43" s="63"/>
      <c r="K43" s="63"/>
      <c r="L43" s="63"/>
      <c r="M43" s="75"/>
      <c r="N43" s="79"/>
      <c r="O43" s="55"/>
    </row>
    <row r="44" spans="1:15" ht="15">
      <c r="A44" s="127" t="s">
        <v>242</v>
      </c>
      <c r="B44" s="128" t="s">
        <v>246</v>
      </c>
      <c r="C44" s="88" t="b">
        <f t="shared" si="0"/>
        <v>0</v>
      </c>
      <c r="D44" s="137"/>
      <c r="E44" s="76"/>
      <c r="F44" s="78"/>
      <c r="I44" s="63"/>
      <c r="J44" s="63"/>
      <c r="K44" s="63"/>
      <c r="L44" s="63"/>
      <c r="M44" s="75"/>
      <c r="N44" s="79"/>
      <c r="O44" s="55"/>
    </row>
    <row r="45" spans="1:15" ht="15">
      <c r="A45" s="127" t="s">
        <v>245</v>
      </c>
      <c r="B45" s="128" t="s">
        <v>247</v>
      </c>
      <c r="C45" s="88" t="b">
        <f t="shared" si="0"/>
        <v>0</v>
      </c>
      <c r="D45" s="137"/>
      <c r="E45" s="76"/>
      <c r="F45" s="78"/>
      <c r="I45" s="63"/>
      <c r="J45" s="63"/>
      <c r="K45" s="63"/>
      <c r="L45" s="63"/>
      <c r="M45" s="75"/>
      <c r="N45" s="79"/>
      <c r="O45" s="55"/>
    </row>
    <row r="46" spans="1:15" ht="15">
      <c r="A46" s="127" t="s">
        <v>246</v>
      </c>
      <c r="B46" s="131" t="s">
        <v>248</v>
      </c>
      <c r="C46" s="88" t="b">
        <f t="shared" si="0"/>
        <v>0</v>
      </c>
      <c r="D46" s="137"/>
      <c r="E46" s="76"/>
      <c r="F46" s="78"/>
      <c r="I46" s="63"/>
      <c r="J46" s="63"/>
      <c r="K46" s="63"/>
      <c r="L46" s="63"/>
      <c r="M46" s="75"/>
      <c r="N46" s="79"/>
      <c r="O46" s="55"/>
    </row>
    <row r="47" spans="1:15" ht="15">
      <c r="A47" s="129" t="s">
        <v>249</v>
      </c>
      <c r="B47" s="128" t="s">
        <v>250</v>
      </c>
      <c r="C47" s="88" t="b">
        <f t="shared" si="0"/>
        <v>0</v>
      </c>
      <c r="D47" s="137"/>
      <c r="E47" s="76"/>
      <c r="F47" s="78"/>
      <c r="I47" s="63"/>
      <c r="J47" s="63"/>
      <c r="K47" s="63"/>
      <c r="L47" s="63"/>
      <c r="M47" s="75"/>
      <c r="N47" s="79"/>
      <c r="O47" s="55"/>
    </row>
    <row r="48" spans="1:15" ht="15">
      <c r="A48" s="127" t="s">
        <v>247</v>
      </c>
      <c r="B48" s="128" t="s">
        <v>251</v>
      </c>
      <c r="C48" s="88" t="b">
        <f t="shared" si="0"/>
        <v>0</v>
      </c>
      <c r="D48" s="137"/>
      <c r="E48" s="76"/>
      <c r="F48" s="78"/>
      <c r="I48" s="63"/>
      <c r="J48" s="63"/>
      <c r="K48" s="63"/>
      <c r="L48" s="63"/>
      <c r="M48" s="75"/>
      <c r="N48" s="79"/>
      <c r="O48" s="55"/>
    </row>
    <row r="49" spans="1:15" ht="15">
      <c r="A49" s="127" t="s">
        <v>250</v>
      </c>
      <c r="B49" s="131" t="s">
        <v>252</v>
      </c>
      <c r="C49" s="88" t="b">
        <f t="shared" si="0"/>
        <v>0</v>
      </c>
      <c r="D49" s="137"/>
      <c r="E49" s="76"/>
      <c r="F49" s="78"/>
      <c r="I49" s="63"/>
      <c r="J49" s="63"/>
      <c r="K49" s="63"/>
      <c r="L49" s="63"/>
      <c r="M49" s="75"/>
      <c r="N49" s="79"/>
      <c r="O49" s="55"/>
    </row>
    <row r="50" spans="1:15" ht="15">
      <c r="A50" s="127" t="s">
        <v>251</v>
      </c>
      <c r="B50" s="128" t="s">
        <v>253</v>
      </c>
      <c r="C50" s="88" t="b">
        <f t="shared" si="0"/>
        <v>0</v>
      </c>
      <c r="D50" s="137"/>
      <c r="E50" s="76"/>
      <c r="F50" s="78"/>
      <c r="I50" s="63"/>
      <c r="J50" s="63"/>
      <c r="K50" s="63"/>
      <c r="L50" s="63"/>
      <c r="M50" s="75"/>
      <c r="N50" s="79"/>
      <c r="O50" s="55"/>
    </row>
    <row r="51" spans="1:15" ht="15">
      <c r="A51" s="127" t="s">
        <v>253</v>
      </c>
      <c r="B51" s="128" t="s">
        <v>254</v>
      </c>
      <c r="C51" s="88" t="b">
        <f t="shared" si="0"/>
        <v>0</v>
      </c>
      <c r="D51" s="137"/>
      <c r="E51" s="76"/>
      <c r="F51" s="78"/>
      <c r="I51" s="63"/>
      <c r="J51" s="63"/>
      <c r="K51" s="63"/>
      <c r="L51" s="63"/>
      <c r="M51" s="75"/>
      <c r="N51" s="79"/>
      <c r="O51" s="55"/>
    </row>
    <row r="52" spans="1:15" ht="15">
      <c r="A52" s="127" t="s">
        <v>254</v>
      </c>
      <c r="B52" s="131" t="s">
        <v>255</v>
      </c>
      <c r="C52" s="88" t="b">
        <f t="shared" si="0"/>
        <v>0</v>
      </c>
      <c r="D52" s="137"/>
      <c r="E52" s="76"/>
      <c r="F52" s="78"/>
      <c r="I52" s="63"/>
      <c r="J52" s="63"/>
      <c r="K52" s="63"/>
      <c r="L52" s="63"/>
      <c r="M52" s="75"/>
      <c r="N52" s="79"/>
      <c r="O52" s="55"/>
    </row>
    <row r="53" spans="1:15" ht="15">
      <c r="A53" s="129" t="s">
        <v>256</v>
      </c>
      <c r="B53" s="128" t="s">
        <v>257</v>
      </c>
      <c r="C53" s="88" t="b">
        <f t="shared" si="0"/>
        <v>0</v>
      </c>
      <c r="D53" s="137"/>
      <c r="E53" s="76"/>
      <c r="F53" s="78"/>
      <c r="I53" s="63"/>
      <c r="J53" s="63"/>
      <c r="K53" s="63"/>
      <c r="L53" s="63"/>
      <c r="M53" s="75"/>
      <c r="N53" s="79"/>
      <c r="O53" s="55"/>
    </row>
    <row r="54" spans="1:15" ht="15">
      <c r="A54" s="129" t="s">
        <v>258</v>
      </c>
      <c r="B54" s="128" t="s">
        <v>259</v>
      </c>
      <c r="C54" s="88" t="b">
        <f t="shared" si="0"/>
        <v>0</v>
      </c>
      <c r="D54" s="137"/>
      <c r="E54" s="76"/>
      <c r="F54" s="78"/>
      <c r="I54" s="63"/>
      <c r="J54" s="63"/>
      <c r="K54" s="63"/>
      <c r="L54" s="63"/>
      <c r="M54" s="75"/>
      <c r="N54" s="79"/>
      <c r="O54" s="55"/>
    </row>
    <row r="55" spans="1:15" ht="15">
      <c r="A55" s="127" t="s">
        <v>257</v>
      </c>
      <c r="B55" s="128" t="s">
        <v>260</v>
      </c>
      <c r="C55" s="88" t="b">
        <f t="shared" si="0"/>
        <v>0</v>
      </c>
      <c r="D55" s="137"/>
      <c r="E55" s="76"/>
      <c r="F55" s="78"/>
      <c r="I55" s="63"/>
      <c r="J55" s="63"/>
      <c r="K55" s="63"/>
      <c r="L55" s="63"/>
      <c r="M55" s="75"/>
      <c r="N55" s="79"/>
      <c r="O55" s="55"/>
    </row>
    <row r="56" spans="1:15" ht="15">
      <c r="A56" s="129" t="s">
        <v>261</v>
      </c>
      <c r="B56" s="128" t="s">
        <v>262</v>
      </c>
      <c r="C56" s="88" t="b">
        <f t="shared" si="0"/>
        <v>0</v>
      </c>
      <c r="D56" s="137"/>
      <c r="E56" s="76"/>
      <c r="F56" s="78"/>
      <c r="I56" s="63"/>
      <c r="J56" s="63"/>
      <c r="K56" s="63"/>
      <c r="L56" s="63"/>
      <c r="M56" s="75"/>
      <c r="N56" s="79"/>
      <c r="O56" s="55"/>
    </row>
    <row r="57" spans="1:15" ht="15">
      <c r="A57" s="129" t="s">
        <v>263</v>
      </c>
      <c r="B57" s="131" t="s">
        <v>264</v>
      </c>
      <c r="C57" s="88" t="b">
        <f t="shared" si="0"/>
        <v>0</v>
      </c>
      <c r="D57" s="137"/>
      <c r="E57" s="76"/>
      <c r="F57" s="78"/>
      <c r="I57" s="63"/>
      <c r="J57" s="63"/>
      <c r="K57" s="63"/>
      <c r="L57" s="63"/>
      <c r="M57" s="75"/>
      <c r="N57" s="79"/>
      <c r="O57" s="55"/>
    </row>
    <row r="58" spans="1:15" ht="15">
      <c r="A58" s="127" t="s">
        <v>260</v>
      </c>
      <c r="B58" s="131" t="s">
        <v>265</v>
      </c>
      <c r="C58" s="88" t="b">
        <f t="shared" si="0"/>
        <v>0</v>
      </c>
      <c r="D58" s="77"/>
      <c r="E58" s="84"/>
      <c r="F58" s="85"/>
      <c r="I58" s="77"/>
      <c r="J58" s="77"/>
      <c r="K58" s="77"/>
      <c r="L58" s="77"/>
      <c r="M58" s="84"/>
      <c r="N58" s="85"/>
    </row>
    <row r="59" spans="1:15" ht="15">
      <c r="A59" s="129" t="s">
        <v>262</v>
      </c>
      <c r="B59" s="128"/>
      <c r="C59" s="88" t="b">
        <f t="shared" si="0"/>
        <v>0</v>
      </c>
      <c r="D59" s="83"/>
      <c r="E59" s="83"/>
      <c r="F59" s="83"/>
      <c r="I59" s="83"/>
      <c r="J59" s="83"/>
      <c r="K59" s="83"/>
      <c r="L59" s="83"/>
      <c r="M59" s="83"/>
      <c r="N59" s="83"/>
    </row>
    <row r="60" spans="1:15">
      <c r="A60" s="83"/>
      <c r="B60" s="83"/>
      <c r="C60" s="102"/>
      <c r="D60" s="83"/>
      <c r="E60" s="83"/>
      <c r="F60" s="83"/>
      <c r="I60" s="83"/>
      <c r="J60" s="83"/>
      <c r="K60" s="83"/>
      <c r="L60" s="83"/>
      <c r="M60" s="83"/>
      <c r="N60" s="83"/>
    </row>
    <row r="61" spans="1:15">
      <c r="A61" s="55"/>
      <c r="B61" s="55"/>
      <c r="C61" s="103"/>
      <c r="D61" s="55"/>
      <c r="E61" s="76"/>
      <c r="F61" s="78"/>
      <c r="I61" s="63"/>
      <c r="J61" s="63"/>
      <c r="K61" s="63"/>
      <c r="L61" s="63"/>
      <c r="M61" s="75"/>
      <c r="N61" s="79"/>
      <c r="O61" s="55"/>
    </row>
    <row r="62" spans="1:15">
      <c r="A62" s="55"/>
      <c r="B62" s="55"/>
      <c r="C62" s="103"/>
      <c r="D62" s="55"/>
      <c r="E62" s="76"/>
      <c r="F62" s="78"/>
      <c r="I62" s="63"/>
      <c r="J62" s="63"/>
      <c r="K62" s="63"/>
      <c r="L62" s="63"/>
      <c r="M62" s="75"/>
      <c r="N62" s="79"/>
      <c r="O62" s="55"/>
    </row>
    <row r="63" spans="1:15">
      <c r="A63" s="55"/>
      <c r="B63" s="55"/>
      <c r="C63" s="103"/>
      <c r="D63" s="55"/>
      <c r="E63" s="76"/>
      <c r="F63" s="78"/>
      <c r="I63" s="63"/>
      <c r="J63" s="63"/>
      <c r="K63" s="63"/>
      <c r="L63" s="63"/>
      <c r="M63" s="75"/>
      <c r="N63" s="79"/>
      <c r="O63" s="55"/>
    </row>
    <row r="64" spans="1:15">
      <c r="A64" s="55"/>
      <c r="B64" s="55"/>
      <c r="C64" s="103"/>
      <c r="D64" s="55"/>
      <c r="E64" s="76"/>
      <c r="F64" s="78"/>
      <c r="I64" s="63"/>
      <c r="J64" s="63"/>
      <c r="K64" s="63"/>
      <c r="L64" s="63"/>
      <c r="M64" s="75"/>
      <c r="N64" s="79"/>
      <c r="O64" s="55"/>
    </row>
    <row r="65" spans="1:15">
      <c r="A65" s="55"/>
      <c r="B65" s="55"/>
      <c r="C65" s="103"/>
      <c r="D65" s="55"/>
      <c r="E65" s="76"/>
      <c r="F65" s="78"/>
      <c r="I65" s="63"/>
      <c r="J65" s="63"/>
      <c r="K65" s="63"/>
      <c r="L65" s="63"/>
      <c r="M65" s="75"/>
      <c r="N65" s="79"/>
      <c r="O65" s="55"/>
    </row>
    <row r="66" spans="1:15">
      <c r="A66" s="55"/>
      <c r="B66" s="55"/>
      <c r="C66" s="103"/>
      <c r="D66" s="55"/>
      <c r="E66" s="76"/>
      <c r="F66" s="78"/>
      <c r="I66" s="63"/>
      <c r="J66" s="63"/>
      <c r="K66" s="63"/>
      <c r="L66" s="63"/>
      <c r="M66" s="75"/>
      <c r="N66" s="79"/>
      <c r="O66" s="55"/>
    </row>
    <row r="67" spans="1:15">
      <c r="A67" s="55"/>
      <c r="B67" s="55"/>
      <c r="C67" s="103"/>
      <c r="D67" s="55"/>
      <c r="E67" s="76"/>
      <c r="F67" s="78"/>
      <c r="I67" s="63"/>
      <c r="J67" s="63"/>
      <c r="K67" s="63"/>
      <c r="L67" s="63"/>
      <c r="M67" s="75"/>
      <c r="N67" s="79"/>
      <c r="O67" s="55"/>
    </row>
    <row r="68" spans="1:15">
      <c r="A68" s="55"/>
      <c r="B68" s="55"/>
      <c r="C68" s="103"/>
      <c r="D68" s="55"/>
      <c r="E68" s="76"/>
      <c r="F68" s="78"/>
      <c r="I68" s="63"/>
      <c r="J68" s="63"/>
      <c r="K68" s="63"/>
      <c r="L68" s="63"/>
      <c r="M68" s="75"/>
      <c r="N68" s="79"/>
      <c r="O68" s="55"/>
    </row>
    <row r="69" spans="1:15">
      <c r="A69" s="55"/>
      <c r="B69" s="55"/>
      <c r="C69" s="103"/>
      <c r="D69" s="55"/>
      <c r="E69" s="76"/>
      <c r="F69" s="78"/>
      <c r="I69" s="63"/>
      <c r="J69" s="63"/>
      <c r="K69" s="63"/>
      <c r="L69" s="63"/>
      <c r="M69" s="75"/>
      <c r="N69" s="79"/>
      <c r="O69" s="55"/>
    </row>
    <row r="70" spans="1:15">
      <c r="A70" s="55"/>
      <c r="B70" s="55"/>
      <c r="C70" s="103"/>
      <c r="D70" s="55"/>
      <c r="E70" s="76"/>
      <c r="F70" s="78"/>
      <c r="I70" s="63"/>
      <c r="J70" s="63"/>
      <c r="K70" s="63"/>
      <c r="L70" s="63"/>
      <c r="M70" s="75"/>
      <c r="N70" s="79"/>
      <c r="O70" s="55"/>
    </row>
    <row r="71" spans="1:15">
      <c r="A71" s="55"/>
      <c r="B71" s="55"/>
      <c r="C71" s="103"/>
      <c r="D71" s="55"/>
      <c r="E71" s="76"/>
      <c r="F71" s="78"/>
      <c r="I71" s="63"/>
      <c r="J71" s="63"/>
      <c r="K71" s="63"/>
      <c r="L71" s="63"/>
      <c r="M71" s="75"/>
      <c r="N71" s="79"/>
      <c r="O71" s="55"/>
    </row>
    <row r="72" spans="1:15">
      <c r="A72" s="55"/>
      <c r="B72" s="55"/>
      <c r="C72" s="103"/>
      <c r="D72" s="55"/>
      <c r="E72" s="76"/>
      <c r="F72" s="78"/>
      <c r="I72" s="63"/>
      <c r="J72" s="63"/>
      <c r="K72" s="63"/>
      <c r="L72" s="63"/>
      <c r="M72" s="75"/>
      <c r="N72" s="79"/>
      <c r="O72" s="55"/>
    </row>
    <row r="73" spans="1:15">
      <c r="A73" s="55"/>
      <c r="B73" s="55"/>
      <c r="C73" s="103"/>
      <c r="D73" s="55"/>
      <c r="E73" s="76"/>
      <c r="F73" s="78"/>
      <c r="I73" s="63"/>
      <c r="J73" s="63"/>
      <c r="K73" s="63"/>
      <c r="L73" s="63"/>
      <c r="M73" s="75"/>
      <c r="N73" s="79"/>
      <c r="O73" s="55"/>
    </row>
    <row r="74" spans="1:15">
      <c r="A74" s="55"/>
      <c r="B74" s="55"/>
      <c r="C74" s="103"/>
      <c r="D74" s="55"/>
      <c r="E74" s="76"/>
      <c r="F74" s="78"/>
      <c r="I74" s="63"/>
      <c r="J74" s="63"/>
      <c r="K74" s="63"/>
      <c r="L74" s="63"/>
      <c r="M74" s="75"/>
      <c r="N74" s="79"/>
      <c r="O74" s="55"/>
    </row>
    <row r="75" spans="1:15">
      <c r="A75" s="55"/>
      <c r="B75" s="55"/>
      <c r="C75" s="103"/>
      <c r="D75" s="55"/>
      <c r="E75" s="76"/>
      <c r="F75" s="78"/>
      <c r="I75" s="63"/>
      <c r="J75" s="63"/>
      <c r="K75" s="63"/>
      <c r="L75" s="63"/>
      <c r="M75" s="75"/>
      <c r="N75" s="79"/>
      <c r="O75" s="55"/>
    </row>
    <row r="76" spans="1:15">
      <c r="A76" s="55"/>
      <c r="B76" s="55"/>
      <c r="C76" s="103"/>
      <c r="D76" s="55"/>
      <c r="E76" s="76"/>
      <c r="F76" s="78"/>
      <c r="I76" s="63"/>
      <c r="J76" s="63"/>
      <c r="K76" s="63"/>
      <c r="L76" s="63"/>
      <c r="M76" s="75"/>
      <c r="N76" s="79"/>
      <c r="O76" s="55"/>
    </row>
    <row r="77" spans="1:15">
      <c r="A77" s="55"/>
      <c r="B77" s="55"/>
      <c r="C77" s="103"/>
      <c r="D77" s="55"/>
      <c r="E77" s="76"/>
      <c r="F77" s="78"/>
      <c r="I77" s="63"/>
      <c r="J77" s="63"/>
      <c r="K77" s="63"/>
      <c r="L77" s="63"/>
      <c r="M77" s="75"/>
      <c r="N77" s="79"/>
      <c r="O77" s="55"/>
    </row>
    <row r="78" spans="1:15">
      <c r="A78" s="55"/>
      <c r="B78" s="55"/>
      <c r="C78" s="103"/>
      <c r="D78" s="55"/>
      <c r="E78" s="76"/>
      <c r="F78" s="78"/>
      <c r="I78" s="63"/>
      <c r="J78" s="63"/>
      <c r="K78" s="63"/>
      <c r="L78" s="63"/>
      <c r="M78" s="75"/>
      <c r="N78" s="79"/>
      <c r="O78" s="55"/>
    </row>
    <row r="79" spans="1:15">
      <c r="A79" s="55"/>
      <c r="B79" s="55"/>
      <c r="C79" s="103"/>
      <c r="D79" s="55"/>
      <c r="E79" s="76"/>
      <c r="F79" s="78"/>
      <c r="I79" s="63"/>
      <c r="J79" s="63"/>
      <c r="K79" s="63"/>
      <c r="L79" s="63"/>
      <c r="M79" s="75"/>
      <c r="N79" s="79"/>
      <c r="O79" s="55"/>
    </row>
    <row r="80" spans="1:15">
      <c r="A80" s="55"/>
      <c r="B80" s="55"/>
      <c r="C80" s="103"/>
      <c r="D80" s="55"/>
      <c r="E80" s="76"/>
      <c r="F80" s="78"/>
      <c r="I80" s="63"/>
      <c r="J80" s="63"/>
      <c r="K80" s="63"/>
      <c r="L80" s="63"/>
      <c r="M80" s="75"/>
      <c r="N80" s="79"/>
      <c r="O80" s="55"/>
    </row>
    <row r="81" spans="1:15">
      <c r="A81" s="55"/>
      <c r="B81" s="55"/>
      <c r="C81" s="103"/>
      <c r="D81" s="55"/>
      <c r="E81" s="76"/>
      <c r="F81" s="78"/>
      <c r="I81" s="63"/>
      <c r="J81" s="63"/>
      <c r="K81" s="63"/>
      <c r="L81" s="63"/>
      <c r="M81" s="75"/>
      <c r="N81" s="79"/>
      <c r="O81" s="55"/>
    </row>
    <row r="82" spans="1:15">
      <c r="A82" s="55"/>
      <c r="B82" s="55"/>
      <c r="C82" s="103"/>
      <c r="D82" s="55"/>
      <c r="E82" s="76"/>
      <c r="F82" s="78"/>
      <c r="I82" s="63"/>
      <c r="J82" s="63"/>
      <c r="K82" s="63"/>
      <c r="L82" s="63"/>
      <c r="M82" s="75"/>
      <c r="N82" s="79"/>
      <c r="O82" s="55"/>
    </row>
    <row r="83" spans="1:15">
      <c r="A83" s="55"/>
      <c r="B83" s="55"/>
      <c r="C83" s="103"/>
      <c r="D83" s="55"/>
      <c r="E83" s="76"/>
      <c r="F83" s="78"/>
      <c r="I83" s="63"/>
      <c r="J83" s="63"/>
      <c r="K83" s="63"/>
      <c r="L83" s="63"/>
      <c r="M83" s="75"/>
      <c r="N83" s="79"/>
      <c r="O83" s="55"/>
    </row>
    <row r="84" spans="1:15">
      <c r="A84" s="55"/>
      <c r="B84" s="55"/>
      <c r="C84" s="103"/>
      <c r="D84" s="55"/>
      <c r="E84" s="76"/>
      <c r="F84" s="78"/>
      <c r="I84" s="63"/>
      <c r="J84" s="63"/>
      <c r="K84" s="63"/>
      <c r="L84" s="63"/>
      <c r="M84" s="75"/>
      <c r="N84" s="79"/>
      <c r="O84" s="55"/>
    </row>
    <row r="85" spans="1:15">
      <c r="A85" s="55"/>
      <c r="B85" s="55"/>
      <c r="C85" s="103"/>
      <c r="D85" s="55"/>
      <c r="E85" s="76"/>
      <c r="F85" s="78"/>
      <c r="I85" s="63"/>
      <c r="J85" s="63"/>
      <c r="K85" s="63"/>
      <c r="L85" s="63"/>
      <c r="M85" s="75"/>
      <c r="N85" s="79"/>
      <c r="O85" s="55"/>
    </row>
  </sheetData>
  <mergeCells count="11">
    <mergeCell ref="P3:P4"/>
    <mergeCell ref="O31:O32"/>
    <mergeCell ref="A1:G1"/>
    <mergeCell ref="I1:O1"/>
    <mergeCell ref="G3:G4"/>
    <mergeCell ref="A3:A4"/>
    <mergeCell ref="B3:B4"/>
    <mergeCell ref="C3:C4"/>
    <mergeCell ref="E3:E4"/>
    <mergeCell ref="D3:D4"/>
    <mergeCell ref="F3:F4"/>
  </mergeCells>
  <conditionalFormatting sqref="O33:O57 O61:O85 P5:P28">
    <cfRule type="cellIs" dxfId="29" priority="5" operator="equal">
      <formula>FALSE</formula>
    </cfRule>
    <cfRule type="cellIs" dxfId="28" priority="6" operator="equal">
      <formula>TRUE</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AI77"/>
  <sheetViews>
    <sheetView showGridLines="0" zoomScale="85" zoomScaleNormal="85" workbookViewId="0">
      <selection sqref="A1:AI1"/>
    </sheetView>
  </sheetViews>
  <sheetFormatPr defaultRowHeight="15"/>
  <cols>
    <col min="1" max="1" width="4.5703125" customWidth="1"/>
    <col min="2" max="2" width="11.28515625" hidden="1" customWidth="1"/>
    <col min="3" max="3" width="13.5703125" bestFit="1" customWidth="1"/>
    <col min="4" max="4" width="15.85546875" bestFit="1" customWidth="1"/>
    <col min="5" max="5" width="9.85546875" bestFit="1" customWidth="1"/>
    <col min="8" max="10" width="11.42578125" customWidth="1"/>
    <col min="11" max="11" width="7.85546875" customWidth="1"/>
    <col min="12" max="12" width="4.42578125" customWidth="1"/>
    <col min="13" max="13" width="18.140625" customWidth="1"/>
    <col min="14" max="14" width="13.7109375" bestFit="1" customWidth="1"/>
    <col min="16" max="16" width="9.85546875" bestFit="1" customWidth="1"/>
    <col min="19" max="19" width="10.7109375" customWidth="1"/>
    <col min="22" max="22" width="3.5703125" customWidth="1"/>
    <col min="23" max="23" width="10.7109375" customWidth="1"/>
    <col min="24" max="24" width="14.5703125" customWidth="1"/>
    <col min="26" max="26" width="10.140625" customWidth="1"/>
  </cols>
  <sheetData>
    <row r="1" spans="1:35">
      <c r="A1" s="835" t="s">
        <v>428</v>
      </c>
      <c r="B1" s="835"/>
      <c r="C1" s="835"/>
      <c r="D1" s="835"/>
      <c r="E1" s="835"/>
      <c r="F1" s="835"/>
      <c r="G1" s="835"/>
      <c r="H1" s="835"/>
      <c r="I1" s="835"/>
      <c r="J1" s="835"/>
      <c r="K1" s="835"/>
      <c r="L1" s="835"/>
      <c r="M1" s="835"/>
      <c r="N1" s="835"/>
      <c r="O1" s="835"/>
      <c r="P1" s="835"/>
      <c r="Q1" s="835"/>
      <c r="R1" s="835"/>
      <c r="S1" s="835"/>
      <c r="T1" s="835"/>
      <c r="U1" s="835"/>
      <c r="V1" s="835"/>
      <c r="W1" s="835"/>
      <c r="X1" s="835"/>
      <c r="Y1" s="835"/>
      <c r="Z1" s="835"/>
      <c r="AA1" s="835"/>
      <c r="AB1" s="835"/>
      <c r="AC1" s="835"/>
      <c r="AD1" s="835"/>
      <c r="AE1" s="835"/>
      <c r="AF1" s="835"/>
      <c r="AG1" s="835"/>
      <c r="AH1" s="835"/>
      <c r="AI1" s="835"/>
    </row>
    <row r="2" spans="1:35">
      <c r="A2" s="596"/>
      <c r="B2" s="596"/>
      <c r="C2" s="596"/>
      <c r="D2" s="596"/>
      <c r="E2" s="596"/>
      <c r="F2" s="596"/>
      <c r="G2" s="596"/>
      <c r="H2" s="596"/>
      <c r="I2" s="596"/>
      <c r="J2" s="596"/>
      <c r="K2" s="596"/>
      <c r="L2" s="596"/>
      <c r="M2" s="596"/>
      <c r="N2" s="596"/>
      <c r="O2" s="596"/>
      <c r="P2" s="596"/>
      <c r="Q2" s="596"/>
      <c r="R2" s="596"/>
      <c r="S2" s="596"/>
      <c r="T2" s="596"/>
      <c r="U2" s="596"/>
      <c r="V2" s="596"/>
      <c r="W2" s="596"/>
      <c r="X2" s="596"/>
      <c r="Y2" s="596"/>
      <c r="Z2" s="596"/>
      <c r="AA2" s="596"/>
      <c r="AB2" s="596"/>
      <c r="AC2" s="596"/>
      <c r="AD2" s="596"/>
      <c r="AE2" s="596"/>
      <c r="AF2" s="596"/>
      <c r="AG2" s="596"/>
    </row>
    <row r="3" spans="1:35">
      <c r="A3" s="830" t="s">
        <v>429</v>
      </c>
      <c r="B3" s="831"/>
      <c r="C3" s="831"/>
      <c r="D3" s="831"/>
      <c r="E3" s="831"/>
      <c r="F3" s="831"/>
      <c r="G3" s="831"/>
      <c r="H3" s="832"/>
      <c r="I3" s="578"/>
      <c r="J3" s="578"/>
      <c r="P3" s="830" t="s">
        <v>430</v>
      </c>
      <c r="Q3" s="831"/>
      <c r="R3" s="831"/>
      <c r="S3" s="831"/>
      <c r="T3" s="831"/>
      <c r="U3" s="831"/>
      <c r="V3" s="831"/>
      <c r="W3" s="832"/>
      <c r="Z3" s="834" t="s">
        <v>431</v>
      </c>
      <c r="AA3" s="833"/>
      <c r="AB3" s="833"/>
      <c r="AC3" s="833"/>
      <c r="AD3" s="833"/>
      <c r="AE3" s="833"/>
      <c r="AF3" s="833"/>
      <c r="AG3" s="833"/>
      <c r="AH3" s="833"/>
      <c r="AI3" s="833"/>
    </row>
    <row r="4" spans="1:35">
      <c r="A4" s="579" t="s">
        <v>32</v>
      </c>
      <c r="B4" s="579" t="s">
        <v>432</v>
      </c>
      <c r="C4" s="579" t="s">
        <v>433</v>
      </c>
      <c r="D4" s="579" t="s">
        <v>284</v>
      </c>
      <c r="E4" s="579" t="s">
        <v>434</v>
      </c>
      <c r="F4" s="579" t="s">
        <v>435</v>
      </c>
      <c r="G4" s="579" t="s">
        <v>357</v>
      </c>
      <c r="H4" s="579" t="s">
        <v>436</v>
      </c>
      <c r="I4" s="580"/>
      <c r="J4" s="580"/>
      <c r="P4" s="579" t="s">
        <v>32</v>
      </c>
      <c r="Q4" s="579" t="s">
        <v>432</v>
      </c>
      <c r="R4" s="579" t="s">
        <v>433</v>
      </c>
      <c r="S4" s="579" t="s">
        <v>284</v>
      </c>
      <c r="T4" s="579" t="s">
        <v>434</v>
      </c>
      <c r="U4" s="579" t="s">
        <v>435</v>
      </c>
      <c r="V4" s="579" t="s">
        <v>357</v>
      </c>
      <c r="W4" s="579" t="s">
        <v>436</v>
      </c>
      <c r="Z4" s="579" t="s">
        <v>32</v>
      </c>
      <c r="AA4" s="579" t="s">
        <v>432</v>
      </c>
      <c r="AB4" s="579" t="s">
        <v>433</v>
      </c>
      <c r="AC4" s="579" t="s">
        <v>284</v>
      </c>
      <c r="AD4" s="579" t="s">
        <v>434</v>
      </c>
      <c r="AE4" s="581"/>
      <c r="AF4" s="582" t="s">
        <v>437</v>
      </c>
      <c r="AG4" s="581" t="s">
        <v>438</v>
      </c>
      <c r="AH4" s="582" t="s">
        <v>439</v>
      </c>
      <c r="AI4" s="582" t="s">
        <v>440</v>
      </c>
    </row>
    <row r="5" spans="1:35">
      <c r="A5" s="583"/>
      <c r="B5" s="583"/>
      <c r="C5" s="584"/>
      <c r="D5" s="585"/>
      <c r="E5" s="584"/>
      <c r="F5" s="583"/>
      <c r="G5" s="583"/>
      <c r="H5" s="583"/>
      <c r="P5" s="88"/>
      <c r="Q5" s="88"/>
      <c r="R5" s="378"/>
      <c r="S5" s="340"/>
      <c r="T5" s="378"/>
      <c r="U5" s="88"/>
      <c r="V5" s="88"/>
      <c r="W5" s="88"/>
      <c r="Z5" s="88"/>
      <c r="AA5" s="88"/>
      <c r="AB5" s="378"/>
      <c r="AC5" s="340"/>
      <c r="AD5" s="378"/>
      <c r="AE5" s="88"/>
      <c r="AF5" s="378"/>
      <c r="AG5" s="340"/>
      <c r="AH5" s="378"/>
      <c r="AI5" s="88"/>
    </row>
    <row r="6" spans="1:35">
      <c r="A6" s="583"/>
      <c r="B6" s="583"/>
      <c r="C6" s="584"/>
      <c r="D6" s="585"/>
      <c r="E6" s="584"/>
      <c r="F6" s="583"/>
      <c r="G6" s="583"/>
      <c r="H6" s="583"/>
      <c r="P6" s="88"/>
      <c r="Q6" s="88"/>
      <c r="R6" s="378"/>
      <c r="S6" s="340"/>
      <c r="T6" s="378"/>
      <c r="U6" s="88"/>
      <c r="V6" s="88"/>
      <c r="W6" s="88"/>
      <c r="Z6" s="88"/>
      <c r="AA6" s="88"/>
      <c r="AB6" s="378"/>
      <c r="AC6" s="340"/>
      <c r="AD6" s="378"/>
      <c r="AE6" s="88"/>
      <c r="AF6" s="378"/>
      <c r="AG6" s="340"/>
      <c r="AH6" s="378"/>
      <c r="AI6" s="88"/>
    </row>
    <row r="7" spans="1:35">
      <c r="A7" s="583"/>
      <c r="B7" s="583"/>
      <c r="C7" s="584"/>
      <c r="D7" s="583"/>
      <c r="E7" s="584"/>
      <c r="F7" s="583"/>
      <c r="G7" s="583"/>
      <c r="H7" s="583"/>
      <c r="P7" s="88"/>
      <c r="Q7" s="88"/>
      <c r="R7" s="378"/>
      <c r="S7" s="88"/>
      <c r="T7" s="378"/>
      <c r="U7" s="88"/>
      <c r="V7" s="88"/>
      <c r="W7" s="88"/>
      <c r="Z7" s="88"/>
      <c r="AA7" s="88"/>
      <c r="AB7" s="378"/>
      <c r="AC7" s="88"/>
      <c r="AD7" s="378"/>
      <c r="AE7" s="88"/>
      <c r="AF7" s="378"/>
      <c r="AG7" s="340"/>
      <c r="AH7" s="378"/>
      <c r="AI7" s="88"/>
    </row>
    <row r="8" spans="1:35">
      <c r="A8" s="583"/>
      <c r="B8" s="583"/>
      <c r="C8" s="584"/>
      <c r="D8" s="583"/>
      <c r="E8" s="584"/>
      <c r="F8" s="583"/>
      <c r="G8" s="583"/>
      <c r="H8" s="583"/>
      <c r="P8" s="88"/>
      <c r="Q8" s="88"/>
      <c r="R8" s="378"/>
      <c r="S8" s="88"/>
      <c r="T8" s="378"/>
      <c r="U8" s="88"/>
      <c r="V8" s="88"/>
      <c r="W8" s="88"/>
      <c r="Z8" s="88"/>
      <c r="AA8" s="88"/>
      <c r="AB8" s="378"/>
      <c r="AC8" s="88"/>
      <c r="AD8" s="378"/>
      <c r="AE8" s="88"/>
      <c r="AF8" s="378"/>
      <c r="AG8" s="340"/>
      <c r="AH8" s="378"/>
      <c r="AI8" s="88"/>
    </row>
    <row r="9" spans="1:35">
      <c r="A9" s="583"/>
      <c r="B9" s="583"/>
      <c r="C9" s="584"/>
      <c r="D9" s="583"/>
      <c r="E9" s="584"/>
      <c r="F9" s="583"/>
      <c r="G9" s="583"/>
      <c r="H9" s="583"/>
      <c r="P9" s="88"/>
      <c r="Q9" s="88"/>
      <c r="R9" s="378"/>
      <c r="S9" s="88"/>
      <c r="T9" s="378"/>
      <c r="U9" s="88"/>
      <c r="V9" s="88"/>
      <c r="W9" s="88"/>
      <c r="Z9" s="88"/>
      <c r="AA9" s="88"/>
      <c r="AB9" s="378"/>
      <c r="AC9" s="88"/>
      <c r="AD9" s="378"/>
      <c r="AE9" s="88"/>
      <c r="AF9" s="378"/>
      <c r="AG9" s="340"/>
      <c r="AH9" s="378"/>
      <c r="AI9" s="88"/>
    </row>
    <row r="10" spans="1:35">
      <c r="A10" s="583"/>
      <c r="B10" s="583"/>
      <c r="C10" s="584"/>
      <c r="D10" s="583"/>
      <c r="E10" s="584"/>
      <c r="F10" s="583"/>
      <c r="G10" s="583"/>
      <c r="H10" s="583"/>
      <c r="P10" s="88"/>
      <c r="Q10" s="88"/>
      <c r="R10" s="378"/>
      <c r="S10" s="88"/>
      <c r="T10" s="378"/>
      <c r="U10" s="88"/>
      <c r="V10" s="88"/>
      <c r="W10" s="88"/>
      <c r="Z10" s="88"/>
      <c r="AA10" s="88"/>
      <c r="AB10" s="378"/>
      <c r="AC10" s="88"/>
      <c r="AD10" s="378"/>
      <c r="AE10" s="88"/>
      <c r="AF10" s="378"/>
      <c r="AG10" s="340"/>
      <c r="AH10" s="378"/>
      <c r="AI10" s="88"/>
    </row>
    <row r="11" spans="1:35">
      <c r="A11" s="583"/>
      <c r="B11" s="583"/>
      <c r="C11" s="584"/>
      <c r="D11" s="583"/>
      <c r="E11" s="584"/>
      <c r="F11" s="583"/>
      <c r="G11" s="583"/>
      <c r="H11" s="583"/>
      <c r="P11" s="88"/>
      <c r="Q11" s="88"/>
      <c r="R11" s="378"/>
      <c r="S11" s="88"/>
      <c r="T11" s="378"/>
      <c r="U11" s="88"/>
      <c r="V11" s="88"/>
      <c r="W11" s="88"/>
      <c r="Z11" s="88"/>
      <c r="AA11" s="88"/>
      <c r="AB11" s="378"/>
      <c r="AC11" s="88"/>
      <c r="AD11" s="378"/>
      <c r="AE11" s="88"/>
      <c r="AF11" s="378"/>
      <c r="AG11" s="340"/>
      <c r="AH11" s="378"/>
      <c r="AI11" s="88"/>
    </row>
    <row r="12" spans="1:35">
      <c r="A12" s="583"/>
      <c r="B12" s="583"/>
      <c r="C12" s="584"/>
      <c r="D12" s="583"/>
      <c r="E12" s="584"/>
      <c r="F12" s="583"/>
      <c r="G12" s="583"/>
      <c r="H12" s="583"/>
      <c r="P12" s="88"/>
      <c r="Q12" s="88"/>
      <c r="R12" s="378"/>
      <c r="S12" s="88"/>
      <c r="T12" s="378"/>
      <c r="U12" s="88"/>
      <c r="V12" s="88"/>
      <c r="W12" s="88"/>
      <c r="Z12" s="88"/>
      <c r="AA12" s="88"/>
      <c r="AB12" s="378"/>
      <c r="AC12" s="88"/>
      <c r="AD12" s="378"/>
      <c r="AE12" s="88"/>
      <c r="AF12" s="378"/>
      <c r="AG12" s="340"/>
      <c r="AH12" s="378"/>
      <c r="AI12" s="88"/>
    </row>
    <row r="13" spans="1:35">
      <c r="A13" s="583"/>
      <c r="B13" s="583"/>
      <c r="C13" s="584"/>
      <c r="D13" s="585"/>
      <c r="E13" s="584"/>
      <c r="F13" s="583"/>
      <c r="G13" s="583"/>
      <c r="H13" s="583"/>
      <c r="P13" s="88"/>
      <c r="Q13" s="88"/>
      <c r="R13" s="378"/>
      <c r="S13" s="340"/>
      <c r="T13" s="378"/>
      <c r="U13" s="88"/>
      <c r="V13" s="88"/>
      <c r="W13" s="88"/>
      <c r="Z13" s="88"/>
      <c r="AA13" s="88"/>
      <c r="AB13" s="378"/>
      <c r="AC13" s="340"/>
      <c r="AD13" s="378"/>
      <c r="AE13" s="88"/>
      <c r="AF13" s="378"/>
      <c r="AG13" s="340"/>
      <c r="AH13" s="378"/>
      <c r="AI13" s="88"/>
    </row>
    <row r="14" spans="1:35">
      <c r="A14" s="583"/>
      <c r="B14" s="583"/>
      <c r="C14" s="584"/>
      <c r="D14" s="585"/>
      <c r="E14" s="584"/>
      <c r="F14" s="583"/>
      <c r="G14" s="583"/>
      <c r="H14" s="583"/>
      <c r="P14" s="88"/>
      <c r="Q14" s="88"/>
      <c r="R14" s="378"/>
      <c r="S14" s="340"/>
      <c r="T14" s="378"/>
      <c r="U14" s="88"/>
      <c r="V14" s="88"/>
      <c r="W14" s="88"/>
      <c r="Z14" s="88"/>
      <c r="AA14" s="88"/>
      <c r="AB14" s="378"/>
      <c r="AC14" s="340"/>
      <c r="AD14" s="378"/>
      <c r="AE14" s="88"/>
      <c r="AF14" s="378"/>
      <c r="AG14" s="340"/>
      <c r="AH14" s="378"/>
      <c r="AI14" s="88"/>
    </row>
    <row r="15" spans="1:35">
      <c r="A15" s="583"/>
      <c r="B15" s="583"/>
      <c r="C15" s="584"/>
      <c r="D15" s="583"/>
      <c r="E15" s="584"/>
      <c r="F15" s="583"/>
      <c r="G15" s="583"/>
      <c r="H15" s="583"/>
      <c r="P15" s="88"/>
      <c r="Q15" s="88"/>
      <c r="R15" s="378"/>
      <c r="S15" s="88"/>
      <c r="T15" s="378"/>
      <c r="U15" s="88"/>
      <c r="V15" s="88"/>
      <c r="W15" s="88"/>
      <c r="Z15" s="88"/>
      <c r="AA15" s="88"/>
      <c r="AB15" s="378"/>
      <c r="AC15" s="88"/>
      <c r="AD15" s="378"/>
      <c r="AE15" s="88"/>
      <c r="AF15" s="378"/>
      <c r="AG15" s="340"/>
      <c r="AH15" s="378"/>
      <c r="AI15" s="88"/>
    </row>
    <row r="16" spans="1:35">
      <c r="A16" s="583"/>
      <c r="B16" s="583"/>
      <c r="C16" s="584"/>
      <c r="D16" s="583"/>
      <c r="E16" s="584"/>
      <c r="F16" s="583"/>
      <c r="G16" s="583"/>
      <c r="H16" s="583"/>
      <c r="P16" s="88"/>
      <c r="Q16" s="88"/>
      <c r="R16" s="378"/>
      <c r="S16" s="88"/>
      <c r="T16" s="378"/>
      <c r="U16" s="88"/>
      <c r="V16" s="88"/>
      <c r="W16" s="88"/>
      <c r="Z16" s="88"/>
      <c r="AA16" s="88"/>
      <c r="AB16" s="378"/>
      <c r="AC16" s="88"/>
      <c r="AD16" s="378"/>
      <c r="AE16" s="88"/>
      <c r="AF16" s="378"/>
      <c r="AG16" s="340"/>
      <c r="AH16" s="378"/>
      <c r="AI16" s="88"/>
    </row>
    <row r="17" spans="1:35">
      <c r="A17" s="583"/>
      <c r="B17" s="583"/>
      <c r="C17" s="584"/>
      <c r="D17" s="583"/>
      <c r="E17" s="584"/>
      <c r="F17" s="583"/>
      <c r="G17" s="583"/>
      <c r="H17" s="583"/>
      <c r="P17" s="88"/>
      <c r="Q17" s="88"/>
      <c r="R17" s="378"/>
      <c r="S17" s="88"/>
      <c r="T17" s="378"/>
      <c r="U17" s="88"/>
      <c r="V17" s="88"/>
      <c r="W17" s="88"/>
      <c r="Z17" s="88"/>
      <c r="AA17" s="88"/>
      <c r="AB17" s="378"/>
      <c r="AC17" s="88"/>
      <c r="AD17" s="378"/>
      <c r="AE17" s="88"/>
      <c r="AF17" s="378"/>
      <c r="AG17" s="340"/>
      <c r="AH17" s="378"/>
      <c r="AI17" s="88"/>
    </row>
    <row r="18" spans="1:35">
      <c r="A18" s="583"/>
      <c r="B18" s="583"/>
      <c r="C18" s="584"/>
      <c r="D18" s="583"/>
      <c r="E18" s="584"/>
      <c r="F18" s="583"/>
      <c r="G18" s="583"/>
      <c r="H18" s="583"/>
      <c r="P18" s="88"/>
      <c r="Q18" s="88"/>
      <c r="R18" s="378"/>
      <c r="S18" s="88"/>
      <c r="T18" s="378"/>
      <c r="U18" s="88"/>
      <c r="V18" s="88"/>
      <c r="W18" s="88"/>
      <c r="Z18" s="88"/>
      <c r="AA18" s="88"/>
      <c r="AB18" s="378"/>
      <c r="AC18" s="88"/>
      <c r="AD18" s="378"/>
      <c r="AE18" s="88"/>
      <c r="AF18" s="378"/>
      <c r="AG18" s="340"/>
      <c r="AH18" s="378"/>
      <c r="AI18" s="88"/>
    </row>
    <row r="19" spans="1:35">
      <c r="A19" s="583"/>
      <c r="B19" s="583"/>
      <c r="C19" s="584"/>
      <c r="D19" s="583"/>
      <c r="E19" s="584"/>
      <c r="F19" s="583"/>
      <c r="G19" s="583"/>
      <c r="H19" s="583"/>
      <c r="P19" s="88"/>
      <c r="Q19" s="88"/>
      <c r="R19" s="378"/>
      <c r="S19" s="88"/>
      <c r="T19" s="378"/>
      <c r="U19" s="88"/>
      <c r="V19" s="88"/>
      <c r="W19" s="88"/>
      <c r="Z19" s="88"/>
      <c r="AA19" s="88"/>
      <c r="AB19" s="378"/>
      <c r="AC19" s="88"/>
      <c r="AD19" s="378"/>
      <c r="AE19" s="88"/>
      <c r="AF19" s="378"/>
      <c r="AG19" s="340"/>
      <c r="AH19" s="378"/>
      <c r="AI19" s="88"/>
    </row>
    <row r="20" spans="1:35">
      <c r="A20" s="583"/>
      <c r="B20" s="583"/>
      <c r="C20" s="584"/>
      <c r="D20" s="583"/>
      <c r="E20" s="584"/>
      <c r="F20" s="583"/>
      <c r="G20" s="583"/>
      <c r="H20" s="583"/>
      <c r="P20" s="88"/>
      <c r="Q20" s="88"/>
      <c r="R20" s="378"/>
      <c r="S20" s="88"/>
      <c r="T20" s="378"/>
      <c r="U20" s="88"/>
      <c r="V20" s="88"/>
      <c r="W20" s="88"/>
      <c r="Z20" s="88"/>
      <c r="AA20" s="88"/>
      <c r="AB20" s="378"/>
      <c r="AC20" s="88"/>
      <c r="AD20" s="378"/>
      <c r="AE20" s="88"/>
      <c r="AF20" s="378"/>
      <c r="AG20" s="340"/>
      <c r="AH20" s="378"/>
      <c r="AI20" s="88"/>
    </row>
    <row r="21" spans="1:35">
      <c r="A21" s="583"/>
      <c r="B21" s="583"/>
      <c r="C21" s="584"/>
      <c r="D21" s="583"/>
      <c r="E21" s="584"/>
      <c r="F21" s="583"/>
      <c r="G21" s="583"/>
      <c r="H21" s="583"/>
      <c r="P21" s="88"/>
      <c r="Q21" s="88"/>
      <c r="R21" s="378"/>
      <c r="S21" s="88"/>
      <c r="T21" s="378"/>
      <c r="U21" s="88"/>
      <c r="V21" s="88"/>
      <c r="W21" s="88"/>
      <c r="Z21" s="88"/>
      <c r="AA21" s="88"/>
      <c r="AB21" s="378"/>
      <c r="AC21" s="88"/>
      <c r="AD21" s="378"/>
      <c r="AE21" s="88"/>
      <c r="AF21" s="378"/>
      <c r="AG21" s="340"/>
      <c r="AH21" s="378"/>
      <c r="AI21" s="88"/>
    </row>
    <row r="22" spans="1:35">
      <c r="A22" s="583"/>
      <c r="B22" s="583"/>
      <c r="C22" s="584"/>
      <c r="D22" s="583"/>
      <c r="E22" s="584"/>
      <c r="F22" s="583"/>
      <c r="G22" s="583"/>
      <c r="H22" s="583"/>
      <c r="P22" s="88"/>
      <c r="Q22" s="88"/>
      <c r="R22" s="378"/>
      <c r="S22" s="88"/>
      <c r="T22" s="378"/>
      <c r="U22" s="88"/>
      <c r="V22" s="88"/>
      <c r="W22" s="88"/>
      <c r="Z22" s="88"/>
      <c r="AA22" s="88"/>
      <c r="AB22" s="378"/>
      <c r="AC22" s="88"/>
      <c r="AD22" s="378"/>
      <c r="AE22" s="88"/>
      <c r="AF22" s="378"/>
      <c r="AG22" s="340"/>
      <c r="AH22" s="378"/>
      <c r="AI22" s="88"/>
    </row>
    <row r="23" spans="1:35">
      <c r="A23" s="583"/>
      <c r="B23" s="583"/>
      <c r="C23" s="584"/>
      <c r="D23" s="583"/>
      <c r="E23" s="584"/>
      <c r="F23" s="583"/>
      <c r="G23" s="583"/>
      <c r="H23" s="583"/>
      <c r="P23" s="88"/>
      <c r="Q23" s="88"/>
      <c r="R23" s="378"/>
      <c r="S23" s="88"/>
      <c r="T23" s="378"/>
      <c r="U23" s="88"/>
      <c r="V23" s="88"/>
      <c r="W23" s="88"/>
      <c r="Z23" s="88"/>
      <c r="AA23" s="88"/>
      <c r="AB23" s="378"/>
      <c r="AC23" s="88"/>
      <c r="AD23" s="378"/>
      <c r="AE23" s="88"/>
      <c r="AF23" s="378"/>
      <c r="AG23" s="340"/>
      <c r="AH23" s="378"/>
      <c r="AI23" s="88"/>
    </row>
    <row r="24" spans="1:35">
      <c r="A24" s="583"/>
      <c r="B24" s="583"/>
      <c r="C24" s="584"/>
      <c r="D24" s="583"/>
      <c r="E24" s="584"/>
      <c r="F24" s="583"/>
      <c r="G24" s="583"/>
      <c r="H24" s="583"/>
      <c r="P24" s="88"/>
      <c r="Q24" s="88"/>
      <c r="R24" s="378"/>
      <c r="S24" s="88"/>
      <c r="T24" s="378"/>
      <c r="U24" s="88"/>
      <c r="V24" s="88"/>
      <c r="W24" s="88"/>
      <c r="Z24" s="88"/>
      <c r="AA24" s="88"/>
      <c r="AB24" s="378"/>
      <c r="AC24" s="88"/>
      <c r="AD24" s="378"/>
      <c r="AE24" s="88"/>
      <c r="AF24" s="378"/>
      <c r="AG24" s="340"/>
      <c r="AH24" s="378"/>
      <c r="AI24" s="88"/>
    </row>
    <row r="26" spans="1:35">
      <c r="A26" s="837" t="s">
        <v>429</v>
      </c>
      <c r="B26" s="838"/>
      <c r="C26" s="838"/>
      <c r="D26" s="838"/>
      <c r="E26" s="838"/>
      <c r="F26" s="838"/>
      <c r="G26" s="838"/>
      <c r="H26" s="839"/>
      <c r="P26" s="830" t="s">
        <v>430</v>
      </c>
      <c r="Q26" s="831"/>
      <c r="R26" s="831"/>
      <c r="S26" s="831"/>
      <c r="T26" s="831"/>
      <c r="U26" s="831"/>
      <c r="V26" s="831"/>
      <c r="W26" s="832"/>
    </row>
    <row r="27" spans="1:35">
      <c r="A27" s="586"/>
      <c r="B27" s="836" t="s">
        <v>441</v>
      </c>
      <c r="C27" s="836"/>
      <c r="D27" s="836"/>
      <c r="E27" s="836"/>
      <c r="F27" s="836"/>
      <c r="G27" s="836"/>
      <c r="H27" s="836"/>
      <c r="I27" s="587"/>
      <c r="J27" s="587"/>
      <c r="P27" s="840" t="s">
        <v>441</v>
      </c>
      <c r="Q27" s="840"/>
      <c r="R27" s="840"/>
      <c r="S27" s="840"/>
      <c r="T27" s="840"/>
      <c r="U27" s="840"/>
      <c r="V27" s="840"/>
      <c r="W27" s="840"/>
    </row>
    <row r="28" spans="1:35">
      <c r="A28" s="830" t="s">
        <v>429</v>
      </c>
      <c r="B28" s="831"/>
      <c r="C28" s="831"/>
      <c r="D28" s="831"/>
      <c r="E28" s="831"/>
      <c r="F28" s="831"/>
      <c r="G28" s="831"/>
      <c r="H28" s="832"/>
      <c r="I28" s="578"/>
      <c r="J28" s="578"/>
      <c r="P28" s="833" t="s">
        <v>429</v>
      </c>
      <c r="Q28" s="833"/>
      <c r="R28" s="833"/>
      <c r="S28" s="833"/>
      <c r="T28" s="833"/>
      <c r="U28" s="833"/>
      <c r="V28" s="833"/>
      <c r="W28" s="833"/>
      <c r="X28" s="833"/>
      <c r="Y28" s="833"/>
      <c r="AA28" s="830" t="s">
        <v>429</v>
      </c>
      <c r="AB28" s="831"/>
      <c r="AC28" s="831"/>
      <c r="AD28" s="831"/>
      <c r="AE28" s="831"/>
      <c r="AF28" s="831"/>
      <c r="AG28" s="831"/>
      <c r="AH28" s="832"/>
    </row>
    <row r="29" spans="1:35">
      <c r="A29" s="588" t="s">
        <v>32</v>
      </c>
      <c r="B29" s="588" t="s">
        <v>442</v>
      </c>
      <c r="C29" s="588" t="s">
        <v>443</v>
      </c>
      <c r="D29" s="588" t="s">
        <v>444</v>
      </c>
      <c r="E29" s="588" t="s">
        <v>445</v>
      </c>
      <c r="F29" s="588" t="s">
        <v>446</v>
      </c>
      <c r="G29" s="588" t="s">
        <v>447</v>
      </c>
      <c r="H29" s="588" t="s">
        <v>448</v>
      </c>
      <c r="I29" s="588" t="s">
        <v>449</v>
      </c>
      <c r="J29" s="588" t="s">
        <v>282</v>
      </c>
      <c r="P29" s="88" t="s">
        <v>32</v>
      </c>
      <c r="Q29" s="88" t="s">
        <v>442</v>
      </c>
      <c r="R29" s="88" t="s">
        <v>443</v>
      </c>
      <c r="S29" s="88" t="s">
        <v>444</v>
      </c>
      <c r="T29" s="88" t="s">
        <v>445</v>
      </c>
      <c r="U29" s="88" t="s">
        <v>446</v>
      </c>
      <c r="V29" s="88" t="s">
        <v>447</v>
      </c>
      <c r="W29" s="88" t="s">
        <v>448</v>
      </c>
      <c r="X29" s="88" t="s">
        <v>449</v>
      </c>
      <c r="Y29" s="88" t="s">
        <v>282</v>
      </c>
    </row>
    <row r="30" spans="1:35">
      <c r="A30" s="583"/>
      <c r="B30" s="583"/>
      <c r="C30" s="584"/>
      <c r="D30" s="584"/>
      <c r="E30" s="584"/>
      <c r="F30" s="584"/>
      <c r="G30" s="584"/>
      <c r="H30" s="584"/>
      <c r="I30" s="584"/>
      <c r="J30" s="585"/>
      <c r="K30" s="589"/>
      <c r="P30" s="88"/>
      <c r="Q30" s="88"/>
      <c r="R30" s="378"/>
      <c r="S30" s="378"/>
      <c r="T30" s="378"/>
      <c r="U30" s="378"/>
      <c r="V30" s="378"/>
      <c r="W30" s="378"/>
      <c r="X30" s="378"/>
      <c r="Y30" s="340"/>
    </row>
    <row r="31" spans="1:35">
      <c r="A31" s="583"/>
      <c r="B31" s="583"/>
      <c r="C31" s="584"/>
      <c r="D31" s="584"/>
      <c r="E31" s="584"/>
      <c r="F31" s="584"/>
      <c r="G31" s="584"/>
      <c r="H31" s="584"/>
      <c r="I31" s="584"/>
      <c r="J31" s="585"/>
      <c r="K31" s="589"/>
      <c r="P31" s="340"/>
      <c r="Q31" s="88"/>
      <c r="R31" s="378"/>
      <c r="S31" s="378"/>
      <c r="T31" s="340"/>
      <c r="U31" s="378"/>
      <c r="V31" s="378"/>
      <c r="W31" s="378"/>
      <c r="X31" s="378"/>
      <c r="Y31" s="340"/>
    </row>
    <row r="32" spans="1:35">
      <c r="A32" s="583"/>
      <c r="B32" s="583"/>
      <c r="C32" s="584"/>
      <c r="D32" s="584"/>
      <c r="E32" s="584"/>
      <c r="F32" s="584"/>
      <c r="G32" s="584"/>
      <c r="H32" s="584"/>
      <c r="I32" s="584"/>
      <c r="J32" s="583"/>
      <c r="K32" s="589"/>
      <c r="P32" s="340"/>
      <c r="Q32" s="88"/>
      <c r="R32" s="378"/>
      <c r="S32" s="378"/>
      <c r="T32" s="378"/>
      <c r="U32" s="378"/>
      <c r="V32" s="378"/>
      <c r="W32" s="378"/>
      <c r="X32" s="378"/>
      <c r="Y32" s="88"/>
    </row>
    <row r="33" spans="1:30">
      <c r="A33" s="583"/>
      <c r="B33" s="583"/>
      <c r="C33" s="584"/>
      <c r="D33" s="584"/>
      <c r="E33" s="584"/>
      <c r="F33" s="584"/>
      <c r="G33" s="584"/>
      <c r="H33" s="584"/>
      <c r="I33" s="584"/>
      <c r="J33" s="583"/>
      <c r="K33" s="589"/>
      <c r="P33" s="88"/>
      <c r="Q33" s="88"/>
      <c r="R33" s="378"/>
      <c r="S33" s="378"/>
      <c r="T33" s="378"/>
      <c r="U33" s="378"/>
      <c r="V33" s="378"/>
      <c r="W33" s="378"/>
      <c r="X33" s="378"/>
      <c r="Y33" s="88"/>
    </row>
    <row r="34" spans="1:30">
      <c r="A34" s="583"/>
      <c r="B34" s="583"/>
      <c r="C34" s="584"/>
      <c r="D34" s="584"/>
      <c r="E34" s="584"/>
      <c r="F34" s="584"/>
      <c r="G34" s="584"/>
      <c r="H34" s="584"/>
      <c r="I34" s="584"/>
      <c r="J34" s="583"/>
      <c r="K34" s="589"/>
      <c r="P34" s="88"/>
      <c r="Q34" s="88"/>
      <c r="R34" s="378"/>
      <c r="S34" s="378"/>
      <c r="T34" s="378"/>
      <c r="U34" s="378"/>
      <c r="V34" s="378"/>
      <c r="W34" s="378"/>
      <c r="X34" s="378"/>
      <c r="Y34" s="88"/>
    </row>
    <row r="35" spans="1:30">
      <c r="A35" s="583"/>
      <c r="B35" s="583"/>
      <c r="C35" s="584"/>
      <c r="D35" s="584"/>
      <c r="E35" s="584"/>
      <c r="F35" s="584"/>
      <c r="G35" s="584"/>
      <c r="H35" s="584"/>
      <c r="I35" s="584"/>
      <c r="J35" s="583"/>
      <c r="K35" s="589"/>
      <c r="P35" s="88"/>
      <c r="Q35" s="88"/>
      <c r="R35" s="378"/>
      <c r="S35" s="378"/>
      <c r="T35" s="378"/>
      <c r="U35" s="378"/>
      <c r="V35" s="378"/>
      <c r="W35" s="378"/>
      <c r="X35" s="378"/>
      <c r="Y35" s="88"/>
    </row>
    <row r="36" spans="1:30">
      <c r="A36" s="583"/>
      <c r="B36" s="583"/>
      <c r="C36" s="584"/>
      <c r="D36" s="584"/>
      <c r="E36" s="584"/>
      <c r="F36" s="584"/>
      <c r="G36" s="584"/>
      <c r="H36" s="584"/>
      <c r="I36" s="584"/>
      <c r="J36" s="583"/>
      <c r="K36" s="589"/>
      <c r="P36" s="88"/>
      <c r="Q36" s="88"/>
      <c r="R36" s="378"/>
      <c r="S36" s="378"/>
      <c r="T36" s="378"/>
      <c r="U36" s="378"/>
      <c r="V36" s="378"/>
      <c r="W36" s="378"/>
      <c r="X36" s="378"/>
      <c r="Y36" s="88"/>
    </row>
    <row r="37" spans="1:30">
      <c r="A37" s="583"/>
      <c r="B37" s="583"/>
      <c r="C37" s="584"/>
      <c r="D37" s="584"/>
      <c r="E37" s="584"/>
      <c r="F37" s="584"/>
      <c r="G37" s="584"/>
      <c r="H37" s="584"/>
      <c r="I37" s="584"/>
      <c r="J37" s="583"/>
      <c r="K37" s="589"/>
      <c r="P37" s="88"/>
      <c r="Q37" s="88"/>
      <c r="R37" s="378"/>
      <c r="S37" s="378"/>
      <c r="T37" s="378"/>
      <c r="U37" s="378"/>
      <c r="V37" s="378"/>
      <c r="W37" s="378"/>
      <c r="X37" s="378"/>
      <c r="Y37" s="88"/>
    </row>
    <row r="38" spans="1:30">
      <c r="A38" s="583"/>
      <c r="B38" s="583"/>
      <c r="C38" s="584"/>
      <c r="D38" s="584"/>
      <c r="E38" s="584"/>
      <c r="F38" s="584"/>
      <c r="G38" s="584"/>
      <c r="H38" s="584"/>
      <c r="I38" s="584"/>
      <c r="J38" s="583"/>
      <c r="K38" s="589"/>
      <c r="P38" s="88"/>
      <c r="Q38" s="88"/>
      <c r="R38" s="378"/>
      <c r="S38" s="378"/>
      <c r="T38" s="378"/>
      <c r="U38" s="378"/>
      <c r="V38" s="378"/>
      <c r="W38" s="378"/>
      <c r="X38" s="378"/>
      <c r="Y38" s="88"/>
    </row>
    <row r="39" spans="1:30">
      <c r="A39" s="583"/>
      <c r="B39" s="583"/>
      <c r="C39" s="584"/>
      <c r="D39" s="584"/>
      <c r="E39" s="584"/>
      <c r="F39" s="584"/>
      <c r="G39" s="584"/>
      <c r="H39" s="584"/>
      <c r="I39" s="584"/>
      <c r="J39" s="583"/>
      <c r="K39" s="589"/>
      <c r="P39" s="88"/>
      <c r="Q39" s="88"/>
      <c r="R39" s="378"/>
      <c r="S39" s="378"/>
      <c r="T39" s="378"/>
      <c r="U39" s="378"/>
      <c r="V39" s="378"/>
      <c r="W39" s="378"/>
      <c r="X39" s="378"/>
      <c r="Y39" s="88"/>
    </row>
    <row r="41" spans="1:30">
      <c r="A41" s="830" t="s">
        <v>429</v>
      </c>
      <c r="B41" s="831"/>
      <c r="C41" s="831"/>
      <c r="D41" s="831"/>
      <c r="E41" s="831"/>
      <c r="F41" s="831"/>
      <c r="G41" s="831"/>
      <c r="H41" s="832"/>
      <c r="P41" s="830" t="s">
        <v>429</v>
      </c>
      <c r="Q41" s="831"/>
      <c r="R41" s="831"/>
      <c r="S41" s="831"/>
      <c r="T41" s="831"/>
      <c r="U41" s="831"/>
      <c r="V41" s="831"/>
      <c r="W41" s="832"/>
    </row>
    <row r="42" spans="1:30" ht="14.25" customHeight="1">
      <c r="A42" s="836" t="s">
        <v>450</v>
      </c>
      <c r="B42" s="836"/>
      <c r="C42" s="836"/>
      <c r="D42" s="836"/>
      <c r="E42" s="836"/>
      <c r="F42" s="836"/>
      <c r="G42" s="836"/>
      <c r="H42" s="836"/>
      <c r="I42" s="836"/>
      <c r="J42" s="836"/>
      <c r="K42" s="587"/>
      <c r="L42" s="587"/>
      <c r="M42" s="587"/>
      <c r="N42" s="587"/>
      <c r="O42" s="587"/>
      <c r="P42" s="836" t="s">
        <v>450</v>
      </c>
      <c r="Q42" s="836"/>
      <c r="R42" s="836"/>
      <c r="S42" s="836"/>
      <c r="T42" s="836"/>
      <c r="U42" s="836"/>
      <c r="V42" s="836"/>
      <c r="W42" s="836"/>
      <c r="X42" s="836"/>
      <c r="Y42" s="836"/>
      <c r="Z42" s="836"/>
      <c r="AA42" s="836"/>
      <c r="AB42" s="836"/>
      <c r="AC42" s="836"/>
    </row>
    <row r="43" spans="1:30">
      <c r="A43" s="588" t="s">
        <v>32</v>
      </c>
      <c r="B43" s="588" t="s">
        <v>451</v>
      </c>
      <c r="C43" s="588" t="s">
        <v>452</v>
      </c>
      <c r="D43" s="588" t="s">
        <v>453</v>
      </c>
      <c r="E43" s="588" t="s">
        <v>454</v>
      </c>
      <c r="F43" s="588" t="s">
        <v>455</v>
      </c>
      <c r="G43" s="588" t="s">
        <v>456</v>
      </c>
      <c r="H43" s="588" t="s">
        <v>457</v>
      </c>
      <c r="I43" s="588" t="s">
        <v>458</v>
      </c>
      <c r="J43" s="588" t="s">
        <v>459</v>
      </c>
      <c r="K43" s="588" t="s">
        <v>460</v>
      </c>
      <c r="L43" s="588" t="s">
        <v>461</v>
      </c>
      <c r="M43" s="588" t="s">
        <v>462</v>
      </c>
      <c r="N43" s="588" t="s">
        <v>463</v>
      </c>
      <c r="P43" s="579" t="s">
        <v>32</v>
      </c>
      <c r="Q43" s="579" t="s">
        <v>451</v>
      </c>
      <c r="R43" s="579" t="s">
        <v>452</v>
      </c>
      <c r="S43" s="579" t="s">
        <v>453</v>
      </c>
      <c r="T43" s="579" t="s">
        <v>454</v>
      </c>
      <c r="U43" s="579" t="s">
        <v>455</v>
      </c>
      <c r="V43" s="579" t="s">
        <v>456</v>
      </c>
      <c r="W43" s="579" t="s">
        <v>457</v>
      </c>
      <c r="X43" s="579" t="s">
        <v>458</v>
      </c>
      <c r="Y43" s="579" t="s">
        <v>459</v>
      </c>
      <c r="Z43" s="579" t="s">
        <v>460</v>
      </c>
      <c r="AA43" s="579" t="s">
        <v>461</v>
      </c>
      <c r="AB43" s="579" t="s">
        <v>462</v>
      </c>
      <c r="AC43" s="579" t="s">
        <v>463</v>
      </c>
      <c r="AD43" s="588"/>
    </row>
    <row r="44" spans="1:30">
      <c r="A44" s="590"/>
      <c r="B44" s="590"/>
      <c r="C44" s="591"/>
      <c r="D44" s="591"/>
      <c r="E44" s="591"/>
      <c r="F44" s="591"/>
      <c r="G44" s="591"/>
      <c r="H44" s="591"/>
      <c r="I44" s="591"/>
      <c r="J44" s="591"/>
      <c r="K44" s="591"/>
      <c r="L44" s="591"/>
      <c r="M44" s="591"/>
      <c r="N44" s="591"/>
      <c r="P44" s="88"/>
      <c r="Q44" s="88"/>
      <c r="R44" s="378"/>
      <c r="S44" s="378"/>
      <c r="T44" s="378"/>
      <c r="U44" s="378"/>
      <c r="V44" s="378"/>
      <c r="W44" s="378"/>
      <c r="X44" s="378"/>
      <c r="Y44" s="378"/>
      <c r="Z44" s="378"/>
      <c r="AA44" s="378"/>
      <c r="AB44" s="378"/>
      <c r="AC44" s="378"/>
    </row>
    <row r="45" spans="1:30">
      <c r="A45" s="590"/>
      <c r="B45" s="590"/>
      <c r="C45" s="591"/>
      <c r="D45" s="591"/>
      <c r="E45" s="591"/>
      <c r="F45" s="591"/>
      <c r="G45" s="591"/>
      <c r="H45" s="591"/>
      <c r="I45" s="591"/>
      <c r="J45" s="591"/>
      <c r="K45" s="591"/>
      <c r="L45" s="591"/>
      <c r="M45" s="591"/>
      <c r="N45" s="591"/>
      <c r="P45" s="88"/>
      <c r="Q45" s="88"/>
      <c r="R45" s="378"/>
      <c r="S45" s="378"/>
      <c r="T45" s="378"/>
      <c r="U45" s="378"/>
      <c r="V45" s="378"/>
      <c r="W45" s="378"/>
      <c r="X45" s="378"/>
      <c r="Y45" s="378"/>
      <c r="Z45" s="378"/>
      <c r="AA45" s="378"/>
      <c r="AB45" s="378"/>
      <c r="AC45" s="378"/>
    </row>
    <row r="46" spans="1:30">
      <c r="A46" s="590"/>
      <c r="B46" s="590"/>
      <c r="C46" s="591"/>
      <c r="D46" s="591"/>
      <c r="E46" s="591"/>
      <c r="F46" s="591"/>
      <c r="G46" s="591"/>
      <c r="H46" s="591"/>
      <c r="I46" s="591"/>
      <c r="J46" s="591"/>
      <c r="K46" s="591"/>
      <c r="L46" s="591"/>
      <c r="M46" s="591"/>
      <c r="N46" s="591"/>
      <c r="P46" s="88"/>
      <c r="Q46" s="88"/>
      <c r="R46" s="378"/>
      <c r="S46" s="378"/>
      <c r="T46" s="378"/>
      <c r="U46" s="378"/>
      <c r="V46" s="378"/>
      <c r="W46" s="378"/>
      <c r="X46" s="378"/>
      <c r="Y46" s="378"/>
      <c r="Z46" s="378"/>
      <c r="AA46" s="378"/>
      <c r="AB46" s="378"/>
      <c r="AC46" s="378"/>
    </row>
    <row r="47" spans="1:30">
      <c r="A47" s="590"/>
      <c r="B47" s="590"/>
      <c r="C47" s="591"/>
      <c r="D47" s="591"/>
      <c r="E47" s="591"/>
      <c r="F47" s="591"/>
      <c r="G47" s="591"/>
      <c r="H47" s="591"/>
      <c r="I47" s="591"/>
      <c r="J47" s="591"/>
      <c r="K47" s="591"/>
      <c r="L47" s="591"/>
      <c r="M47" s="591"/>
      <c r="N47" s="591"/>
      <c r="P47" s="88"/>
      <c r="Q47" s="88"/>
      <c r="R47" s="378"/>
      <c r="S47" s="378"/>
      <c r="T47" s="378"/>
      <c r="U47" s="378"/>
      <c r="V47" s="378"/>
      <c r="W47" s="378"/>
      <c r="X47" s="378"/>
      <c r="Y47" s="378"/>
      <c r="Z47" s="378"/>
      <c r="AA47" s="378"/>
      <c r="AB47" s="378"/>
      <c r="AC47" s="378"/>
    </row>
    <row r="48" spans="1:30">
      <c r="A48" s="590"/>
      <c r="B48" s="590"/>
      <c r="C48" s="591"/>
      <c r="D48" s="591"/>
      <c r="E48" s="591"/>
      <c r="F48" s="591"/>
      <c r="G48" s="591"/>
      <c r="H48" s="591"/>
      <c r="I48" s="591"/>
      <c r="J48" s="591"/>
      <c r="K48" s="591"/>
      <c r="L48" s="591"/>
      <c r="M48" s="591"/>
      <c r="N48" s="591"/>
      <c r="P48" s="88"/>
      <c r="Q48" s="88"/>
      <c r="R48" s="378"/>
      <c r="S48" s="378"/>
      <c r="T48" s="378"/>
      <c r="U48" s="378"/>
      <c r="V48" s="378"/>
      <c r="W48" s="378"/>
      <c r="X48" s="378"/>
      <c r="Y48" s="378"/>
      <c r="Z48" s="378"/>
      <c r="AA48" s="378"/>
      <c r="AB48" s="378"/>
      <c r="AC48" s="378"/>
    </row>
    <row r="49" spans="1:29">
      <c r="A49" s="590"/>
      <c r="B49" s="590"/>
      <c r="C49" s="591"/>
      <c r="D49" s="591"/>
      <c r="E49" s="591"/>
      <c r="F49" s="591"/>
      <c r="G49" s="591"/>
      <c r="H49" s="591"/>
      <c r="I49" s="591"/>
      <c r="J49" s="591"/>
      <c r="K49" s="591"/>
      <c r="L49" s="591"/>
      <c r="M49" s="591"/>
      <c r="N49" s="591"/>
      <c r="P49" s="88"/>
      <c r="Q49" s="88"/>
      <c r="R49" s="378"/>
      <c r="S49" s="378"/>
      <c r="T49" s="378"/>
      <c r="U49" s="378"/>
      <c r="V49" s="378"/>
      <c r="W49" s="378"/>
      <c r="X49" s="378"/>
      <c r="Y49" s="378"/>
      <c r="Z49" s="378"/>
      <c r="AA49" s="378"/>
      <c r="AB49" s="378"/>
      <c r="AC49" s="378"/>
    </row>
    <row r="50" spans="1:29">
      <c r="P50" s="592"/>
      <c r="Q50" s="592"/>
      <c r="R50" s="593"/>
      <c r="S50" s="593"/>
      <c r="T50" s="593"/>
      <c r="U50" s="593"/>
      <c r="V50" s="593"/>
      <c r="W50" s="593"/>
      <c r="X50" s="593"/>
      <c r="Y50" s="593"/>
      <c r="Z50" s="593"/>
      <c r="AA50" s="593"/>
      <c r="AB50" s="593"/>
      <c r="AC50" s="593"/>
    </row>
    <row r="51" spans="1:29">
      <c r="A51" s="830" t="s">
        <v>429</v>
      </c>
      <c r="B51" s="831"/>
      <c r="C51" s="831"/>
      <c r="D51" s="831"/>
      <c r="E51" s="831"/>
      <c r="F51" s="831"/>
      <c r="G51" s="831"/>
      <c r="H51" s="832"/>
      <c r="P51" s="830" t="s">
        <v>429</v>
      </c>
      <c r="Q51" s="831"/>
      <c r="R51" s="831"/>
      <c r="S51" s="831"/>
      <c r="T51" s="831"/>
      <c r="U51" s="831"/>
      <c r="V51" s="831"/>
      <c r="W51" s="832"/>
      <c r="X51" s="88"/>
      <c r="Y51" s="88"/>
    </row>
    <row r="52" spans="1:29">
      <c r="A52" s="844" t="s">
        <v>464</v>
      </c>
      <c r="B52" s="844"/>
      <c r="C52" s="844"/>
      <c r="D52" s="844"/>
      <c r="E52" s="844"/>
      <c r="F52" s="844"/>
      <c r="G52" s="844"/>
      <c r="H52" s="844"/>
      <c r="I52" s="844"/>
      <c r="J52" s="844"/>
      <c r="P52" s="841" t="s">
        <v>464</v>
      </c>
      <c r="Q52" s="842"/>
      <c r="R52" s="842"/>
      <c r="S52" s="842"/>
      <c r="T52" s="842"/>
      <c r="U52" s="842"/>
      <c r="V52" s="842"/>
      <c r="W52" s="842"/>
      <c r="X52" s="842"/>
      <c r="Y52" s="843"/>
    </row>
    <row r="53" spans="1:29">
      <c r="A53" s="579" t="s">
        <v>465</v>
      </c>
      <c r="B53" s="579"/>
      <c r="C53" s="579"/>
      <c r="D53" s="579" t="s">
        <v>466</v>
      </c>
      <c r="E53" s="579"/>
      <c r="F53" s="579"/>
      <c r="G53" s="579"/>
      <c r="H53" s="579"/>
      <c r="I53" s="588"/>
      <c r="J53" s="588"/>
      <c r="P53" s="579" t="s">
        <v>465</v>
      </c>
      <c r="Q53" s="579"/>
      <c r="R53" s="579"/>
      <c r="S53" s="579" t="s">
        <v>466</v>
      </c>
      <c r="T53" s="579"/>
      <c r="U53" s="579"/>
      <c r="V53" s="579"/>
      <c r="W53" s="579"/>
      <c r="X53" s="579"/>
      <c r="Y53" s="579"/>
    </row>
    <row r="54" spans="1:29">
      <c r="A54" s="579" t="s">
        <v>410</v>
      </c>
      <c r="B54" s="579" t="s">
        <v>467</v>
      </c>
      <c r="C54" s="579" t="s">
        <v>468</v>
      </c>
      <c r="D54" s="579" t="s">
        <v>411</v>
      </c>
      <c r="E54" s="579" t="s">
        <v>467</v>
      </c>
      <c r="F54" s="579" t="s">
        <v>468</v>
      </c>
      <c r="G54" s="579" t="s">
        <v>411</v>
      </c>
      <c r="H54" s="579" t="s">
        <v>469</v>
      </c>
      <c r="I54" s="588"/>
      <c r="J54" s="588"/>
      <c r="P54" s="579" t="s">
        <v>410</v>
      </c>
      <c r="Q54" s="579" t="s">
        <v>467</v>
      </c>
      <c r="R54" s="579" t="s">
        <v>468</v>
      </c>
      <c r="S54" s="579" t="s">
        <v>411</v>
      </c>
      <c r="T54" s="579" t="s">
        <v>467</v>
      </c>
      <c r="U54" s="579" t="s">
        <v>468</v>
      </c>
      <c r="V54" s="579" t="s">
        <v>411</v>
      </c>
      <c r="W54" s="579" t="s">
        <v>469</v>
      </c>
      <c r="X54" s="579"/>
      <c r="Y54" s="579"/>
    </row>
    <row r="55" spans="1:29" ht="15" customHeight="1">
      <c r="A55" s="590"/>
      <c r="B55" s="590"/>
      <c r="C55" s="590"/>
      <c r="D55" s="590"/>
      <c r="E55" s="590"/>
      <c r="F55" s="590"/>
      <c r="G55" s="590"/>
      <c r="H55" s="590"/>
      <c r="P55" s="88"/>
      <c r="Q55" s="88"/>
      <c r="R55" s="88"/>
      <c r="S55" s="88"/>
      <c r="T55" s="88"/>
      <c r="U55" s="88"/>
      <c r="V55" s="88"/>
      <c r="W55" s="88"/>
      <c r="X55" s="88"/>
      <c r="Y55" s="88"/>
    </row>
    <row r="56" spans="1:29">
      <c r="A56" s="590"/>
      <c r="B56" s="590"/>
      <c r="C56" s="590"/>
      <c r="D56" s="594"/>
      <c r="E56" s="590"/>
      <c r="F56" s="590"/>
      <c r="G56" s="594"/>
      <c r="H56" s="594"/>
      <c r="P56" s="88"/>
      <c r="Q56" s="88"/>
      <c r="R56" s="88"/>
      <c r="S56" s="338"/>
      <c r="T56" s="88"/>
      <c r="U56" s="88"/>
      <c r="V56" s="338"/>
      <c r="W56" s="338"/>
      <c r="X56" s="88"/>
      <c r="Y56" s="88"/>
    </row>
    <row r="57" spans="1:29" ht="15" customHeight="1">
      <c r="A57" s="590"/>
      <c r="B57" s="590"/>
      <c r="C57" s="590"/>
      <c r="D57" s="590"/>
      <c r="E57" s="590"/>
      <c r="F57" s="590"/>
      <c r="G57" s="590"/>
      <c r="H57" s="590"/>
      <c r="P57" s="88"/>
      <c r="Q57" s="88"/>
      <c r="R57" s="88"/>
      <c r="S57" s="88"/>
      <c r="T57" s="88"/>
      <c r="U57" s="88"/>
      <c r="V57" s="88"/>
      <c r="W57" s="88"/>
      <c r="X57" s="88"/>
      <c r="Y57" s="88"/>
    </row>
    <row r="58" spans="1:29">
      <c r="A58" s="590"/>
      <c r="B58" s="590"/>
      <c r="C58" s="590"/>
      <c r="D58" s="594"/>
      <c r="E58" s="590"/>
      <c r="F58" s="590"/>
      <c r="G58" s="594"/>
      <c r="H58" s="594"/>
      <c r="P58" s="88"/>
      <c r="Q58" s="88"/>
      <c r="R58" s="88"/>
      <c r="S58" s="338"/>
      <c r="T58" s="88"/>
      <c r="U58" s="88"/>
      <c r="V58" s="338"/>
      <c r="W58" s="338"/>
      <c r="X58" s="88"/>
      <c r="Y58" s="88"/>
    </row>
    <row r="59" spans="1:29" ht="15" customHeight="1">
      <c r="A59" s="590"/>
      <c r="B59" s="590"/>
      <c r="C59" s="590"/>
      <c r="D59" s="590"/>
      <c r="E59" s="590"/>
      <c r="F59" s="590"/>
      <c r="G59" s="590"/>
      <c r="H59" s="590"/>
      <c r="P59" s="88"/>
      <c r="Q59" s="88"/>
      <c r="R59" s="88"/>
      <c r="S59" s="88"/>
      <c r="T59" s="88"/>
      <c r="U59" s="88"/>
      <c r="V59" s="88"/>
      <c r="W59" s="88"/>
      <c r="X59" s="88"/>
      <c r="Y59" s="88"/>
    </row>
    <row r="60" spans="1:29">
      <c r="A60" s="590"/>
      <c r="B60" s="595"/>
      <c r="C60" s="590"/>
      <c r="D60" s="594"/>
      <c r="E60" s="595"/>
      <c r="F60" s="590"/>
      <c r="G60" s="594"/>
      <c r="H60" s="594"/>
      <c r="P60" s="88"/>
      <c r="Q60" s="340"/>
      <c r="R60" s="88"/>
      <c r="S60" s="338"/>
      <c r="T60" s="340"/>
      <c r="U60" s="88"/>
      <c r="V60" s="338"/>
      <c r="W60" s="338"/>
      <c r="X60" s="88"/>
      <c r="Y60" s="88"/>
    </row>
    <row r="61" spans="1:29">
      <c r="A61" s="590"/>
      <c r="B61" s="590"/>
      <c r="C61" s="590"/>
      <c r="D61" s="594"/>
      <c r="E61" s="590"/>
      <c r="F61" s="590"/>
      <c r="G61" s="594"/>
      <c r="H61" s="594"/>
      <c r="P61" s="88"/>
      <c r="Q61" s="88"/>
      <c r="R61" s="88"/>
      <c r="S61" s="338"/>
      <c r="T61" s="88"/>
      <c r="U61" s="88"/>
      <c r="V61" s="338"/>
      <c r="W61" s="338"/>
      <c r="X61" s="88"/>
      <c r="Y61" s="88"/>
    </row>
    <row r="62" spans="1:29">
      <c r="A62" s="590"/>
      <c r="B62" s="595"/>
      <c r="C62" s="590"/>
      <c r="D62" s="594"/>
      <c r="E62" s="595"/>
      <c r="F62" s="590"/>
      <c r="G62" s="594"/>
      <c r="H62" s="594"/>
      <c r="P62" s="88"/>
      <c r="Q62" s="340"/>
      <c r="R62" s="88"/>
      <c r="S62" s="338"/>
      <c r="T62" s="340"/>
      <c r="U62" s="88"/>
      <c r="V62" s="338"/>
      <c r="W62" s="338"/>
      <c r="X62" s="88"/>
      <c r="Y62" s="88"/>
    </row>
    <row r="63" spans="1:29">
      <c r="A63" s="590"/>
      <c r="B63" s="590"/>
      <c r="C63" s="590"/>
      <c r="D63" s="594"/>
      <c r="E63" s="590"/>
      <c r="F63" s="590"/>
      <c r="G63" s="594"/>
      <c r="H63" s="594"/>
      <c r="P63" s="88"/>
      <c r="Q63" s="88"/>
      <c r="R63" s="88"/>
      <c r="S63" s="338"/>
      <c r="T63" s="88"/>
      <c r="U63" s="88"/>
      <c r="V63" s="338"/>
      <c r="W63" s="338"/>
      <c r="X63" s="88"/>
      <c r="Y63" s="88"/>
    </row>
    <row r="64" spans="1:29" ht="15" customHeight="1">
      <c r="A64" s="590"/>
      <c r="B64" s="590"/>
      <c r="C64" s="590"/>
      <c r="D64" s="590"/>
      <c r="E64" s="590"/>
      <c r="F64" s="590"/>
      <c r="G64" s="590"/>
      <c r="H64" s="590"/>
      <c r="P64" s="88"/>
      <c r="Q64" s="88"/>
      <c r="R64" s="88"/>
      <c r="S64" s="88"/>
      <c r="T64" s="88"/>
      <c r="U64" s="88"/>
      <c r="V64" s="88"/>
      <c r="W64" s="88"/>
      <c r="X64" s="88"/>
      <c r="Y64" s="88"/>
    </row>
    <row r="65" spans="1:25">
      <c r="A65" s="590"/>
      <c r="B65" s="595"/>
      <c r="C65" s="590"/>
      <c r="D65" s="594"/>
      <c r="E65" s="595"/>
      <c r="F65" s="590"/>
      <c r="G65" s="594"/>
      <c r="H65" s="594"/>
      <c r="P65" s="88"/>
      <c r="Q65" s="340"/>
      <c r="R65" s="88"/>
      <c r="S65" s="338"/>
      <c r="T65" s="340"/>
      <c r="U65" s="88"/>
      <c r="V65" s="338"/>
      <c r="W65" s="338"/>
      <c r="X65" s="88"/>
      <c r="Y65" s="88"/>
    </row>
    <row r="66" spans="1:25" ht="15" customHeight="1">
      <c r="A66" s="590"/>
      <c r="B66" s="590"/>
      <c r="C66" s="590"/>
      <c r="D66" s="590"/>
      <c r="E66" s="590"/>
      <c r="F66" s="590"/>
      <c r="G66" s="590"/>
      <c r="H66" s="590"/>
      <c r="P66" s="88"/>
      <c r="Q66" s="88"/>
      <c r="R66" s="88"/>
      <c r="S66" s="88"/>
      <c r="T66" s="88"/>
      <c r="U66" s="88"/>
      <c r="V66" s="88"/>
      <c r="W66" s="88"/>
      <c r="X66" s="88"/>
      <c r="Y66" s="88"/>
    </row>
    <row r="67" spans="1:25">
      <c r="A67" s="590"/>
      <c r="B67" s="590"/>
      <c r="C67" s="590"/>
      <c r="D67" s="594"/>
      <c r="E67" s="590"/>
      <c r="F67" s="590"/>
      <c r="G67" s="594"/>
      <c r="H67" s="594"/>
      <c r="P67" s="88"/>
      <c r="Q67" s="88"/>
      <c r="R67" s="88"/>
      <c r="S67" s="338"/>
      <c r="T67" s="88"/>
      <c r="U67" s="88"/>
      <c r="V67" s="338"/>
      <c r="W67" s="338"/>
      <c r="X67" s="88"/>
      <c r="Y67" s="88"/>
    </row>
    <row r="68" spans="1:25">
      <c r="A68" s="590"/>
      <c r="B68" s="590"/>
      <c r="C68" s="590"/>
      <c r="D68" s="594"/>
      <c r="E68" s="590"/>
      <c r="F68" s="590"/>
      <c r="G68" s="594"/>
      <c r="H68" s="594"/>
      <c r="P68" s="88"/>
      <c r="Q68" s="88"/>
      <c r="R68" s="88"/>
      <c r="S68" s="338"/>
      <c r="T68" s="88"/>
      <c r="U68" s="88"/>
      <c r="V68" s="338"/>
      <c r="W68" s="338"/>
      <c r="X68" s="88"/>
      <c r="Y68" s="88"/>
    </row>
    <row r="69" spans="1:25">
      <c r="A69" s="590"/>
      <c r="B69" s="590"/>
      <c r="C69" s="590"/>
      <c r="D69" s="594"/>
      <c r="E69" s="590"/>
      <c r="F69" s="590"/>
      <c r="G69" s="594"/>
      <c r="H69" s="594"/>
      <c r="P69" s="88"/>
      <c r="Q69" s="88"/>
      <c r="R69" s="88"/>
      <c r="S69" s="338"/>
      <c r="T69" s="88"/>
      <c r="U69" s="88"/>
      <c r="V69" s="338"/>
      <c r="W69" s="338"/>
      <c r="X69" s="88"/>
      <c r="Y69" s="88"/>
    </row>
    <row r="70" spans="1:25" ht="15" customHeight="1">
      <c r="A70" s="590"/>
      <c r="B70" s="590"/>
      <c r="C70" s="590"/>
      <c r="D70" s="590"/>
      <c r="E70" s="590"/>
      <c r="F70" s="590"/>
      <c r="G70" s="590"/>
      <c r="H70" s="590"/>
      <c r="P70" s="88"/>
      <c r="Q70" s="88"/>
      <c r="R70" s="88"/>
      <c r="S70" s="88"/>
      <c r="T70" s="88"/>
      <c r="U70" s="88"/>
      <c r="V70" s="88"/>
      <c r="W70" s="88"/>
      <c r="X70" s="88"/>
      <c r="Y70" s="88"/>
    </row>
    <row r="71" spans="1:25">
      <c r="A71" s="590"/>
      <c r="B71" s="595"/>
      <c r="C71" s="590"/>
      <c r="D71" s="594"/>
      <c r="E71" s="595"/>
      <c r="F71" s="590"/>
      <c r="G71" s="594"/>
      <c r="H71" s="594"/>
      <c r="P71" s="88"/>
      <c r="Q71" s="340"/>
      <c r="R71" s="88"/>
      <c r="S71" s="338"/>
      <c r="T71" s="340"/>
      <c r="U71" s="88"/>
      <c r="V71" s="338"/>
      <c r="W71" s="338"/>
      <c r="X71" s="88"/>
      <c r="Y71" s="88"/>
    </row>
    <row r="72" spans="1:25">
      <c r="A72" s="590"/>
      <c r="B72" s="595"/>
      <c r="C72" s="590"/>
      <c r="D72" s="594"/>
      <c r="E72" s="595"/>
      <c r="F72" s="590"/>
      <c r="G72" s="594"/>
      <c r="H72" s="594"/>
      <c r="P72" s="88"/>
      <c r="Q72" s="340"/>
      <c r="R72" s="88"/>
      <c r="S72" s="338"/>
      <c r="T72" s="340"/>
      <c r="U72" s="88"/>
      <c r="V72" s="338"/>
      <c r="W72" s="338"/>
      <c r="X72" s="88"/>
      <c r="Y72" s="88"/>
    </row>
    <row r="73" spans="1:25">
      <c r="A73" s="590"/>
      <c r="B73" s="595"/>
      <c r="C73" s="590"/>
      <c r="D73" s="594"/>
      <c r="E73" s="595"/>
      <c r="F73" s="590"/>
      <c r="G73" s="594"/>
      <c r="H73" s="594"/>
      <c r="P73" s="88"/>
      <c r="Q73" s="340"/>
      <c r="R73" s="88"/>
      <c r="S73" s="338"/>
      <c r="T73" s="340"/>
      <c r="U73" s="88"/>
      <c r="V73" s="338"/>
      <c r="W73" s="338"/>
      <c r="X73" s="88"/>
      <c r="Y73" s="88"/>
    </row>
    <row r="74" spans="1:25" ht="15" customHeight="1">
      <c r="A74" s="590"/>
      <c r="B74" s="590"/>
      <c r="C74" s="590"/>
      <c r="D74" s="590"/>
      <c r="E74" s="590"/>
      <c r="F74" s="590"/>
      <c r="G74" s="590"/>
      <c r="H74" s="590"/>
      <c r="P74" s="88"/>
      <c r="Q74" s="88"/>
      <c r="R74" s="88"/>
      <c r="S74" s="88"/>
      <c r="T74" s="88"/>
      <c r="U74" s="88"/>
      <c r="V74" s="88"/>
      <c r="W74" s="88"/>
      <c r="X74" s="88"/>
      <c r="Y74" s="88"/>
    </row>
    <row r="75" spans="1:25">
      <c r="A75" s="590"/>
      <c r="B75" s="595"/>
      <c r="C75" s="590"/>
      <c r="D75" s="594"/>
      <c r="E75" s="595"/>
      <c r="F75" s="590"/>
      <c r="G75" s="594"/>
      <c r="H75" s="594"/>
      <c r="P75" s="88"/>
      <c r="Q75" s="340"/>
      <c r="R75" s="88"/>
      <c r="S75" s="338"/>
      <c r="T75" s="340"/>
      <c r="U75" s="88"/>
      <c r="V75" s="338"/>
      <c r="W75" s="338"/>
      <c r="X75" s="88"/>
      <c r="Y75" s="88"/>
    </row>
    <row r="76" spans="1:25" ht="15" customHeight="1">
      <c r="A76" s="590"/>
      <c r="B76" s="590"/>
      <c r="C76" s="590"/>
      <c r="D76" s="590"/>
      <c r="E76" s="590"/>
      <c r="F76" s="590"/>
      <c r="G76" s="590"/>
      <c r="H76" s="590"/>
      <c r="P76" s="88"/>
      <c r="Q76" s="88"/>
      <c r="R76" s="88"/>
      <c r="S76" s="88"/>
      <c r="T76" s="88"/>
      <c r="U76" s="88"/>
      <c r="V76" s="88"/>
      <c r="W76" s="88"/>
      <c r="X76" s="88"/>
      <c r="Y76" s="88"/>
    </row>
    <row r="77" spans="1:25">
      <c r="A77" s="590"/>
      <c r="B77" s="595"/>
      <c r="C77" s="590"/>
      <c r="D77" s="594"/>
      <c r="E77" s="595"/>
      <c r="F77" s="590"/>
      <c r="G77" s="594"/>
      <c r="H77" s="594"/>
      <c r="P77" s="88"/>
      <c r="Q77" s="340"/>
      <c r="R77" s="88"/>
      <c r="S77" s="338"/>
      <c r="T77" s="340"/>
      <c r="U77" s="88"/>
      <c r="V77" s="338"/>
      <c r="W77" s="338"/>
      <c r="X77" s="88"/>
      <c r="Y77" s="88"/>
    </row>
  </sheetData>
  <mergeCells count="19">
    <mergeCell ref="P52:Y52"/>
    <mergeCell ref="A42:J42"/>
    <mergeCell ref="P42:AC42"/>
    <mergeCell ref="A51:H51"/>
    <mergeCell ref="A52:J52"/>
    <mergeCell ref="P51:W51"/>
    <mergeCell ref="A41:H41"/>
    <mergeCell ref="P41:W41"/>
    <mergeCell ref="A3:H3"/>
    <mergeCell ref="A26:H26"/>
    <mergeCell ref="P3:W3"/>
    <mergeCell ref="P26:W26"/>
    <mergeCell ref="P27:W27"/>
    <mergeCell ref="AA28:AH28"/>
    <mergeCell ref="P28:Y28"/>
    <mergeCell ref="Z3:AI3"/>
    <mergeCell ref="A1:AI1"/>
    <mergeCell ref="B27:H27"/>
    <mergeCell ref="A28:H28"/>
  </mergeCells>
  <pageMargins left="0.7" right="0.7" top="0.75" bottom="0.75" header="0.3" footer="0.3"/>
  <pageSetup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B9"/>
  <sheetViews>
    <sheetView showGridLines="0" workbookViewId="0">
      <selection activeCell="P26" sqref="P26"/>
    </sheetView>
  </sheetViews>
  <sheetFormatPr defaultRowHeight="12.75"/>
  <cols>
    <col min="1" max="1" width="14.7109375" style="2" customWidth="1"/>
    <col min="2" max="2" width="25.85546875" style="2" bestFit="1" customWidth="1"/>
    <col min="3" max="16384" width="9.140625" style="2"/>
  </cols>
  <sheetData>
    <row r="1" spans="1:2">
      <c r="A1" s="845" t="s">
        <v>12</v>
      </c>
      <c r="B1" s="845"/>
    </row>
    <row r="2" spans="1:2">
      <c r="A2" s="1"/>
    </row>
    <row r="3" spans="1:2">
      <c r="A3" s="3" t="s">
        <v>1</v>
      </c>
      <c r="B3" s="4" t="s">
        <v>4</v>
      </c>
    </row>
    <row r="4" spans="1:2">
      <c r="A4" s="5" t="s">
        <v>14</v>
      </c>
      <c r="B4" s="4" t="s">
        <v>15</v>
      </c>
    </row>
    <row r="5" spans="1:2">
      <c r="A5" s="6" t="s">
        <v>2</v>
      </c>
      <c r="B5" s="4" t="s">
        <v>5</v>
      </c>
    </row>
    <row r="6" spans="1:2">
      <c r="A6" s="7" t="s">
        <v>8</v>
      </c>
      <c r="B6" s="4" t="s">
        <v>9</v>
      </c>
    </row>
    <row r="7" spans="1:2">
      <c r="A7" s="8" t="s">
        <v>6</v>
      </c>
      <c r="B7" s="4" t="s">
        <v>10</v>
      </c>
    </row>
    <row r="8" spans="1:2">
      <c r="A8" s="9" t="s">
        <v>7</v>
      </c>
      <c r="B8" s="4" t="s">
        <v>11</v>
      </c>
    </row>
    <row r="9" spans="1:2">
      <c r="A9" s="10" t="s">
        <v>3</v>
      </c>
      <c r="B9" s="4" t="s">
        <v>13</v>
      </c>
    </row>
  </sheetData>
  <mergeCells count="1">
    <mergeCell ref="A1:B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Q64"/>
  <sheetViews>
    <sheetView workbookViewId="0">
      <selection activeCell="G32" sqref="G32"/>
    </sheetView>
  </sheetViews>
  <sheetFormatPr defaultRowHeight="15"/>
  <cols>
    <col min="1" max="1" width="53.5703125" bestFit="1" customWidth="1"/>
    <col min="7" max="7" width="53.5703125" bestFit="1" customWidth="1"/>
  </cols>
  <sheetData>
    <row r="1" spans="1:11">
      <c r="A1" s="721" t="s">
        <v>385</v>
      </c>
      <c r="B1" s="721"/>
    </row>
    <row r="2" spans="1:11">
      <c r="A2" s="728" t="s">
        <v>362</v>
      </c>
      <c r="B2" s="728"/>
      <c r="C2" s="728"/>
      <c r="D2" s="728"/>
      <c r="E2" s="728"/>
      <c r="F2" s="397"/>
      <c r="G2" s="726" t="s">
        <v>366</v>
      </c>
      <c r="H2" s="728"/>
      <c r="I2" s="728"/>
      <c r="J2" s="728"/>
      <c r="K2" s="728"/>
    </row>
    <row r="3" spans="1:11" ht="38.25">
      <c r="A3" s="681" t="s">
        <v>36</v>
      </c>
      <c r="B3" s="681" t="s">
        <v>380</v>
      </c>
      <c r="C3" s="681" t="s">
        <v>23</v>
      </c>
      <c r="D3" s="681" t="s">
        <v>22</v>
      </c>
      <c r="E3" s="681" t="s">
        <v>21</v>
      </c>
      <c r="G3" s="681" t="s">
        <v>36</v>
      </c>
      <c r="H3" s="681" t="s">
        <v>380</v>
      </c>
      <c r="I3" s="681" t="s">
        <v>23</v>
      </c>
      <c r="J3" s="681" t="s">
        <v>22</v>
      </c>
      <c r="K3" s="681" t="s">
        <v>21</v>
      </c>
    </row>
    <row r="4" spans="1:11">
      <c r="A4" s="367"/>
      <c r="B4" s="367"/>
      <c r="C4" s="565"/>
      <c r="D4" s="565"/>
      <c r="E4" s="368"/>
      <c r="G4" s="367" t="s">
        <v>284</v>
      </c>
      <c r="H4" s="367"/>
      <c r="I4" s="565"/>
      <c r="J4" s="565"/>
      <c r="K4" s="368"/>
    </row>
    <row r="5" spans="1:11">
      <c r="A5" s="367"/>
      <c r="B5" s="367"/>
      <c r="C5" s="565"/>
      <c r="D5" s="565"/>
      <c r="E5" s="368"/>
      <c r="G5" s="367" t="s">
        <v>37</v>
      </c>
      <c r="H5" s="367"/>
      <c r="I5" s="565"/>
      <c r="J5" s="565"/>
      <c r="K5" s="368"/>
    </row>
    <row r="6" spans="1:11">
      <c r="A6" s="370"/>
      <c r="B6" s="367"/>
      <c r="C6" s="369"/>
      <c r="D6" s="369"/>
      <c r="E6" s="368"/>
      <c r="G6" s="367" t="s">
        <v>38</v>
      </c>
      <c r="H6" s="367"/>
      <c r="I6" s="369"/>
      <c r="J6" s="369"/>
      <c r="K6" s="368"/>
    </row>
    <row r="7" spans="1:11">
      <c r="A7" s="370"/>
      <c r="B7" s="367"/>
      <c r="C7" s="369"/>
      <c r="D7" s="369"/>
      <c r="E7" s="368"/>
      <c r="G7" s="370" t="s">
        <v>73</v>
      </c>
      <c r="H7" s="367"/>
      <c r="I7" s="369"/>
      <c r="J7" s="369"/>
      <c r="K7" s="368"/>
    </row>
    <row r="8" spans="1:11">
      <c r="A8" s="370"/>
      <c r="B8" s="367"/>
      <c r="C8" s="565"/>
      <c r="D8" s="565"/>
      <c r="E8" s="368"/>
      <c r="G8" s="370" t="s">
        <v>74</v>
      </c>
      <c r="H8" s="367"/>
      <c r="I8" s="565"/>
      <c r="J8" s="565"/>
      <c r="K8" s="368"/>
    </row>
    <row r="9" spans="1:11">
      <c r="A9" s="370"/>
      <c r="B9" s="367"/>
      <c r="C9" s="565"/>
      <c r="D9" s="565"/>
      <c r="E9" s="368"/>
      <c r="G9" s="370" t="s">
        <v>75</v>
      </c>
      <c r="H9" s="367"/>
      <c r="I9" s="565"/>
      <c r="J9" s="565"/>
      <c r="K9" s="368"/>
    </row>
    <row r="10" spans="1:11">
      <c r="A10" s="370"/>
      <c r="B10" s="367"/>
      <c r="C10" s="565"/>
      <c r="D10" s="565"/>
      <c r="E10" s="368"/>
      <c r="G10" s="370" t="s">
        <v>381</v>
      </c>
      <c r="H10" s="367"/>
      <c r="I10" s="565"/>
      <c r="J10" s="565"/>
      <c r="K10" s="368"/>
    </row>
    <row r="11" spans="1:11">
      <c r="A11" s="367"/>
      <c r="B11" s="367"/>
      <c r="C11" s="565"/>
      <c r="D11" s="565"/>
      <c r="E11" s="368"/>
      <c r="G11" s="367" t="s">
        <v>39</v>
      </c>
      <c r="H11" s="367"/>
      <c r="I11" s="565"/>
      <c r="J11" s="565"/>
      <c r="K11" s="368"/>
    </row>
    <row r="12" spans="1:11">
      <c r="A12" s="367"/>
      <c r="B12" s="367"/>
      <c r="C12" s="565"/>
      <c r="D12" s="565"/>
      <c r="E12" s="368"/>
      <c r="G12" s="367" t="s">
        <v>40</v>
      </c>
      <c r="H12" s="367"/>
      <c r="I12" s="565"/>
      <c r="J12" s="565"/>
      <c r="K12" s="368"/>
    </row>
    <row r="13" spans="1:11">
      <c r="A13" s="367"/>
      <c r="B13" s="367"/>
      <c r="C13" s="565"/>
      <c r="D13" s="565"/>
      <c r="E13" s="368"/>
      <c r="G13" s="367" t="s">
        <v>41</v>
      </c>
      <c r="H13" s="367"/>
      <c r="I13" s="565"/>
      <c r="J13" s="565"/>
      <c r="K13" s="368"/>
    </row>
    <row r="14" spans="1:11">
      <c r="A14" s="367"/>
      <c r="B14" s="367"/>
      <c r="C14" s="565"/>
      <c r="D14" s="565"/>
      <c r="E14" s="368"/>
      <c r="G14" s="367" t="s">
        <v>42</v>
      </c>
      <c r="H14" s="367"/>
      <c r="I14" s="565"/>
      <c r="J14" s="565"/>
      <c r="K14" s="368"/>
    </row>
    <row r="15" spans="1:11">
      <c r="A15" s="370"/>
      <c r="B15" s="367"/>
      <c r="C15" s="367"/>
      <c r="D15" s="367"/>
      <c r="E15" s="368"/>
      <c r="G15" s="367" t="s">
        <v>574</v>
      </c>
      <c r="H15" s="367"/>
      <c r="I15" s="367"/>
      <c r="J15" s="367"/>
      <c r="K15" s="368"/>
    </row>
    <row r="16" spans="1:11">
      <c r="A16" s="370"/>
      <c r="B16" s="367"/>
      <c r="C16" s="367"/>
      <c r="D16" s="367"/>
      <c r="E16" s="368"/>
      <c r="G16" s="370" t="s">
        <v>43</v>
      </c>
      <c r="H16" s="367"/>
      <c r="I16" s="367"/>
      <c r="J16" s="367"/>
      <c r="K16" s="368"/>
    </row>
    <row r="17" spans="1:11">
      <c r="A17" s="367"/>
      <c r="B17" s="367"/>
      <c r="C17" s="369"/>
      <c r="D17" s="369"/>
      <c r="E17" s="368"/>
      <c r="G17" s="370" t="s">
        <v>76</v>
      </c>
      <c r="H17" s="367"/>
      <c r="I17" s="369"/>
      <c r="J17" s="369"/>
      <c r="K17" s="368"/>
    </row>
    <row r="18" spans="1:11">
      <c r="A18" s="367"/>
      <c r="B18" s="367"/>
      <c r="C18" s="369"/>
      <c r="D18" s="369"/>
      <c r="E18" s="368"/>
      <c r="G18" s="367" t="s">
        <v>77</v>
      </c>
      <c r="H18" s="367"/>
      <c r="I18" s="369"/>
      <c r="J18" s="369"/>
      <c r="K18" s="368"/>
    </row>
    <row r="19" spans="1:11">
      <c r="A19" s="367"/>
      <c r="B19" s="367"/>
      <c r="C19" s="565"/>
      <c r="D19" s="565"/>
      <c r="E19" s="368"/>
      <c r="G19" s="367" t="s">
        <v>45</v>
      </c>
      <c r="H19" s="367"/>
      <c r="I19" s="565"/>
      <c r="J19" s="565"/>
      <c r="K19" s="368"/>
    </row>
    <row r="20" spans="1:11">
      <c r="A20" s="370"/>
      <c r="B20" s="367"/>
      <c r="C20" s="565"/>
      <c r="D20" s="565"/>
      <c r="E20" s="368"/>
      <c r="G20" s="370" t="s">
        <v>46</v>
      </c>
      <c r="H20" s="367"/>
      <c r="I20" s="565"/>
      <c r="J20" s="565"/>
      <c r="K20" s="368"/>
    </row>
    <row r="21" spans="1:11">
      <c r="A21" s="370"/>
      <c r="B21" s="367"/>
      <c r="C21" s="565"/>
      <c r="D21" s="565"/>
      <c r="E21" s="368"/>
      <c r="G21" s="370" t="s">
        <v>78</v>
      </c>
      <c r="H21" s="367"/>
      <c r="I21" s="565"/>
      <c r="J21" s="565"/>
      <c r="K21" s="368"/>
    </row>
    <row r="22" spans="1:11">
      <c r="A22" s="370"/>
      <c r="B22" s="367"/>
      <c r="C22" s="367"/>
      <c r="D22" s="367"/>
      <c r="E22" s="368"/>
      <c r="G22" s="370" t="s">
        <v>79</v>
      </c>
      <c r="H22" s="367"/>
      <c r="I22" s="367"/>
      <c r="J22" s="367"/>
      <c r="K22" s="368"/>
    </row>
    <row r="23" spans="1:11">
      <c r="A23" s="370"/>
      <c r="B23" s="367"/>
      <c r="C23" s="367"/>
      <c r="D23" s="367"/>
      <c r="E23" s="368"/>
      <c r="G23" s="370" t="s">
        <v>80</v>
      </c>
      <c r="H23" s="367"/>
      <c r="I23" s="367"/>
      <c r="J23" s="367"/>
      <c r="K23" s="368"/>
    </row>
    <row r="24" spans="1:11">
      <c r="A24" s="370"/>
      <c r="B24" s="367"/>
      <c r="C24" s="367"/>
      <c r="D24" s="367"/>
      <c r="E24" s="368"/>
      <c r="G24" s="370" t="s">
        <v>269</v>
      </c>
      <c r="H24" s="367"/>
      <c r="I24" s="367"/>
      <c r="J24" s="367"/>
      <c r="K24" s="368"/>
    </row>
    <row r="25" spans="1:11">
      <c r="A25" s="367"/>
      <c r="B25" s="367"/>
      <c r="C25" s="369"/>
      <c r="D25" s="369"/>
      <c r="E25" s="368"/>
      <c r="G25" s="367" t="s">
        <v>47</v>
      </c>
      <c r="H25" s="367"/>
      <c r="I25" s="369"/>
      <c r="J25" s="369"/>
      <c r="K25" s="368"/>
    </row>
    <row r="26" spans="1:11">
      <c r="A26" s="367"/>
      <c r="B26" s="367"/>
      <c r="C26" s="565"/>
      <c r="D26" s="565"/>
      <c r="E26" s="368"/>
      <c r="G26" s="367" t="s">
        <v>48</v>
      </c>
      <c r="H26" s="367"/>
      <c r="I26" s="565"/>
      <c r="J26" s="565"/>
      <c r="K26" s="368"/>
    </row>
    <row r="27" spans="1:11">
      <c r="A27" s="367"/>
      <c r="B27" s="367"/>
      <c r="C27" s="565"/>
      <c r="D27" s="565"/>
      <c r="E27" s="368"/>
      <c r="G27" s="367" t="s">
        <v>49</v>
      </c>
      <c r="H27" s="367"/>
      <c r="I27" s="565"/>
      <c r="J27" s="565"/>
      <c r="K27" s="368"/>
    </row>
    <row r="28" spans="1:11">
      <c r="A28" s="367"/>
      <c r="B28" s="367"/>
      <c r="C28" s="367"/>
      <c r="D28" s="367"/>
      <c r="E28" s="368"/>
      <c r="G28" s="367" t="s">
        <v>50</v>
      </c>
      <c r="H28" s="367"/>
      <c r="I28" s="367"/>
      <c r="J28" s="367"/>
      <c r="K28" s="368"/>
    </row>
    <row r="29" spans="1:11">
      <c r="A29" s="367"/>
      <c r="B29" s="367"/>
      <c r="C29" s="367"/>
      <c r="D29" s="367"/>
      <c r="E29" s="368"/>
      <c r="G29" s="367" t="s">
        <v>382</v>
      </c>
      <c r="H29" s="367"/>
      <c r="I29" s="367"/>
      <c r="J29" s="367"/>
      <c r="K29" s="368"/>
    </row>
    <row r="30" spans="1:11">
      <c r="K30" s="564"/>
    </row>
    <row r="31" spans="1:11">
      <c r="A31" s="724" t="s">
        <v>363</v>
      </c>
      <c r="B31" s="725"/>
      <c r="C31" s="725"/>
      <c r="D31" s="726"/>
      <c r="F31" s="339"/>
      <c r="G31" s="339"/>
      <c r="H31" s="339"/>
      <c r="I31" s="339"/>
    </row>
    <row r="32" spans="1:11" ht="38.25">
      <c r="A32" s="690" t="s">
        <v>36</v>
      </c>
      <c r="B32" s="690" t="s">
        <v>23</v>
      </c>
      <c r="C32" s="690" t="s">
        <v>22</v>
      </c>
      <c r="D32" s="690" t="s">
        <v>29</v>
      </c>
    </row>
    <row r="33" spans="1:17">
      <c r="A33" s="367" t="s">
        <v>284</v>
      </c>
      <c r="B33" s="374">
        <f>IF(C4=0,0%,(I4-C4)/C4)</f>
        <v>0</v>
      </c>
      <c r="C33" s="374">
        <f>IF(D4=0,0%,(J4-D4)/D4)</f>
        <v>0</v>
      </c>
      <c r="D33" s="207" t="str">
        <f>IF(AND(B33&lt;=10%,C33&lt;=10%,B33&gt;=-10%,C33&gt;=-10%),"PASS","FAIL")</f>
        <v>PASS</v>
      </c>
      <c r="G33" s="683" t="s">
        <v>284</v>
      </c>
      <c r="H33" s="684" t="s">
        <v>35</v>
      </c>
      <c r="I33" s="685">
        <v>85444</v>
      </c>
      <c r="J33" s="685">
        <v>160962</v>
      </c>
      <c r="K33" s="688">
        <v>-0.46920000000000001</v>
      </c>
    </row>
    <row r="34" spans="1:17">
      <c r="A34" s="367" t="s">
        <v>37</v>
      </c>
      <c r="B34" s="374">
        <f t="shared" ref="B34:C58" si="0">IF(C5=0,0%,(I5-C5)/C5)</f>
        <v>0</v>
      </c>
      <c r="C34" s="374">
        <f t="shared" si="0"/>
        <v>0</v>
      </c>
      <c r="D34" s="207" t="str">
        <f t="shared" ref="D34:D58" si="1">IF(AND(B34&lt;=10%,C34&lt;=10%,B34&gt;=-10%,C34&gt;=-10%),"PASS","FAIL")</f>
        <v>PASS</v>
      </c>
      <c r="G34" s="683" t="s">
        <v>37</v>
      </c>
      <c r="H34" s="684" t="s">
        <v>657</v>
      </c>
      <c r="I34" s="686">
        <v>970</v>
      </c>
      <c r="J34" s="687">
        <v>2135</v>
      </c>
      <c r="K34" s="688">
        <v>-0.57210000000000005</v>
      </c>
      <c r="N34" s="689" t="s">
        <v>747</v>
      </c>
      <c r="Q34" s="689" t="s">
        <v>747</v>
      </c>
    </row>
    <row r="35" spans="1:17">
      <c r="A35" s="367" t="s">
        <v>38</v>
      </c>
      <c r="B35" s="374">
        <f t="shared" si="0"/>
        <v>0</v>
      </c>
      <c r="C35" s="374">
        <f t="shared" si="0"/>
        <v>0</v>
      </c>
      <c r="D35" s="207" t="str">
        <f t="shared" si="1"/>
        <v>PASS</v>
      </c>
      <c r="G35" s="683" t="s">
        <v>741</v>
      </c>
      <c r="H35" s="684" t="s">
        <v>657</v>
      </c>
      <c r="I35" s="686">
        <v>531</v>
      </c>
      <c r="J35" s="687">
        <v>1379</v>
      </c>
      <c r="K35" s="688">
        <v>-0.63729999999999998</v>
      </c>
    </row>
    <row r="36" spans="1:17">
      <c r="A36" s="370" t="s">
        <v>73</v>
      </c>
      <c r="B36" s="374">
        <f t="shared" si="0"/>
        <v>0</v>
      </c>
      <c r="C36" s="374">
        <f t="shared" si="0"/>
        <v>0</v>
      </c>
      <c r="D36" s="207" t="str">
        <f t="shared" si="1"/>
        <v>PASS</v>
      </c>
      <c r="G36" s="683" t="s">
        <v>38</v>
      </c>
      <c r="H36" s="684" t="s">
        <v>657</v>
      </c>
      <c r="I36" s="687">
        <v>22617</v>
      </c>
      <c r="J36" s="687">
        <v>56235</v>
      </c>
      <c r="K36" s="688">
        <v>-0.62119999999999997</v>
      </c>
    </row>
    <row r="37" spans="1:17">
      <c r="A37" s="370" t="s">
        <v>74</v>
      </c>
      <c r="B37" s="374">
        <f t="shared" si="0"/>
        <v>0</v>
      </c>
      <c r="C37" s="374">
        <f t="shared" si="0"/>
        <v>0</v>
      </c>
      <c r="D37" s="207" t="str">
        <f t="shared" si="1"/>
        <v>PASS</v>
      </c>
      <c r="G37" s="683" t="s">
        <v>73</v>
      </c>
      <c r="H37" s="684" t="s">
        <v>657</v>
      </c>
      <c r="I37" s="687">
        <v>19398</v>
      </c>
      <c r="J37" s="687">
        <v>48413</v>
      </c>
      <c r="K37" s="688">
        <v>-0.62260000000000004</v>
      </c>
    </row>
    <row r="38" spans="1:17">
      <c r="A38" s="370" t="s">
        <v>75</v>
      </c>
      <c r="B38" s="374">
        <f t="shared" si="0"/>
        <v>0</v>
      </c>
      <c r="C38" s="374">
        <f t="shared" si="0"/>
        <v>0</v>
      </c>
      <c r="D38" s="207" t="str">
        <f t="shared" si="1"/>
        <v>PASS</v>
      </c>
      <c r="G38" s="683" t="s">
        <v>74</v>
      </c>
      <c r="H38" s="684" t="s">
        <v>657</v>
      </c>
      <c r="I38" s="687">
        <v>2686</v>
      </c>
      <c r="J38" s="687">
        <v>6508</v>
      </c>
      <c r="K38" s="688">
        <v>-0.61129999999999995</v>
      </c>
    </row>
    <row r="39" spans="1:17">
      <c r="A39" s="370" t="s">
        <v>381</v>
      </c>
      <c r="B39" s="374">
        <f t="shared" si="0"/>
        <v>0</v>
      </c>
      <c r="C39" s="374">
        <f t="shared" si="0"/>
        <v>0</v>
      </c>
      <c r="D39" s="207" t="str">
        <f t="shared" si="1"/>
        <v>PASS</v>
      </c>
      <c r="G39" s="683" t="s">
        <v>75</v>
      </c>
      <c r="H39" s="684" t="s">
        <v>657</v>
      </c>
      <c r="I39" s="686">
        <v>0</v>
      </c>
      <c r="J39" s="686">
        <v>0</v>
      </c>
      <c r="K39" s="688">
        <v>0</v>
      </c>
    </row>
    <row r="40" spans="1:17">
      <c r="A40" s="367" t="s">
        <v>39</v>
      </c>
      <c r="B40" s="374">
        <f t="shared" si="0"/>
        <v>0</v>
      </c>
      <c r="C40" s="374">
        <f t="shared" si="0"/>
        <v>0</v>
      </c>
      <c r="D40" s="207" t="str">
        <f t="shared" si="1"/>
        <v>PASS</v>
      </c>
      <c r="G40" s="683" t="s">
        <v>381</v>
      </c>
      <c r="H40" s="684" t="s">
        <v>657</v>
      </c>
      <c r="I40" s="686">
        <v>533</v>
      </c>
      <c r="J40" s="687">
        <v>1314</v>
      </c>
      <c r="K40" s="688">
        <v>-0.6179</v>
      </c>
    </row>
    <row r="41" spans="1:17">
      <c r="A41" s="367" t="s">
        <v>40</v>
      </c>
      <c r="B41" s="374">
        <f t="shared" si="0"/>
        <v>0</v>
      </c>
      <c r="C41" s="374">
        <f t="shared" si="0"/>
        <v>0</v>
      </c>
      <c r="D41" s="207" t="str">
        <f t="shared" si="1"/>
        <v>PASS</v>
      </c>
      <c r="G41" s="683" t="s">
        <v>39</v>
      </c>
      <c r="H41" s="684" t="s">
        <v>657</v>
      </c>
      <c r="I41" s="687">
        <v>1290</v>
      </c>
      <c r="J41" s="687">
        <v>2860</v>
      </c>
      <c r="K41" s="688">
        <v>-0.57520000000000004</v>
      </c>
    </row>
    <row r="42" spans="1:17">
      <c r="A42" s="367" t="s">
        <v>41</v>
      </c>
      <c r="B42" s="374">
        <f t="shared" si="0"/>
        <v>0</v>
      </c>
      <c r="C42" s="374">
        <f t="shared" si="0"/>
        <v>0</v>
      </c>
      <c r="D42" s="207" t="str">
        <f t="shared" si="1"/>
        <v>PASS</v>
      </c>
      <c r="G42" s="683" t="s">
        <v>40</v>
      </c>
      <c r="H42" s="684" t="s">
        <v>658</v>
      </c>
      <c r="I42" s="687">
        <v>5806</v>
      </c>
      <c r="J42" s="687">
        <v>15355</v>
      </c>
      <c r="K42" s="688">
        <v>-0.64380000000000004</v>
      </c>
    </row>
    <row r="43" spans="1:17">
      <c r="A43" s="367" t="s">
        <v>42</v>
      </c>
      <c r="B43" s="374">
        <f t="shared" si="0"/>
        <v>0</v>
      </c>
      <c r="C43" s="374">
        <f t="shared" si="0"/>
        <v>0</v>
      </c>
      <c r="D43" s="207" t="str">
        <f t="shared" si="1"/>
        <v>PASS</v>
      </c>
      <c r="G43" s="683" t="s">
        <v>41</v>
      </c>
      <c r="H43" s="684" t="s">
        <v>658</v>
      </c>
      <c r="I43" s="686">
        <v>490</v>
      </c>
      <c r="J43" s="687">
        <v>1042</v>
      </c>
      <c r="K43" s="688">
        <v>-0.55710000000000004</v>
      </c>
    </row>
    <row r="44" spans="1:17">
      <c r="A44" s="367" t="s">
        <v>574</v>
      </c>
      <c r="B44" s="374">
        <f t="shared" si="0"/>
        <v>0</v>
      </c>
      <c r="C44" s="374">
        <f t="shared" si="0"/>
        <v>0</v>
      </c>
      <c r="D44" s="207" t="str">
        <f t="shared" si="1"/>
        <v>PASS</v>
      </c>
      <c r="G44" s="683" t="s">
        <v>42</v>
      </c>
      <c r="H44" s="684" t="s">
        <v>658</v>
      </c>
      <c r="I44" s="686">
        <v>856</v>
      </c>
      <c r="J44" s="687">
        <v>2009</v>
      </c>
      <c r="K44" s="688">
        <v>-0.59870000000000001</v>
      </c>
    </row>
    <row r="45" spans="1:17">
      <c r="A45" s="370" t="s">
        <v>43</v>
      </c>
      <c r="B45" s="374">
        <f t="shared" si="0"/>
        <v>0</v>
      </c>
      <c r="C45" s="374">
        <f t="shared" si="0"/>
        <v>0</v>
      </c>
      <c r="D45" s="207" t="str">
        <f t="shared" si="1"/>
        <v>PASS</v>
      </c>
      <c r="G45" s="683" t="s">
        <v>742</v>
      </c>
      <c r="H45" s="684" t="s">
        <v>658</v>
      </c>
      <c r="I45" s="686">
        <v>643</v>
      </c>
      <c r="J45" s="687">
        <v>1661</v>
      </c>
      <c r="K45" s="688">
        <v>-0.63539999999999996</v>
      </c>
    </row>
    <row r="46" spans="1:17">
      <c r="A46" s="370" t="s">
        <v>76</v>
      </c>
      <c r="B46" s="374">
        <f t="shared" si="0"/>
        <v>0</v>
      </c>
      <c r="C46" s="374">
        <f t="shared" si="0"/>
        <v>0</v>
      </c>
      <c r="D46" s="207" t="str">
        <f t="shared" si="1"/>
        <v>PASS</v>
      </c>
      <c r="G46" s="683" t="s">
        <v>743</v>
      </c>
      <c r="H46" s="684" t="s">
        <v>658</v>
      </c>
      <c r="I46" s="687">
        <v>1825</v>
      </c>
      <c r="J46" s="687">
        <v>4662</v>
      </c>
      <c r="K46" s="688">
        <v>-0.63129999999999997</v>
      </c>
    </row>
    <row r="47" spans="1:17">
      <c r="A47" s="367" t="s">
        <v>77</v>
      </c>
      <c r="B47" s="374">
        <f t="shared" si="0"/>
        <v>0</v>
      </c>
      <c r="C47" s="374">
        <f t="shared" si="0"/>
        <v>0</v>
      </c>
      <c r="D47" s="207" t="str">
        <f t="shared" si="1"/>
        <v>PASS</v>
      </c>
      <c r="G47" s="683" t="s">
        <v>574</v>
      </c>
      <c r="H47" s="684" t="s">
        <v>658</v>
      </c>
      <c r="I47" s="686">
        <v>91</v>
      </c>
      <c r="J47" s="686">
        <v>263</v>
      </c>
      <c r="K47" s="688">
        <v>-0.67410000000000003</v>
      </c>
    </row>
    <row r="48" spans="1:17">
      <c r="A48" s="367" t="s">
        <v>45</v>
      </c>
      <c r="B48" s="374">
        <f t="shared" si="0"/>
        <v>0</v>
      </c>
      <c r="C48" s="374">
        <f t="shared" si="0"/>
        <v>0</v>
      </c>
      <c r="D48" s="207" t="str">
        <f t="shared" si="1"/>
        <v>PASS</v>
      </c>
      <c r="G48" s="683" t="s">
        <v>744</v>
      </c>
      <c r="H48" s="684" t="s">
        <v>658</v>
      </c>
      <c r="I48" s="686">
        <v>732</v>
      </c>
      <c r="J48" s="687">
        <v>1925</v>
      </c>
      <c r="K48" s="688">
        <v>-0.64180000000000004</v>
      </c>
    </row>
    <row r="49" spans="1:11">
      <c r="A49" s="370" t="s">
        <v>46</v>
      </c>
      <c r="B49" s="374">
        <f t="shared" si="0"/>
        <v>0</v>
      </c>
      <c r="C49" s="374">
        <f t="shared" si="0"/>
        <v>0</v>
      </c>
      <c r="D49" s="207" t="str">
        <f t="shared" si="1"/>
        <v>PASS</v>
      </c>
      <c r="G49" s="683" t="s">
        <v>43</v>
      </c>
      <c r="H49" s="684" t="s">
        <v>658</v>
      </c>
      <c r="I49" s="686">
        <v>127</v>
      </c>
      <c r="J49" s="686">
        <v>293</v>
      </c>
      <c r="K49" s="688">
        <v>-0.5917</v>
      </c>
    </row>
    <row r="50" spans="1:11">
      <c r="A50" s="370" t="s">
        <v>78</v>
      </c>
      <c r="B50" s="374">
        <f t="shared" si="0"/>
        <v>0</v>
      </c>
      <c r="C50" s="374">
        <f t="shared" si="0"/>
        <v>0</v>
      </c>
      <c r="D50" s="207" t="str">
        <f t="shared" si="1"/>
        <v>PASS</v>
      </c>
      <c r="G50" s="683" t="s">
        <v>76</v>
      </c>
      <c r="H50" s="684" t="s">
        <v>658</v>
      </c>
      <c r="I50" s="686">
        <v>77</v>
      </c>
      <c r="J50" s="686">
        <v>171</v>
      </c>
      <c r="K50" s="688">
        <v>-0.57589999999999997</v>
      </c>
    </row>
    <row r="51" spans="1:11">
      <c r="A51" s="370" t="s">
        <v>79</v>
      </c>
      <c r="B51" s="374">
        <f t="shared" si="0"/>
        <v>0</v>
      </c>
      <c r="C51" s="374">
        <f t="shared" si="0"/>
        <v>0</v>
      </c>
      <c r="D51" s="207" t="str">
        <f t="shared" si="1"/>
        <v>PASS</v>
      </c>
      <c r="G51" s="683" t="s">
        <v>77</v>
      </c>
      <c r="H51" s="684" t="s">
        <v>658</v>
      </c>
      <c r="I51" s="686">
        <v>50</v>
      </c>
      <c r="J51" s="686">
        <v>122</v>
      </c>
      <c r="K51" s="688">
        <v>-0.61399999999999999</v>
      </c>
    </row>
    <row r="52" spans="1:11">
      <c r="A52" s="370" t="s">
        <v>80</v>
      </c>
      <c r="B52" s="374">
        <f t="shared" si="0"/>
        <v>0</v>
      </c>
      <c r="C52" s="374">
        <f t="shared" si="0"/>
        <v>0</v>
      </c>
      <c r="D52" s="207" t="str">
        <f t="shared" si="1"/>
        <v>PASS</v>
      </c>
      <c r="G52" s="683" t="s">
        <v>745</v>
      </c>
      <c r="H52" s="684" t="s">
        <v>84</v>
      </c>
      <c r="I52" s="686">
        <v>0</v>
      </c>
      <c r="J52" s="686">
        <v>4</v>
      </c>
      <c r="K52" s="688">
        <v>0</v>
      </c>
    </row>
    <row r="53" spans="1:11">
      <c r="A53" s="370" t="s">
        <v>269</v>
      </c>
      <c r="B53" s="374">
        <f t="shared" si="0"/>
        <v>0</v>
      </c>
      <c r="C53" s="374">
        <f t="shared" si="0"/>
        <v>0</v>
      </c>
      <c r="D53" s="207" t="str">
        <f t="shared" si="1"/>
        <v>PASS</v>
      </c>
      <c r="G53" s="683" t="s">
        <v>45</v>
      </c>
      <c r="H53" s="684" t="s">
        <v>84</v>
      </c>
      <c r="I53" s="687">
        <v>1572</v>
      </c>
      <c r="J53" s="687">
        <v>4290</v>
      </c>
      <c r="K53" s="688">
        <v>-0.65490000000000004</v>
      </c>
    </row>
    <row r="54" spans="1:11">
      <c r="A54" s="367" t="s">
        <v>47</v>
      </c>
      <c r="B54" s="374">
        <f t="shared" si="0"/>
        <v>0</v>
      </c>
      <c r="C54" s="374">
        <f t="shared" si="0"/>
        <v>0</v>
      </c>
      <c r="D54" s="207" t="str">
        <f t="shared" si="1"/>
        <v>PASS</v>
      </c>
      <c r="G54" s="683" t="s">
        <v>46</v>
      </c>
      <c r="H54" s="684" t="s">
        <v>659</v>
      </c>
      <c r="I54" s="686">
        <v>368</v>
      </c>
      <c r="J54" s="686">
        <v>919</v>
      </c>
      <c r="K54" s="688">
        <v>-0.62280000000000002</v>
      </c>
    </row>
    <row r="55" spans="1:11">
      <c r="A55" s="367" t="s">
        <v>48</v>
      </c>
      <c r="B55" s="374">
        <f t="shared" si="0"/>
        <v>0</v>
      </c>
      <c r="C55" s="374">
        <f t="shared" si="0"/>
        <v>0</v>
      </c>
      <c r="D55" s="207" t="str">
        <f t="shared" si="1"/>
        <v>PASS</v>
      </c>
      <c r="G55" s="683" t="s">
        <v>78</v>
      </c>
      <c r="H55" s="684" t="s">
        <v>659</v>
      </c>
      <c r="I55" s="686">
        <v>171</v>
      </c>
      <c r="J55" s="686">
        <v>529</v>
      </c>
      <c r="K55" s="688">
        <v>-0.69550000000000001</v>
      </c>
    </row>
    <row r="56" spans="1:11">
      <c r="A56" s="367" t="s">
        <v>49</v>
      </c>
      <c r="B56" s="374">
        <f t="shared" si="0"/>
        <v>0</v>
      </c>
      <c r="C56" s="374">
        <f t="shared" si="0"/>
        <v>0</v>
      </c>
      <c r="D56" s="207" t="str">
        <f t="shared" si="1"/>
        <v>PASS</v>
      </c>
      <c r="G56" s="683" t="s">
        <v>79</v>
      </c>
      <c r="H56" s="684" t="s">
        <v>659</v>
      </c>
      <c r="I56" s="686">
        <v>104</v>
      </c>
      <c r="J56" s="686">
        <v>161</v>
      </c>
      <c r="K56" s="688">
        <v>-0.3916</v>
      </c>
    </row>
    <row r="57" spans="1:11">
      <c r="A57" s="367" t="s">
        <v>50</v>
      </c>
      <c r="B57" s="374">
        <f t="shared" si="0"/>
        <v>0</v>
      </c>
      <c r="C57" s="374">
        <f t="shared" si="0"/>
        <v>0</v>
      </c>
      <c r="D57" s="207" t="str">
        <f t="shared" si="1"/>
        <v>PASS</v>
      </c>
      <c r="G57" s="683" t="s">
        <v>80</v>
      </c>
      <c r="H57" s="684" t="s">
        <v>659</v>
      </c>
      <c r="I57" s="686">
        <v>73</v>
      </c>
      <c r="J57" s="686">
        <v>178</v>
      </c>
      <c r="K57" s="688">
        <v>-0.61370000000000002</v>
      </c>
    </row>
    <row r="58" spans="1:11">
      <c r="A58" s="367" t="s">
        <v>382</v>
      </c>
      <c r="B58" s="374">
        <f t="shared" si="0"/>
        <v>0</v>
      </c>
      <c r="C58" s="374">
        <f t="shared" si="0"/>
        <v>0</v>
      </c>
      <c r="D58" s="207" t="str">
        <f t="shared" si="1"/>
        <v>PASS</v>
      </c>
      <c r="G58" s="683" t="s">
        <v>269</v>
      </c>
      <c r="H58" s="684" t="s">
        <v>659</v>
      </c>
      <c r="I58" s="686">
        <v>20</v>
      </c>
      <c r="J58" s="686">
        <v>50</v>
      </c>
      <c r="K58" s="688">
        <v>-0.62319999999999998</v>
      </c>
    </row>
    <row r="59" spans="1:11">
      <c r="G59" s="683" t="s">
        <v>746</v>
      </c>
      <c r="H59" s="684" t="s">
        <v>659</v>
      </c>
      <c r="I59" s="686">
        <v>0</v>
      </c>
      <c r="J59" s="686">
        <v>1</v>
      </c>
      <c r="K59" s="688">
        <v>0</v>
      </c>
    </row>
    <row r="60" spans="1:11" ht="45">
      <c r="G60" s="683" t="s">
        <v>47</v>
      </c>
      <c r="H60" s="684" t="s">
        <v>83</v>
      </c>
      <c r="I60" s="686">
        <v>50.54</v>
      </c>
      <c r="J60" s="686">
        <v>45.16</v>
      </c>
      <c r="K60" s="688">
        <v>0.1193</v>
      </c>
    </row>
    <row r="61" spans="1:11">
      <c r="G61" s="683" t="s">
        <v>48</v>
      </c>
      <c r="H61" s="684" t="s">
        <v>84</v>
      </c>
      <c r="I61" s="684">
        <v>4.2699999999999996</v>
      </c>
      <c r="J61" s="684">
        <v>4.67</v>
      </c>
      <c r="K61" s="688">
        <v>-8.4900000000000003E-2</v>
      </c>
    </row>
    <row r="62" spans="1:11">
      <c r="G62" s="683" t="s">
        <v>49</v>
      </c>
      <c r="H62" s="684" t="s">
        <v>658</v>
      </c>
      <c r="I62" s="687">
        <v>66567</v>
      </c>
      <c r="J62" s="687">
        <v>151837</v>
      </c>
      <c r="K62" s="688">
        <v>-0.58709999999999996</v>
      </c>
    </row>
    <row r="63" spans="1:11" ht="30">
      <c r="G63" s="683" t="s">
        <v>50</v>
      </c>
      <c r="H63" s="684" t="s">
        <v>33</v>
      </c>
      <c r="I63" s="686">
        <v>2.59</v>
      </c>
      <c r="J63" s="686">
        <v>3.7</v>
      </c>
      <c r="K63" s="688">
        <v>-0.30049999999999999</v>
      </c>
    </row>
    <row r="64" spans="1:11" ht="30">
      <c r="G64" s="683" t="s">
        <v>382</v>
      </c>
      <c r="H64" s="684" t="s">
        <v>33</v>
      </c>
      <c r="I64" s="686">
        <v>70.36</v>
      </c>
      <c r="J64" s="686">
        <v>70.459999999999994</v>
      </c>
      <c r="K64" s="688">
        <v>-1.4E-3</v>
      </c>
    </row>
  </sheetData>
  <mergeCells count="4">
    <mergeCell ref="A1:B1"/>
    <mergeCell ref="A2:E2"/>
    <mergeCell ref="G2:K2"/>
    <mergeCell ref="A31:D31"/>
  </mergeCells>
  <conditionalFormatting sqref="D33:D58">
    <cfRule type="containsText" dxfId="27" priority="23" operator="containsText" text="FAIL">
      <formula>NOT(ISERROR(SEARCH("FAIL",D33)))</formula>
    </cfRule>
    <cfRule type="containsText" dxfId="26" priority="24" operator="containsText" text="PASS">
      <formula>NOT(ISERROR(SEARCH("PASS",D33)))</formula>
    </cfRule>
  </conditionalFormatting>
  <conditionalFormatting sqref="D33:D58">
    <cfRule type="containsText" dxfId="25" priority="21" operator="containsText" text="N">
      <formula>NOT(ISERROR(SEARCH("N",D33)))</formula>
    </cfRule>
    <cfRule type="containsText" dxfId="24" priority="22" operator="containsText" text="Y">
      <formula>NOT(ISERROR(SEARCH("Y",D33)))</formula>
    </cfRule>
  </conditionalFormatting>
  <conditionalFormatting sqref="D33:D58">
    <cfRule type="containsText" dxfId="23" priority="19" operator="containsText" text="FAIL">
      <formula>NOT(ISERROR(SEARCH("FAIL",D33)))</formula>
    </cfRule>
    <cfRule type="containsText" dxfId="22" priority="20" operator="containsText" text="PASS">
      <formula>NOT(ISERROR(SEARCH("PASS",D33)))</formula>
    </cfRule>
  </conditionalFormatting>
  <conditionalFormatting sqref="D33:D58">
    <cfRule type="containsText" dxfId="21" priority="17" operator="containsText" text="FAIL">
      <formula>NOT(ISERROR(SEARCH("FAIL",D33)))</formula>
    </cfRule>
    <cfRule type="containsText" dxfId="20" priority="18" operator="containsText" text="PASS">
      <formula>NOT(ISERROR(SEARCH("PASS",D33)))</formula>
    </cfRule>
  </conditionalFormatting>
  <conditionalFormatting sqref="D33:D58">
    <cfRule type="containsText" dxfId="19" priority="15" operator="containsText" text="FAIL">
      <formula>NOT(ISERROR(SEARCH("FAIL",D33)))</formula>
    </cfRule>
    <cfRule type="containsText" dxfId="18" priority="16" operator="containsText" text="PASS">
      <formula>NOT(ISERROR(SEARCH("PASS",D33)))</formula>
    </cfRule>
  </conditionalFormatting>
  <conditionalFormatting sqref="D33:D58">
    <cfRule type="containsText" dxfId="17" priority="13" operator="containsText" text="N">
      <formula>NOT(ISERROR(SEARCH("N",D33)))</formula>
    </cfRule>
    <cfRule type="containsText" dxfId="16" priority="14" operator="containsText" text="Y">
      <formula>NOT(ISERROR(SEARCH("Y",D33)))</formula>
    </cfRule>
  </conditionalFormatting>
  <conditionalFormatting sqref="D33:D58">
    <cfRule type="containsText" dxfId="15" priority="11" operator="containsText" text="FAIL">
      <formula>NOT(ISERROR(SEARCH("FAIL",D33)))</formula>
    </cfRule>
    <cfRule type="containsText" dxfId="14" priority="12" operator="containsText" text="PASS">
      <formula>NOT(ISERROR(SEARCH("PASS",D33)))</formula>
    </cfRule>
  </conditionalFormatting>
  <conditionalFormatting sqref="D33:D58">
    <cfRule type="containsText" dxfId="13" priority="9" operator="containsText" text="FAIL">
      <formula>NOT(ISERROR(SEARCH("FAIL",D33)))</formula>
    </cfRule>
    <cfRule type="containsText" dxfId="12" priority="10" operator="containsText" text="PASS">
      <formula>NOT(ISERROR(SEARCH("PASS",D33)))</formula>
    </cfRule>
  </conditionalFormatting>
  <conditionalFormatting sqref="D33:D58">
    <cfRule type="containsText" dxfId="11" priority="7" operator="containsText" text="FAIL">
      <formula>NOT(ISERROR(SEARCH("FAIL",D33)))</formula>
    </cfRule>
    <cfRule type="containsText" dxfId="10" priority="8" operator="containsText" text="PASS">
      <formula>NOT(ISERROR(SEARCH("PASS",D33)))</formula>
    </cfRule>
  </conditionalFormatting>
  <conditionalFormatting sqref="D33:D58">
    <cfRule type="containsText" dxfId="9" priority="5" operator="containsText" text="N">
      <formula>NOT(ISERROR(SEARCH("N",D33)))</formula>
    </cfRule>
    <cfRule type="containsText" dxfId="8" priority="6" operator="containsText" text="Y">
      <formula>NOT(ISERROR(SEARCH("Y",D33)))</formula>
    </cfRule>
  </conditionalFormatting>
  <conditionalFormatting sqref="D33:D58">
    <cfRule type="containsText" dxfId="7" priority="3" operator="containsText" text="FAIL">
      <formula>NOT(ISERROR(SEARCH("FAIL",D33)))</formula>
    </cfRule>
    <cfRule type="containsText" dxfId="6" priority="4" operator="containsText" text="PASS">
      <formula>NOT(ISERROR(SEARCH("PASS",D33)))</formula>
    </cfRule>
  </conditionalFormatting>
  <conditionalFormatting sqref="D33:D58">
    <cfRule type="containsText" dxfId="5" priority="1" operator="containsText" text="FAIL">
      <formula>NOT(ISERROR(SEARCH("FAIL",D33)))</formula>
    </cfRule>
    <cfRule type="containsText" dxfId="4" priority="2" operator="containsText" text="PASS">
      <formula>NOT(ISERROR(SEARCH("PASS",D33)))</formula>
    </cfRule>
  </conditionalFormatting>
  <hyperlinks>
    <hyperlink ref="J34" r:id="rId1"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erVisit&amp;recordType=Utilization&amp;description=ER+Visits&amp;isReport=comparison&amp;basis=ServiceDate"/>
    <hyperlink ref="J35" r:id="rId2"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urgentCareVisits&amp;recordType=Utilization&amp;description=Urgent+Care+Visits&amp;isReport=comparison&amp;basis=ServiceDate"/>
    <hyperlink ref="J36" r:id="rId3"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totalOfficeVisits&amp;recordType=Utilization&amp;description=Total+Office+Visits&amp;isReport=comparison&amp;basis=ServiceDate"/>
    <hyperlink ref="J37" r:id="rId4"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routineOfficeVisits&amp;recordType=Utilization&amp;description=Routine+Office+Visits&amp;isReport=comparison&amp;basis=ServiceDate"/>
    <hyperlink ref="J38" r:id="rId5"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reventiveOfficeVisits&amp;recordType=Utilization&amp;description=Preventive+Office+Visits&amp;isReport=comparison&amp;basis=ServiceDate"/>
    <hyperlink ref="J39" r:id="rId6"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ntalHealthOfficeVisits&amp;recordType=Utilization&amp;description=Mental+Health+Office+Visits&amp;isReport=comparison&amp;basis=ServiceDate"/>
    <hyperlink ref="J40" r:id="rId7"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otherOfficeVisits&amp;recordType=Utilization&amp;description=Other&amp;isReport=comparison&amp;basis=ServiceDate"/>
    <hyperlink ref="J41" r:id="rId8"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hiropracticVisits&amp;recordType=Utilization&amp;description=Chiropractic+Visits&amp;isReport=comparison&amp;basis=ServiceDate"/>
    <hyperlink ref="J42" r:id="rId9"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hysicalTherapy&amp;recordType=Utilization&amp;description=Physical+Therapy&amp;isReport=comparison&amp;basis=ServiceDate"/>
    <hyperlink ref="J43" r:id="rId10"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RIScan&amp;recordType=Utilization&amp;description=MRI+Scan&amp;isReport=comparison&amp;basis=ServiceDate"/>
    <hyperlink ref="J44" r:id="rId11"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TScan&amp;recordType=Utilization&amp;description=CT+Scan&amp;isReport=comparison&amp;basis=ServiceDate"/>
    <hyperlink ref="J45" r:id="rId12"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pETScans&amp;recordType=Utilization&amp;description=PET&amp;isReport=comparison&amp;basis=ServiceDate"/>
    <hyperlink ref="J46" r:id="rId13"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ammoGrams&amp;recordType=Utilization&amp;description=Mammograms&amp;isReport=comparison&amp;basis=ServiceDate"/>
    <hyperlink ref="J47" r:id="rId14"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dialysisServices&amp;recordType=Utilization&amp;description=Dialysis+Services&amp;isReport=comparison&amp;basis=ServiceDate"/>
    <hyperlink ref="J48" r:id="rId15"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outPatientAmbulatorySurgeries&amp;recordType=Utilization&amp;description=Outpatient+%2F+Ambulatory+Surgeries&amp;isReport=comparison&amp;basis=ServiceDate"/>
    <hyperlink ref="J49" r:id="rId16"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ewbornDeliveries&amp;recordType=Utilization&amp;description=Newborn+Deliveries&amp;isReport=comparison&amp;basis=ServiceDate"/>
    <hyperlink ref="J50" r:id="rId17"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vaginalDelivery&amp;recordType=Utilization&amp;description=Vaginal+Deliveries&amp;isReport=comparison&amp;basis=ServiceDate"/>
    <hyperlink ref="J51" r:id="rId18"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cSectionDelivery&amp;recordType=Utilization&amp;description=C-Section+Deliveries&amp;isReport=comparison&amp;basis=ServiceDate"/>
    <hyperlink ref="J52" r:id="rId19"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ICUDays&amp;recordType=Utilization&amp;description=NICU+Days&amp;isReport=comparison&amp;basis=ServiceDate"/>
    <hyperlink ref="J53" r:id="rId20"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inpatientDays&amp;recordType=Utilization&amp;description=Inpatient+Days&amp;isReport=comparison&amp;basis=ServiceDate"/>
    <hyperlink ref="J54" r:id="rId21"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totalAdmissions&amp;recordType=Utilization&amp;description=Total+Admissions&amp;isReport=comparison&amp;basis=ServiceDate"/>
    <hyperlink ref="J55" r:id="rId22"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dicalAdmissions&amp;recordType=Utilization&amp;description=Medical+Admissions&amp;isReport=comparison&amp;basis=ServiceDate"/>
    <hyperlink ref="J56" r:id="rId23"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surgicalAdmissions&amp;recordType=Utilization&amp;description=Surgical+Admissions&amp;isReport=comparison&amp;basis=ServiceDate"/>
    <hyperlink ref="J57" r:id="rId24"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aternityAdmissions&amp;recordType=Utilization&amp;description=Maternity+Admissions&amp;isReport=comparison&amp;basis=ServiceDate"/>
    <hyperlink ref="J58" r:id="rId25"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mentalHealthOrSubstanceAbuseAdmissions&amp;recordType=Utilization&amp;description=Mental+Health+or+Substance+Abuse+Admissions&amp;isReport=comparison&amp;basis=ServiceDate"/>
    <hyperlink ref="J59" r:id="rId26"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NICUAdmissions&amp;recordType=Utilization&amp;description=NICU+Admissions&amp;isReport=comparison&amp;basis=ServiceDate"/>
    <hyperlink ref="J60" r:id="rId27" display="https://ffi.makalu.deerwalk.com/370/dynamicReport/providerCostAggregation?comp.paidDate=Between&amp;paidDate=02-01-2013&amp;paidDate-to=01-31-2014&amp;comp.participationStartDate=Smaller+than+equals&amp;comp.participationEndDate=Greater+than+equals&amp;comp.serviceDate=Between&amp;serviceDate=02-01-2013&amp;serviceDate-to=01-31-2014&amp;utilization=erVisitForUmWithTotalAdmissions&amp;recordType=Utilization&amp;description=Admissions+from+ER&amp;isReport=comparison&amp;basis=ServiceDate"/>
    <hyperlink ref="J62" r:id="rId28" display="https://ffi.makalu.deerwalk.com/370/dataSearch/searchResult?comp.paidDate=Between&amp;paidDate=02-01-2013&amp;paidDate-to=01-31-2014&amp;comp.participationStartDate=Smaller+than+equals&amp;comp.participationEndDate=Greater+than+equals&amp;comp.serviceDate=Between&amp;serviceDate=02-01-2013&amp;serviceDate-to=01-31-2014&amp;utilization=pharmacyScripts&amp;recordType=Pharmacy&amp;description=Pharmacy+Scripts&amp;isReport=comparison&amp;basis=ServiceDate"/>
    <hyperlink ref="J63" r:id="rId29" display="https://ffi.makalu.deerwalk.com/370/dataSearch/searchResult?comp.paidDate=Between&amp;paidDate=02-01-2013&amp;paidDate-to=01-31-2014&amp;comp.participationStartDate=Smaller+than+equals&amp;comp.participationEndDate=Greater+than+equals&amp;comp.serviceDate=Between&amp;serviceDate=02-01-2013&amp;serviceDate-to=01-31-2014&amp;mailOrderFlag=M&amp;recordType=Pharmacy&amp;description=Pharmacy+Scripts+Mail+Order&amp;isReport=comparison&amp;basis=ServiceDate"/>
    <hyperlink ref="J64" r:id="rId30" display="https://ffi.makalu.deerwalk.com/370/dataSearch/searchResult?comp.paidDate=Between&amp;paidDate=02-01-2013&amp;paidDate-to=01-31-2014&amp;comp.participationStartDate=Smaller+than+equals&amp;comp.participationEndDate=Greater+than+equals&amp;comp.serviceDate=Between&amp;serviceDate=02-01-2013&amp;serviceDate-to=01-31-2014&amp;genericFlag=Y&amp;recordType=Pharmacy&amp;description=Pharmacy+Scripts+Generic+Drugs&amp;isReport=comparison&amp;basis=ServiceDate"/>
    <hyperlink ref="I36" r:id="rId31"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totalOfficeVisits&amp;recordType=Utilization&amp;description=Total+Office+Visits&amp;isReport=reporting&amp;basis=ServiceDate"/>
    <hyperlink ref="I37" r:id="rId32"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routineOfficeVisits&amp;recordType=Utilization&amp;description=Routine+Office+Visits&amp;isReport=reporting&amp;basis=ServiceDate"/>
    <hyperlink ref="I38" r:id="rId33"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reventiveOfficeVisits&amp;recordType=Utilization&amp;description=Preventive+Office+Visits&amp;isReport=reporting&amp;basis=ServiceDate"/>
    <hyperlink ref="I39" r:id="rId34"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ntalHealthOfficeVisits&amp;recordType=Utilization&amp;description=Mental+Health+Office+Visits&amp;isReport=reporting&amp;basis=ServiceDate"/>
    <hyperlink ref="I40" r:id="rId35"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otherOfficeVisits&amp;recordType=Utilization&amp;description=Other&amp;isReport=reporting&amp;basis=ServiceDate"/>
    <hyperlink ref="I41" r:id="rId36"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hiropracticVisits&amp;recordType=Utilization&amp;description=Chiropractic+Visits&amp;isReport=reporting&amp;basis=ServiceDate"/>
    <hyperlink ref="I42" r:id="rId37"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hysicalTherapy&amp;recordType=Utilization&amp;description=Physical+Therapy&amp;isReport=reporting&amp;basis=ServiceDate"/>
    <hyperlink ref="I43" r:id="rId38"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RIScan&amp;recordType=Utilization&amp;description=MRI+Scan&amp;isReport=reporting&amp;basis=ServiceDate"/>
    <hyperlink ref="I44" r:id="rId39"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TScan&amp;recordType=Utilization&amp;description=CT+Scan&amp;isReport=reporting&amp;basis=ServiceDate"/>
    <hyperlink ref="I45" r:id="rId40"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pETScans&amp;recordType=Utilization&amp;description=PET&amp;isReport=reporting&amp;basis=ServiceDate"/>
    <hyperlink ref="I46" r:id="rId41"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ammoGrams&amp;recordType=Utilization&amp;description=Mammograms&amp;isReport=reporting&amp;basis=ServiceDate"/>
    <hyperlink ref="I47" r:id="rId42"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dialysisServices&amp;recordType=Utilization&amp;description=Dialysis+Services&amp;isReport=reporting&amp;basis=ServiceDate"/>
    <hyperlink ref="I48" r:id="rId43"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outPatientAmbulatorySurgeries&amp;recordType=Utilization&amp;description=Outpatient+%2F+Ambulatory+Surgeries&amp;isReport=reporting&amp;basis=ServiceDate"/>
    <hyperlink ref="I49" r:id="rId44"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ewbornDeliveries&amp;recordType=Utilization&amp;description=Newborn+Deliveries&amp;isReport=reporting&amp;basis=ServiceDate"/>
    <hyperlink ref="I50" r:id="rId45"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vaginalDelivery&amp;recordType=Utilization&amp;description=Vaginal+Deliveries&amp;isReport=reporting&amp;basis=ServiceDate"/>
    <hyperlink ref="I51" r:id="rId46"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cSectionDelivery&amp;recordType=Utilization&amp;description=C-Section+Deliveries&amp;isReport=reporting&amp;basis=ServiceDate"/>
    <hyperlink ref="I52" r:id="rId47"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ICUDays&amp;recordType=Utilization&amp;description=NICU+Days&amp;isReport=reporting&amp;basis=ServiceDate"/>
    <hyperlink ref="I53" r:id="rId48"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inpatientDays&amp;recordType=Utilization&amp;description=Inpatient+Days&amp;isReport=reporting&amp;basis=ServiceDate"/>
    <hyperlink ref="I54" r:id="rId49"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totalAdmissions&amp;recordType=Utilization&amp;description=Total+Admissions&amp;isReport=reporting&amp;basis=ServiceDate"/>
    <hyperlink ref="I55" r:id="rId50"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dicalAdmissions&amp;recordType=Utilization&amp;description=Medical+Admissions&amp;isReport=reporting&amp;basis=ServiceDate"/>
    <hyperlink ref="I56" r:id="rId51"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surgicalAdmissions&amp;recordType=Utilization&amp;description=Surgical+Admissions&amp;isReport=reporting&amp;basis=ServiceDate"/>
    <hyperlink ref="I57" r:id="rId52"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aternityAdmissions&amp;recordType=Utilization&amp;description=Maternity+Admissions&amp;isReport=reporting&amp;basis=ServiceDate"/>
    <hyperlink ref="I58" r:id="rId53"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mentalHealthOrSubstanceAbuseAdmissions&amp;recordType=Utilization&amp;description=Mental+Health+or+Substance+Abuse+Admissions&amp;isReport=reporting&amp;basis=ServiceDate"/>
    <hyperlink ref="I59" r:id="rId54"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NICUAdmissions&amp;recordType=Utilization&amp;description=NICU+Admissions&amp;isReport=reporting&amp;basis=ServiceDate"/>
    <hyperlink ref="I60" r:id="rId55"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erVisitForUmWithTotalAdmissions&amp;recordType=Utilization&amp;description=Admissions+from+ER&amp;isReport=reporting&amp;basis=ServiceDate"/>
    <hyperlink ref="I62" r:id="rId56" display="https://ffi.makalu.deerwalk.com/370/dataSearch/searchResult?comp.paidDate=Between&amp;paidDate=08-01-2014&amp;paidDate-to=01-31-2015&amp;comp.participationStartDate=Smaller+than+equals&amp;comp.participationEndDate=Greater+than+equals&amp;comp.serviceDate=Between&amp;serviceDate=08-01-2014&amp;serviceDate-to=01-31-2015&amp;utilization=pharmacyScripts&amp;recordType=Pharmacy&amp;description=Pharmacy+Scripts&amp;isReport=reporting&amp;basis=ServiceDate"/>
    <hyperlink ref="I63" r:id="rId57" display="https://ffi.makalu.deerwalk.com/370/dataSearch/searchResult?comp.paidDate=Between&amp;paidDate=08-01-2014&amp;paidDate-to=01-31-2015&amp;comp.participationStartDate=Smaller+than+equals&amp;comp.participationEndDate=Greater+than+equals&amp;comp.serviceDate=Between&amp;serviceDate=08-01-2014&amp;serviceDate-to=01-31-2015&amp;mailOrderFlag=M&amp;recordType=Pharmacy&amp;description=Pharmacy+Scripts+Mail+Order&amp;isReport=reporting&amp;basis=ServiceDate"/>
    <hyperlink ref="I64" r:id="rId58" display="https://ffi.makalu.deerwalk.com/370/dataSearch/searchResult?comp.paidDate=Between&amp;paidDate=08-01-2014&amp;paidDate-to=01-31-2015&amp;comp.participationStartDate=Smaller+than+equals&amp;comp.participationEndDate=Greater+than+equals&amp;comp.serviceDate=Between&amp;serviceDate=08-01-2014&amp;serviceDate-to=01-31-2015&amp;genericFlag=Y&amp;recordType=Pharmacy&amp;description=Pharmacy+Scripts+Generic+Drugs&amp;isReport=reporting&amp;basis=ServiceDate"/>
    <hyperlink ref="I35" r:id="rId59"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urgentCareVisits&amp;recordType=Utilization&amp;description=Urgent+Care+Visits&amp;isReport=reporting&amp;basis=ServiceDate"/>
    <hyperlink ref="I34" r:id="rId60" display="https://ffi.makalu.deerwalk.com/370/dynamicReport/providerCostAggregation?comp.paidDate=Between&amp;paidDate=08-01-2014&amp;paidDate-to=01-31-2015&amp;comp.participationStartDate=Smaller+than+equals&amp;comp.participationEndDate=Greater+than+equals&amp;comp.serviceDate=Between&amp;serviceDate=08-01-2014&amp;serviceDate-to=01-31-2015&amp;utilization=erVisit&amp;recordType=Utilization&amp;description=ER+Visits&amp;isReport=reporting&amp;basis=ServiceDat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Summary</vt:lpstr>
      <vt:lpstr>Summary_Page</vt:lpstr>
      <vt:lpstr>SP_Data</vt:lpstr>
      <vt:lpstr>Group Summary</vt:lpstr>
      <vt:lpstr>Group Summary Data</vt:lpstr>
      <vt:lpstr>HealthCareTrend</vt:lpstr>
      <vt:lpstr>Periodic Analysis</vt:lpstr>
      <vt:lpstr>Monthly Analysis</vt:lpstr>
      <vt:lpstr>Benefit_Categories</vt:lpstr>
      <vt:lpstr>Top_20_Reports</vt:lpstr>
      <vt:lpstr>Utilization Metrics</vt:lpstr>
      <vt:lpstr>Top 20 Trending</vt:lpstr>
      <vt:lpstr>Uitilization_Metrics</vt:lpstr>
      <vt:lpstr>Top 20 Data (3)</vt:lpstr>
      <vt:lpstr>High Cost Members</vt:lpstr>
      <vt:lpstr>Membership_Distribution</vt:lpstr>
      <vt:lpstr>Coverage By Relationship</vt:lpstr>
      <vt:lpstr>HSQ Data</vt:lpstr>
      <vt:lpstr>UM Data</vt:lpstr>
      <vt:lpstr>Chronic Conditions</vt:lpstr>
      <vt:lpstr>Duplicate Claims</vt:lpstr>
      <vt:lpstr>DC Data</vt:lpstr>
      <vt:lpstr>CC Tab</vt:lpstr>
      <vt:lpstr>Custom Report</vt:lpstr>
      <vt:lpstr>Info</vt:lpstr>
      <vt:lpstr>Sheet1</vt:lpstr>
      <vt:lpstr>Um Verfication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2011-12-22T08:55:34Z</cp:lastPrinted>
  <dcterms:created xsi:type="dcterms:W3CDTF">2011-11-04T13:24:59Z</dcterms:created>
  <dcterms:modified xsi:type="dcterms:W3CDTF">2017-01-31T08:44:20Z</dcterms:modified>
</cp:coreProperties>
</file>