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data_analytics_svn\traffk\docs\qualtiy_control\test_results\app_qc\makalu\smoke_test_qc\production\"/>
    </mc:Choice>
  </mc:AlternateContent>
  <bookViews>
    <workbookView xWindow="-615" yWindow="510" windowWidth="19320" windowHeight="7590" tabRatio="892"/>
  </bookViews>
  <sheets>
    <sheet name="Summary Page" sheetId="19" r:id="rId1"/>
    <sheet name="Row_LOA_Count" sheetId="17" r:id="rId2"/>
    <sheet name="Smoke Test Checklists" sheetId="20" r:id="rId3"/>
    <sheet name="Sumit" sheetId="13" state="hidden" r:id="rId4"/>
    <sheet name="QM_List" sheetId="12" state="hidden" r:id="rId5"/>
    <sheet name="QM" sheetId="15" state="hidden" r:id="rId6"/>
    <sheet name="Care_quality" sheetId="18" r:id="rId7"/>
    <sheet name="Info" sheetId="10" r:id="rId8"/>
  </sheets>
  <externalReferences>
    <externalReference r:id="rId9"/>
    <externalReference r:id="rId10"/>
    <externalReference r:id="rId11"/>
    <externalReference r:id="rId12"/>
    <externalReference r:id="rId13"/>
  </externalReferences>
  <definedNames>
    <definedName name="_xlnm._FilterDatabase" localSheetId="2" hidden="1">'Smoke Test Checklists'!$A$20:$EV$457</definedName>
    <definedName name="HERE">'Smoke Test Checklists'!#REF!</definedName>
    <definedName name="testresult" localSheetId="2">[1]Info!$A$3:$A$9</definedName>
    <definedName name="testresult" localSheetId="0">[1]Info!$A$3:$A$9</definedName>
    <definedName name="testresult">[2]Info!$A$3:$A$9</definedName>
    <definedName name="ttt">[3]Info!$A$3:$A$9</definedName>
  </definedNames>
  <calcPr calcId="152511"/>
</workbook>
</file>

<file path=xl/calcChain.xml><?xml version="1.0" encoding="utf-8"?>
<calcChain xmlns="http://schemas.openxmlformats.org/spreadsheetml/2006/main">
  <c r="I6" i="20" l="1"/>
  <c r="I7" i="20"/>
  <c r="I8" i="20"/>
  <c r="I9" i="20"/>
  <c r="I10" i="20"/>
  <c r="I11" i="20"/>
  <c r="I12" i="20"/>
  <c r="I13" i="20"/>
  <c r="I14" i="20"/>
  <c r="I15" i="20"/>
  <c r="I16" i="20"/>
  <c r="I17" i="20"/>
  <c r="J9" i="17" l="1"/>
  <c r="J8" i="17"/>
  <c r="J7" i="17"/>
  <c r="J6" i="17"/>
  <c r="J5" i="17"/>
  <c r="J4" i="17"/>
  <c r="J3" i="17"/>
  <c r="D6" i="17" l="1"/>
  <c r="D5" i="17"/>
  <c r="D4" i="17"/>
  <c r="D3" i="17"/>
  <c r="D2" i="17"/>
  <c r="I5" i="20" l="1"/>
</calcChain>
</file>

<file path=xl/sharedStrings.xml><?xml version="1.0" encoding="utf-8"?>
<sst xmlns="http://schemas.openxmlformats.org/spreadsheetml/2006/main" count="2534" uniqueCount="1315">
  <si>
    <t>Test Area</t>
  </si>
  <si>
    <t>Expected Result</t>
  </si>
  <si>
    <t>Remarks</t>
  </si>
  <si>
    <t>Pass</t>
  </si>
  <si>
    <t>Fail</t>
  </si>
  <si>
    <t>Not Tested</t>
  </si>
  <si>
    <t>Test  Procedure</t>
  </si>
  <si>
    <t>All test cases pass</t>
  </si>
  <si>
    <t>All test cases fail</t>
  </si>
  <si>
    <t>Ongoing</t>
  </si>
  <si>
    <t>Pending</t>
  </si>
  <si>
    <t>Blocked</t>
  </si>
  <si>
    <t>Test Blocked due to a reason</t>
  </si>
  <si>
    <t>Test ongoing</t>
  </si>
  <si>
    <t>Test pending</t>
  </si>
  <si>
    <t>TEST RESULT LEGEND</t>
  </si>
  <si>
    <t xml:space="preserve">Not Tested due to a reason </t>
  </si>
  <si>
    <t>Test Result</t>
  </si>
  <si>
    <t>Login</t>
  </si>
  <si>
    <t>Dashboard</t>
  </si>
  <si>
    <t>Section</t>
  </si>
  <si>
    <t>1) Verify the Dashboard sections</t>
  </si>
  <si>
    <t>Logout</t>
  </si>
  <si>
    <t>Sub-section</t>
  </si>
  <si>
    <t xml:space="preserve">1) Login as a normal user (CPT Copyright page should appear)
2) Click OK
</t>
  </si>
  <si>
    <t>Partially Pass</t>
  </si>
  <si>
    <t>Only some test cases pass</t>
  </si>
  <si>
    <t>Non-PHI User</t>
  </si>
  <si>
    <t>Quality Metric</t>
  </si>
  <si>
    <t>1) Click the link "Quality Metric"</t>
  </si>
  <si>
    <t>Top 20 Reports</t>
  </si>
  <si>
    <t>Utilization Metric</t>
  </si>
  <si>
    <t>1) Click 'Utilization Metric'</t>
  </si>
  <si>
    <t>Membership Distribution</t>
  </si>
  <si>
    <t>Footer</t>
  </si>
  <si>
    <t xml:space="preserve">1) Login as PHI user (CPT Copyright page should appear)
2) Click OK
</t>
  </si>
  <si>
    <t>Test Parameters</t>
  </si>
  <si>
    <t>Unit</t>
  </si>
  <si>
    <t xml:space="preserve">Expected Lower </t>
  </si>
  <si>
    <t>Expected Upper</t>
  </si>
  <si>
    <t>Within Range</t>
  </si>
  <si>
    <t xml:space="preserve">Total Health Plan </t>
  </si>
  <si>
    <t>PMPM ($)</t>
  </si>
  <si>
    <t xml:space="preserve">Medical Health Plan  </t>
  </si>
  <si>
    <t>Pharmacy Health Plan</t>
  </si>
  <si>
    <t xml:space="preserve">Inpatient </t>
  </si>
  <si>
    <t xml:space="preserve">Outpatient </t>
  </si>
  <si>
    <t>Office</t>
  </si>
  <si>
    <t>ER Visit</t>
  </si>
  <si>
    <t>Per 1000</t>
  </si>
  <si>
    <t>Total Admissions</t>
  </si>
  <si>
    <t>MRI Scan</t>
  </si>
  <si>
    <t>CT Scan</t>
  </si>
  <si>
    <t>Inpatient Days</t>
  </si>
  <si>
    <t>ALOS</t>
  </si>
  <si>
    <t>Average</t>
  </si>
  <si>
    <t>DATA QUALITY</t>
  </si>
  <si>
    <t>DQ01</t>
  </si>
  <si>
    <t>DQ02</t>
  </si>
  <si>
    <t>DQ03</t>
  </si>
  <si>
    <t>DQ04</t>
  </si>
  <si>
    <t>DQ05</t>
  </si>
  <si>
    <t>DQ06</t>
  </si>
  <si>
    <t>DQ07</t>
  </si>
  <si>
    <t>DQ08</t>
  </si>
  <si>
    <t>DQ09</t>
  </si>
  <si>
    <t>DQ10</t>
  </si>
  <si>
    <t>DQ11</t>
  </si>
  <si>
    <t>DQ12</t>
  </si>
  <si>
    <t>DQ13</t>
  </si>
  <si>
    <t>Generate Custom Report</t>
  </si>
  <si>
    <t>Pharmacy Scripts</t>
  </si>
  <si>
    <t>1) Click 'Providers'</t>
  </si>
  <si>
    <t>1) Click 'Procedure Groups'</t>
  </si>
  <si>
    <t>1) Click "Injectable Drugs"</t>
  </si>
  <si>
    <t>Checklist ID</t>
  </si>
  <si>
    <t>Screen ID</t>
  </si>
  <si>
    <t>Medical Claim Lag</t>
  </si>
  <si>
    <t>Expense Distribution</t>
  </si>
  <si>
    <t>High Cost Members</t>
  </si>
  <si>
    <t>Member Summary</t>
  </si>
  <si>
    <t>Risk Analysis</t>
  </si>
  <si>
    <t>1) Fill up selection criterion
2) Click Submit</t>
  </si>
  <si>
    <t xml:space="preserve">1)Click  'Medical'
</t>
  </si>
  <si>
    <t>Utilization</t>
  </si>
  <si>
    <t>Two or more ER Visits in the last 6 months</t>
  </si>
  <si>
    <t>Hospital readmission within 30 days of discharge</t>
  </si>
  <si>
    <t>Office visit within 30 days of inpatient discharge</t>
  </si>
  <si>
    <t>3 or more ER Visits in the last 6 months</t>
  </si>
  <si>
    <t>Asthma</t>
  </si>
  <si>
    <t>Asthma with pneumococcal vaccination</t>
  </si>
  <si>
    <t>Two or more asthma related ER Visits in the last 6 months</t>
  </si>
  <si>
    <t>Asthma related admit in last 12 months</t>
  </si>
  <si>
    <t>Asthma with influenza vaccination in last 12 months</t>
  </si>
  <si>
    <t>Persistent asthma with annual pulmonary function test</t>
  </si>
  <si>
    <t>Received control inhaler (long acting) in last 12 months</t>
  </si>
  <si>
    <t>Received rescue inhaler (short acting) in last 12 months</t>
  </si>
  <si>
    <t>Uses &gt; 1 canister short-acting inhaled beta agonist/month</t>
  </si>
  <si>
    <t>Hepatitis C</t>
  </si>
  <si>
    <t>HCV RNA testing at week 12 of antiviral treatment</t>
  </si>
  <si>
    <t>HCV RNA testing at week 24 of antiviral treatment</t>
  </si>
  <si>
    <t>HCV RNA testing before initiating anti-viral medication treatment</t>
  </si>
  <si>
    <t>Members on antiviral drug in the last 12 months.</t>
  </si>
  <si>
    <t>Wellness</t>
  </si>
  <si>
    <t>Males age greater than 49 with PSA test in last 24 months</t>
  </si>
  <si>
    <t>Lead Screening in Children</t>
  </si>
  <si>
    <t>Annual well-child exam (age 2 to 6 yrs)</t>
  </si>
  <si>
    <t>Annual well-child exam (age 7 to 12 yrs)</t>
  </si>
  <si>
    <t>Annual well-child exam (age 13 to 21 yrs)</t>
  </si>
  <si>
    <t>Age 50 to 75 years with colorectal cancer screening</t>
  </si>
  <si>
    <t>Well Child Visit - 15 months</t>
  </si>
  <si>
    <t>Infant - 1 or more Well Child Visit</t>
  </si>
  <si>
    <t>Infant - Well &amp; Non-Well Office Visit</t>
  </si>
  <si>
    <t>Infant - Non-Well Child Visit Only</t>
  </si>
  <si>
    <t>Age 13 to 21 yrs with recommended immunizations</t>
  </si>
  <si>
    <t>Age 13 yrs with recommended immunizations</t>
  </si>
  <si>
    <t>Age 2 yrs with recommended immunizations</t>
  </si>
  <si>
    <t>Routine office visit in last 6 months</t>
  </si>
  <si>
    <t>Women age 21 years and older with cervical cancer screen last 36 months</t>
  </si>
  <si>
    <t>Glaucoma screening in last 24 months (age 65 yrs. &amp; older)</t>
  </si>
  <si>
    <t>Women age 21-65 with recommended cervical cancer screening</t>
  </si>
  <si>
    <t>Diabetes</t>
  </si>
  <si>
    <t>Annual LDL-C screening</t>
  </si>
  <si>
    <t>Diabetes with CVD or &gt;40 yrs with CVD risks not on statin</t>
  </si>
  <si>
    <t>LDL&lt;100mg/dL</t>
  </si>
  <si>
    <t>LDL&lt;130mg/dL</t>
  </si>
  <si>
    <t>BP&lt;130/80 mmHg</t>
  </si>
  <si>
    <t>BP&lt;140/90 mmHg</t>
  </si>
  <si>
    <t>HbA1c&lt;7.0%</t>
  </si>
  <si>
    <t>HbA1c&lt;8.0%</t>
  </si>
  <si>
    <t>HbA1c&gt;9.0%</t>
  </si>
  <si>
    <t>Smoking Status/Cessation Advice/Treatment</t>
  </si>
  <si>
    <t>Hypertension</t>
  </si>
  <si>
    <t>Hypertension diagnosis and prescribed statin and gaps in prescription refills</t>
  </si>
  <si>
    <t>Annual serum creatinine test</t>
  </si>
  <si>
    <t>COPD</t>
  </si>
  <si>
    <t>Annual flu vaccination</t>
  </si>
  <si>
    <t>Exacerbation with inhaled bronchodilator/ corticosteroid last 12 months</t>
  </si>
  <si>
    <t>Additional Gaps</t>
  </si>
  <si>
    <t>No PCP visit last 12 months</t>
  </si>
  <si>
    <t>CHF</t>
  </si>
  <si>
    <t>Re-admission to hospital with Heart Failure diagnosis within 30 days following a HF inpatient stay discharge</t>
  </si>
  <si>
    <t>ER Visit for Heart Failure in last 90 days</t>
  </si>
  <si>
    <t>Follow-up OV within 4 weeks of discharge from HF admission</t>
  </si>
  <si>
    <t>Pregnancy</t>
  </si>
  <si>
    <t>Postpartum visit 21 to 56 days after delivery</t>
  </si>
  <si>
    <t>Timeliness of Prenatal Care</t>
  </si>
  <si>
    <t>Hyperlipidemia</t>
  </si>
  <si>
    <t>CAD</t>
  </si>
  <si>
    <t>A01</t>
  </si>
  <si>
    <t>Annual lipid profile</t>
  </si>
  <si>
    <t>A02</t>
  </si>
  <si>
    <t>On anti-platelet medication</t>
  </si>
  <si>
    <t>A03</t>
  </si>
  <si>
    <t>On lipid lowering medication</t>
  </si>
  <si>
    <t>B01</t>
  </si>
  <si>
    <t>Heart failure and atrial fibrillation on warfarin therapy</t>
  </si>
  <si>
    <t>B02</t>
  </si>
  <si>
    <t>Heart failure and LVSD on ACE/ARB</t>
  </si>
  <si>
    <t>B03</t>
  </si>
  <si>
    <t>Heart failure and LVSD on beta-blocker</t>
  </si>
  <si>
    <t>B04</t>
  </si>
  <si>
    <t>B05</t>
  </si>
  <si>
    <t>B06</t>
  </si>
  <si>
    <t>C01</t>
  </si>
  <si>
    <t>Re-admission to hospital with COPD diagnosis within 30 days following a COPD inpatient stay discharge</t>
  </si>
  <si>
    <t>C02</t>
  </si>
  <si>
    <t>Members with COPD who have had a visit to an ER for COPD related diagnosis in the past 90 days</t>
  </si>
  <si>
    <t>C03</t>
  </si>
  <si>
    <t>Exacerbations in last 12 months</t>
  </si>
  <si>
    <t>C04</t>
  </si>
  <si>
    <t>Individuals over the age of 20 years with diagnosed COPD are on bronchodilator therapy</t>
  </si>
  <si>
    <t>C05</t>
  </si>
  <si>
    <t>Members with COPD who had an annual spirometry test</t>
  </si>
  <si>
    <t>C06</t>
  </si>
  <si>
    <t>C07</t>
  </si>
  <si>
    <t>D01</t>
  </si>
  <si>
    <t>Annual dilated eye exam</t>
  </si>
  <si>
    <t>D02</t>
  </si>
  <si>
    <t>Annual foot exam</t>
  </si>
  <si>
    <t>D03</t>
  </si>
  <si>
    <t>Annual HbA1c test done</t>
  </si>
  <si>
    <t>D04</t>
  </si>
  <si>
    <t>D05</t>
  </si>
  <si>
    <t>Claims for home glucose testing supplies in last 12 months</t>
  </si>
  <si>
    <t>D06</t>
  </si>
  <si>
    <t>Annual microalbumin urine screen</t>
  </si>
  <si>
    <t>D07</t>
  </si>
  <si>
    <t>D08</t>
  </si>
  <si>
    <t>D09</t>
  </si>
  <si>
    <t>D10</t>
  </si>
  <si>
    <t>D11</t>
  </si>
  <si>
    <t>D12</t>
  </si>
  <si>
    <t>D13</t>
  </si>
  <si>
    <t>D14</t>
  </si>
  <si>
    <t>D15</t>
  </si>
  <si>
    <t>D16</t>
  </si>
  <si>
    <t>E01</t>
  </si>
  <si>
    <t>Return to hospital with same asthma diagnosis within 30 days following inpatient discharge</t>
  </si>
  <si>
    <t>E02</t>
  </si>
  <si>
    <t>Visit to an ED/Urgent care office for asthma in the past 6 months</t>
  </si>
  <si>
    <t>E03</t>
  </si>
  <si>
    <t>Asthma and a routine provider visit in the last 12 months</t>
  </si>
  <si>
    <t>E04</t>
  </si>
  <si>
    <t>Children with asthma-related acute visit in the past two months</t>
  </si>
  <si>
    <t>E05</t>
  </si>
  <si>
    <t>Members with asthma currently taking a prescription medication for asthma</t>
  </si>
  <si>
    <t>E06</t>
  </si>
  <si>
    <t>E07</t>
  </si>
  <si>
    <t>E08</t>
  </si>
  <si>
    <t>E09</t>
  </si>
  <si>
    <t>E10</t>
  </si>
  <si>
    <t>E11</t>
  </si>
  <si>
    <t>E12</t>
  </si>
  <si>
    <t>E13</t>
  </si>
  <si>
    <t>F01</t>
  </si>
  <si>
    <t>On antihypertensive medication</t>
  </si>
  <si>
    <t>F02</t>
  </si>
  <si>
    <t>F03</t>
  </si>
  <si>
    <t>F04</t>
  </si>
  <si>
    <t>G01</t>
  </si>
  <si>
    <t>Hyperlipidemia Annual lipid profile</t>
  </si>
  <si>
    <t>G02</t>
  </si>
  <si>
    <t>On lipid-lowering medication</t>
  </si>
  <si>
    <t>G03</t>
  </si>
  <si>
    <t>Prescribed statin and gaps in prescription refills</t>
  </si>
  <si>
    <t>H01</t>
  </si>
  <si>
    <t>H02</t>
  </si>
  <si>
    <t>H03</t>
  </si>
  <si>
    <t>H04</t>
  </si>
  <si>
    <t>P01</t>
  </si>
  <si>
    <t>P02</t>
  </si>
  <si>
    <t>U01</t>
  </si>
  <si>
    <t>U02</t>
  </si>
  <si>
    <t>U03</t>
  </si>
  <si>
    <t>U04</t>
  </si>
  <si>
    <t>W03</t>
  </si>
  <si>
    <t>W04</t>
  </si>
  <si>
    <t>Women age 21 years and older with cervical cancer screen last 24 months</t>
  </si>
  <si>
    <t>W05</t>
  </si>
  <si>
    <t>W07</t>
  </si>
  <si>
    <t>Routine exam in last 24 months</t>
  </si>
  <si>
    <t>W08</t>
  </si>
  <si>
    <t>Women age 40 to 69 with a screening mammogram last 24 months</t>
  </si>
  <si>
    <t>W09</t>
  </si>
  <si>
    <t>W10</t>
  </si>
  <si>
    <t>W11</t>
  </si>
  <si>
    <t>W12</t>
  </si>
  <si>
    <t>W13</t>
  </si>
  <si>
    <t>Age 2 - 6 yrs with recommended immunizations</t>
  </si>
  <si>
    <t>W14</t>
  </si>
  <si>
    <t>W15</t>
  </si>
  <si>
    <t>W16</t>
  </si>
  <si>
    <t>W17</t>
  </si>
  <si>
    <t>W18</t>
  </si>
  <si>
    <t>W19</t>
  </si>
  <si>
    <t>W20</t>
  </si>
  <si>
    <t>W21</t>
  </si>
  <si>
    <t>W22</t>
  </si>
  <si>
    <t>W23</t>
  </si>
  <si>
    <t>W26</t>
  </si>
  <si>
    <t>X01</t>
  </si>
  <si>
    <t>Aged 65 years and older on high risk drug</t>
  </si>
  <si>
    <t>X02</t>
  </si>
  <si>
    <t>On statin drug without both an ALT and an AST in the past 12 months</t>
  </si>
  <si>
    <t>X03</t>
  </si>
  <si>
    <t>No monthly PT/INR for warfarin users</t>
  </si>
  <si>
    <t>X04</t>
  </si>
  <si>
    <t>Category</t>
  </si>
  <si>
    <t>Metric</t>
  </si>
  <si>
    <t>Diagnosis</t>
  </si>
  <si>
    <t>Diagnosis Grouper</t>
  </si>
  <si>
    <t>Member</t>
  </si>
  <si>
    <t>Place of service</t>
  </si>
  <si>
    <t>Paid Month</t>
  </si>
  <si>
    <t>Procedure</t>
  </si>
  <si>
    <t>Procedure grouper</t>
  </si>
  <si>
    <t>Provider</t>
  </si>
  <si>
    <t>Provider Month</t>
  </si>
  <si>
    <t>service month</t>
  </si>
  <si>
    <t>Allowed amount</t>
  </si>
  <si>
    <t>Billed Amount</t>
  </si>
  <si>
    <t>COB amount</t>
  </si>
  <si>
    <t>coinsurance Amount</t>
  </si>
  <si>
    <t>Copayment</t>
  </si>
  <si>
    <t>Deductable</t>
  </si>
  <si>
    <t>Not covered Amount</t>
  </si>
  <si>
    <t>Other saving</t>
  </si>
  <si>
    <t>PPO Savings</t>
  </si>
  <si>
    <t>Admission</t>
  </si>
  <si>
    <t>ER visits</t>
  </si>
  <si>
    <t>Hospital Days Count</t>
  </si>
  <si>
    <t>Service Qty</t>
  </si>
  <si>
    <t xml:space="preserve">Count </t>
  </si>
  <si>
    <t xml:space="preserve">Total </t>
  </si>
  <si>
    <t>Term</t>
  </si>
  <si>
    <t>Order By</t>
  </si>
  <si>
    <t>Value Field</t>
  </si>
  <si>
    <t>Summarize By</t>
  </si>
  <si>
    <t>Program Summary</t>
  </si>
  <si>
    <t>Summary Report [Medical]</t>
  </si>
  <si>
    <t>Summary Report [Pharmacy]</t>
  </si>
  <si>
    <t>Brand Name</t>
  </si>
  <si>
    <t>Prescriber</t>
  </si>
  <si>
    <t>RX Class</t>
  </si>
  <si>
    <t>Paid Amount</t>
  </si>
  <si>
    <t>Filled month</t>
  </si>
  <si>
    <t>Provider specialty</t>
  </si>
  <si>
    <t>SMOKE TEST RESULT</t>
  </si>
  <si>
    <t>RA</t>
  </si>
  <si>
    <t>RA01</t>
  </si>
  <si>
    <t>On Disease-Modifying Anti-Rheumatic Drugs (DMARD)</t>
  </si>
  <si>
    <t>Clinical Parameters</t>
  </si>
  <si>
    <t>W27</t>
  </si>
  <si>
    <t>Members age 19 to 39 years with cholesterol screening is done</t>
  </si>
  <si>
    <t>W28</t>
  </si>
  <si>
    <t>Members age 40 to 64 years with cholesterol screening is done</t>
  </si>
  <si>
    <t>W29</t>
  </si>
  <si>
    <t>Members aged 65 years and older with an annual preventive visit</t>
  </si>
  <si>
    <t>Values</t>
  </si>
  <si>
    <t>1) Click 'Therapeutic Classes'</t>
  </si>
  <si>
    <t>1) Click ''Drugs'</t>
  </si>
  <si>
    <t>Eligibility</t>
  </si>
  <si>
    <t>Biometrics</t>
  </si>
  <si>
    <t>Search</t>
  </si>
  <si>
    <t>Comparision</t>
  </si>
  <si>
    <t>1) Click 'Member Search'</t>
  </si>
  <si>
    <t>Financial Analytics Popup</t>
  </si>
  <si>
    <t xml:space="preserve">1) Click 'Financial Analytics'
</t>
  </si>
  <si>
    <t>1) Click 'Financial Analytics'
2) Fill up selection criterion.
3) Click Submit.</t>
  </si>
  <si>
    <t>1) Click Generate Custom Report</t>
  </si>
  <si>
    <t>QA Verified Link</t>
  </si>
  <si>
    <t xml:space="preserve"> 1) Check for QA Verified Logo.</t>
  </si>
  <si>
    <t>Login Page</t>
  </si>
  <si>
    <t>1) Check for Co Branded Client Logo.</t>
  </si>
  <si>
    <t>Change Password</t>
  </si>
  <si>
    <t>1) User should be able to change existing password.</t>
  </si>
  <si>
    <t>1)Check Footer</t>
  </si>
  <si>
    <t xml:space="preserve">1) Network Comparison should appear
</t>
  </si>
  <si>
    <t>Client Specific Check list</t>
  </si>
  <si>
    <t xml:space="preserve"> Checklist ID</t>
  </si>
  <si>
    <t xml:space="preserve">Modules </t>
  </si>
  <si>
    <t>Test Results</t>
  </si>
  <si>
    <t>Related Defects</t>
  </si>
  <si>
    <t>CS01</t>
  </si>
  <si>
    <t>Cycle Date Range</t>
  </si>
  <si>
    <t>CS02</t>
  </si>
  <si>
    <t>Level 1</t>
  </si>
  <si>
    <t>CS03</t>
  </si>
  <si>
    <t>Level 2</t>
  </si>
  <si>
    <t>Level 3</t>
  </si>
  <si>
    <t>Dashboard Customization</t>
  </si>
  <si>
    <t>Report Manager</t>
  </si>
  <si>
    <t>W02</t>
  </si>
  <si>
    <t>Age 50 to 64 with annual flu vaccination</t>
  </si>
  <si>
    <t>W06</t>
  </si>
  <si>
    <t>Women age 65 and older with screening for osteoporosis</t>
  </si>
  <si>
    <t>W24</t>
  </si>
  <si>
    <t>Members aged 19 years to 39 with preventive visit in last 24 months</t>
  </si>
  <si>
    <t>W25</t>
  </si>
  <si>
    <t>Members aged 40 years to 64 years with preventive visit in last 24 months</t>
  </si>
  <si>
    <t>R01</t>
  </si>
  <si>
    <t>Cohort</t>
  </si>
  <si>
    <t>1) Check Cohort label in Respective Popup label on : Reports, Search Modules,Care Quality,Comparison</t>
  </si>
  <si>
    <t>Recent ER visit Report</t>
  </si>
  <si>
    <t>1) Click the Recent ER visit  report link.</t>
  </si>
  <si>
    <t>Generate Health plan Report</t>
  </si>
  <si>
    <t>1) Click the link Generate Health plan Report.</t>
  </si>
  <si>
    <t>Generate Health Plan Report</t>
  </si>
  <si>
    <t>1) Click 'Diagnosis Groups'</t>
  </si>
  <si>
    <t>D17</t>
  </si>
  <si>
    <t>D18</t>
  </si>
  <si>
    <t>Diabetics on an ACE/ARB</t>
  </si>
  <si>
    <t>Diabetics on oral anti diabetic agents</t>
  </si>
  <si>
    <t>Episodes</t>
  </si>
  <si>
    <t>Report Date</t>
  </si>
  <si>
    <t>Product</t>
  </si>
  <si>
    <t>Plan Analytics</t>
  </si>
  <si>
    <t>Test Environment</t>
  </si>
  <si>
    <t>Rel Ver</t>
  </si>
  <si>
    <t>Client</t>
  </si>
  <si>
    <t>Group/s</t>
  </si>
  <si>
    <t>Book Of Business</t>
  </si>
  <si>
    <t>Basis</t>
  </si>
  <si>
    <t xml:space="preserve">Paid </t>
  </si>
  <si>
    <t>Not Applicable</t>
  </si>
  <si>
    <t xml:space="preserve">Summary  </t>
  </si>
  <si>
    <t>SMOKE TEST CASE REVISION HISTORY</t>
  </si>
  <si>
    <t>Date</t>
  </si>
  <si>
    <t>Version</t>
  </si>
  <si>
    <t>Description</t>
  </si>
  <si>
    <t>Author/s</t>
  </si>
  <si>
    <t>Reviewer/s</t>
  </si>
  <si>
    <t>4.3</t>
  </si>
  <si>
    <t>Features added in check list for version 4.3</t>
  </si>
  <si>
    <t>AjitaP</t>
  </si>
  <si>
    <t>Start Date</t>
  </si>
  <si>
    <t>End Date</t>
  </si>
  <si>
    <t>Tester/s</t>
  </si>
  <si>
    <t>Overall Result</t>
  </si>
  <si>
    <t>Total LOA Count</t>
  </si>
  <si>
    <t>Front End Total Member</t>
  </si>
  <si>
    <t>Backend Total Members</t>
  </si>
  <si>
    <t>Result</t>
  </si>
  <si>
    <t>Parameters</t>
  </si>
  <si>
    <t>Value</t>
  </si>
  <si>
    <t>Front End LOA</t>
  </si>
  <si>
    <t>Back End LOA</t>
  </si>
  <si>
    <t>Medical</t>
  </si>
  <si>
    <t>Pharmacy</t>
  </si>
  <si>
    <t>Details</t>
  </si>
  <si>
    <t>Dashboard, FA Popup,CA Popup, QM popup</t>
  </si>
  <si>
    <t>Config table in DB</t>
  </si>
  <si>
    <t xml:space="preserve">Co Branded Client
</t>
  </si>
  <si>
    <t xml:space="preserve">1. Client specific logo should be visible for Co-branded Client.
</t>
  </si>
  <si>
    <t>Non Co-Branded Client</t>
  </si>
  <si>
    <t>1. Deerwalk logo should be visible for non Cobranded Client</t>
  </si>
  <si>
    <t xml:space="preserve">PHI User
</t>
  </si>
  <si>
    <t xml:space="preserve">1) on loging, PHI User should be logged in and should be landed to Makalu Dashboard.
</t>
  </si>
  <si>
    <t xml:space="preserve">1) on loging, non-PHI User should be logged in and should be landed to Makalu Dashboard. </t>
  </si>
  <si>
    <t>2) PHI data(member information) should not be visible to Non PHI users.</t>
  </si>
  <si>
    <t>Header Menu bar</t>
  </si>
  <si>
    <t xml:space="preserve">1) Dashboard should consist of the following sections:
Top Central Menu bar:
1) Report
     -Financial Analytics
     -Clinical Analytics
     -Program Evaluator
     -Report Manager
2) Search
     -Member
     -Medical
     -Pharmacy
     -Eligibility
     -Biometrics
     -HRA
     -Episodes
     -Utilization
     -Participation
3) Care Quality
4) Risk Analysis
5) Comparison
- below these menu, it should contain reporting period date, paid through date, basis, application details icon and population line with all selected LOAs parameters for dashboard graphs.
- Edit Dashboard population popup should appear
- Popup should contain clientwise LOAs with their options, cohort and reporting period date.
- The  LOAs preference selected for dashboard should not be carried over to any other module in the application.
</t>
  </si>
  <si>
    <t>Dashboard Body (Graph)</t>
  </si>
  <si>
    <t xml:space="preserve">1)Dashboard graphs should be displayed as per the user's selection and order in dashboard customization settings page. </t>
  </si>
  <si>
    <t>2) The graphs displayed should be as per the population selected in Edit Dashboard population popup.</t>
  </si>
  <si>
    <t>3) Drill down from Population Risk, Chronic Conditions and  Distribution of Health Care Expenses result to Member List page.</t>
  </si>
  <si>
    <t>4) Piwik JS code should be seen at Dashboard&gt;&gt;RightClick&gt;&gt;View page Source.</t>
  </si>
  <si>
    <t>Report</t>
  </si>
  <si>
    <t>Financial Analytics</t>
  </si>
  <si>
    <t xml:space="preserve">1) Financial Analytics Popup should appear.
</t>
  </si>
  <si>
    <t>2) Popup should contain Client wise LOAs with their respective options.</t>
  </si>
  <si>
    <t xml:space="preserve">1) All Records should be in accordance to LOA selected. (Health Plan Snapshot for default selection). All the criteria should be visible in left menu below Health plan Snapshot. 
</t>
  </si>
  <si>
    <t>3) Preference of LOA Selected from any Module of Search, Comparison and Financial Analytics should be reflected to all other Modules except for Dashboard.</t>
  </si>
  <si>
    <t xml:space="preserve">4) If Participation is selected, Program Type should appear. </t>
  </si>
  <si>
    <t>Group Summary Page</t>
  </si>
  <si>
    <t xml:space="preserve">1) Group Summary page should appear. 
</t>
  </si>
  <si>
    <t>2) Following columns should be present on Compare view:
  - Group, # of Subscribers, # of Members, Med Paid, Rx Paid, Total Paid, Med PEPM, Rx PEPM, Total PEPM, Group Risk Score. 
  - drilldown should be available on # of Subscribers, # of Members, Med Paid, Rx Paid, Group Risk Score
 - Page Total and Total should be present at the bottom</t>
  </si>
  <si>
    <t>3) Report should be able to export on pdf, doc and csv format. Exported report should match with Application report.</t>
  </si>
  <si>
    <t>Healthcare Trends&gt;&gt;Medical</t>
  </si>
  <si>
    <t xml:space="preserve">1) Healthcare Trends - Medical Page should apear. Medical Records should display
</t>
  </si>
  <si>
    <t>2) Label "This report always runs on a Paid Basis, even if it is selected as Incurred Basis when generating Financial Analytics." should be present.</t>
  </si>
  <si>
    <t>3) This label should be present at the top of all exports.</t>
  </si>
  <si>
    <t>5) Greater than value should accept value  between '10000' and 1 billion.</t>
  </si>
  <si>
    <t>6) Chart/Compare View options should be present on Monthly Analysis. User should be able to customize record view by using these tabs.</t>
  </si>
  <si>
    <t xml:space="preserve">7) Monthly Analysis chart should contain "Monthly Analysis ALL" chart </t>
  </si>
  <si>
    <t>8) Report should be able to export on pdf, doc and csv format. Exported report should match with Application report.</t>
  </si>
  <si>
    <t>Healthcare Trends&gt;&gt;Pharmacy</t>
  </si>
  <si>
    <r>
      <t xml:space="preserve">1) Click on link of </t>
    </r>
    <r>
      <rPr>
        <b/>
        <sz val="10"/>
        <color theme="1" tint="4.9989318521683403E-2"/>
        <rFont val="Calibri"/>
        <family val="2"/>
        <scheme val="minor"/>
      </rPr>
      <t xml:space="preserve">'+' </t>
    </r>
    <r>
      <rPr>
        <sz val="10"/>
        <color theme="1" tint="4.9989318521683403E-2"/>
        <rFont val="Calibri"/>
        <family val="2"/>
        <scheme val="minor"/>
      </rPr>
      <t>sign at right side of Greater than 1000 Tab</t>
    </r>
  </si>
  <si>
    <t xml:space="preserve">1) Healthcare Trends - Pharmacy Page should apear. Pharmacy records should display
</t>
  </si>
  <si>
    <t>4) Should contain "Periodic Analysis" and "Monthly Analysis" tabs. These tabs should contain sub tabs: "All" and "Greater than"</t>
  </si>
  <si>
    <t>5) Periodic Analysis: All
 - should contain records: Employer vs. Copay, Copay Breakdown of Scripts, Total Cost Breakdown</t>
  </si>
  <si>
    <t xml:space="preserve">2) Columns: Network, Network Status, # of Members, # of Claims, Total Billed Amount, Total Allowed Amount, Total Paid Amount, Total Employee Contribution, Network Discount Total Amount, % Discount should be present for both Reporting and Comparison </t>
  </si>
  <si>
    <t xml:space="preserve">3) In Network and Out of Network name should display.
</t>
  </si>
  <si>
    <t>4) Report should be able to export on pdf, doc and csv format. Exported report should match with Application report.</t>
  </si>
  <si>
    <t xml:space="preserve">1) Medical Claim Lag page should appear
</t>
  </si>
  <si>
    <t>2) "View Months" dropdown should be present. Its options should be 12, 24 and 36</t>
  </si>
  <si>
    <t>3) Columns: Paid date, Service date and Dollars (In 1,000s) should be present</t>
  </si>
  <si>
    <t>5) All Serivce date should be drillable</t>
  </si>
  <si>
    <t xml:space="preserve">1) Quality Metric page should appear.
</t>
  </si>
  <si>
    <t xml:space="preserve">2) "Change Metrics" should be present so that user can customize metrics that they want to view. </t>
  </si>
  <si>
    <t>3) Chart and Compare buttons should be present. Chart view should be default</t>
  </si>
  <si>
    <t>4) on chart view, it should contain columns: Category, Metric and Reporting period. 
 -  Metric column should contain its sub columns: 20%, 40%, 60%, 80% and 100%. These % should highlights categories description indicating its percentage.
 - Reporting peroid should contain sub columns: #Members in Group, #Meeting Metric, #Not Meeting Metric and % Meeting Metric. 
 - data #Members in Group, #Meeting Metric and #Not Meeting Metric should be drillable and should land to Member detail.</t>
  </si>
  <si>
    <t>5) Compare view should contain QM records of "Comparison Period" too.</t>
  </si>
  <si>
    <t>6) Report should be able to export on pdf, doc and csv format. Exported report should match with Application report.</t>
  </si>
  <si>
    <t xml:space="preserve">Diagnosis Groups </t>
  </si>
  <si>
    <t xml:space="preserve">1) Top 20 Diagnoses page should appear.
</t>
  </si>
  <si>
    <t>2) Grouper and Sub-Grouper should be available as drop -down option.</t>
  </si>
  <si>
    <t>3) Data table should contain columns: SN, Diagnoses and Reporting Period. Reporting Coluums should contains sub columns: Total Paid Amount and PMPM. Total Paid Amount should be drillable and it should lead to Medical data list page.</t>
  </si>
  <si>
    <t>4) Compare view should contain Top 20 Diagnosis records of "Comparison Period" too. It should also contain % Change and Prior Period Ranking column</t>
  </si>
  <si>
    <t>5) data table should contain All Others, Total Paid Amount and Total PMPM at the buttom for both Reporting and Comparison periods.</t>
  </si>
  <si>
    <t>Procedure Groups</t>
  </si>
  <si>
    <t>1) Top 20 Procedure page should appear.</t>
  </si>
  <si>
    <t>2) Data table should contain following columns: SN,Procedure Group and Reporting Period. Reporting Coluums should contains sub columns: Total Paid Amount and PMPM. Total Paid Amount should be drillable and it should lead to Medical data list page.</t>
  </si>
  <si>
    <t>3) "Compare" view should contain Top 20 Procedure records of "Comparison Period" too. It should also contain % Change and Prior Period Ranking column</t>
  </si>
  <si>
    <t>4) data table should contain All Others, Total Paid Amount and Total PMPM at the buttom for both Reporting and Comparison periods.</t>
  </si>
  <si>
    <t>5) Report should be able to export on pdf, doc and csv format. Exported report should match with Application report.</t>
  </si>
  <si>
    <t>Therapeutic Classes</t>
  </si>
  <si>
    <t xml:space="preserve">1) Top 20 Therapeutic page should appear.
</t>
  </si>
  <si>
    <t>2) Data table should contain columns: SN,Therapeutic Classes and Reporting Period. Reporting Columns should contains sub columns: Total Paid Amount and PMPM. Total Paid Amount should be drillable and it should lead to Medical data list page.</t>
  </si>
  <si>
    <t>3) Compare view should contain Top 20 Therapeutic records of "Comparison Period" too. It should also contain % Change, Member Count and Prior Period Ranking column</t>
  </si>
  <si>
    <t>Drugs</t>
  </si>
  <si>
    <t xml:space="preserve">1) Top 20 Drugs page should appear.
</t>
  </si>
  <si>
    <t>2) Data table should contain following columns: SN, Drugs, Generic and Reporting Period. Reporting Columns should contains sub columns: Total Paid Amount, Prescription Count, Member Count and PMPM. Total Paid Amount should be drillable and it should lead to Medical data list page.</t>
  </si>
  <si>
    <t>3) Compare view should contain Top 20 Drugs records of "Comparison Period" too. It should also contain % Change, Member Count and Prior Period Ranking column</t>
  </si>
  <si>
    <t>Injectable Drugs</t>
  </si>
  <si>
    <t xml:space="preserve">1) Top 20 Injectable Drugs page should appear.
</t>
  </si>
  <si>
    <t>2) Data table should contain following column: SN, Injectable drugs and Reporting Period. Reporting Columns should contains sub columns: Total Paid Amount and PMPM. Total Paid Amount should be drillable and it should lead to Medical data list page.</t>
  </si>
  <si>
    <t>3) Compare view should contain Top 20 Injectable Drugs records of "Comparison Period" too. It should also contain % Change, Member Count and Prior Period Ranking column</t>
  </si>
  <si>
    <t xml:space="preserve">1) Top 20 Providers page should appear.
</t>
  </si>
  <si>
    <t>2) Data table should contain columns: SN,Providers and Reporting Period. Reporting Columns should contains Total Paid Amount which should be drillable and should lead to Medical data list page.</t>
  </si>
  <si>
    <t>3) Compare view should contain Providers record of "Comparison Period" too. It should also contain % Change and Prior Period Ranking column</t>
  </si>
  <si>
    <t>Place of Service</t>
  </si>
  <si>
    <t>2) Data table should contain following columns: SN, POS and Reporting Period. Reporting Coluums should contains sub columns: Total Paid Amount, PMPM and Benchmark. Total Paid Amount should be drillable and it should lead to Medical data list page.</t>
  </si>
  <si>
    <t>MEG Episode</t>
  </si>
  <si>
    <t xml:space="preserve">1) Top 20 MEG Episodes page should appear.
</t>
  </si>
  <si>
    <t>2) Data table should contain columns: SN, Top 20 Episodes, Episode Type and Reporting Period. 
 - Reporting Coluums should contains sub columns: Count and Total Paid Amount. These sub-columns should be drillable. On drilling Count, it should lead to Episode data list Page.  Total Paid Amount should lead to Medical data list page.</t>
  </si>
  <si>
    <t>3) Compare view should contain Top 20 MEG Episodes record of "Comparison Period" too. It should also contain % Change and Prior Period Ranking column</t>
  </si>
  <si>
    <t xml:space="preserve">1) Utilization Metric page should appear.
</t>
  </si>
  <si>
    <t>2) Page should contain UM data table of Reporting and Comparison period.</t>
  </si>
  <si>
    <t>3) Data table should contain columns: UM, Unit, Reporting Period, Comparison Period  and % Change.</t>
  </si>
  <si>
    <t xml:space="preserve">4) Reportiong and Comparison Peroid should contain sub-columns: Group and Plan + Member Paid Avg </t>
  </si>
  <si>
    <t xml:space="preserve">5) Unit column should have option per 1000 and Total. </t>
  </si>
  <si>
    <t>6) If Participation and Its Program type is selected, then Program types tabs should be present along with participation, non-participation columns.</t>
  </si>
  <si>
    <t xml:space="preserve">Prevalance </t>
  </si>
  <si>
    <t xml:space="preserve">1) Utilization page should appear.
</t>
  </si>
  <si>
    <t>2) Page should contain Utilization data table of Reporting and Comparison period.</t>
  </si>
  <si>
    <t>3) Data table should contain columns: Chronic Condition Per 1000, Office Visits per 1000, ER Visits per 1000, Admits per 1000,  30 Day Re-Admit Rate and  PMPY</t>
  </si>
  <si>
    <t xml:space="preserve">1) Distribution of Healthcare Expenses page should appear
</t>
  </si>
  <si>
    <t>2) Expense Distribution page should contains following Tables:
i) Expense Grid.
Ii) Reporting Period
iii) Comparison Period
 - These data tables should contain "Total"</t>
  </si>
  <si>
    <t xml:space="preserve">1) High Cost Members page should be present
</t>
  </si>
  <si>
    <t>2) Data table should contain columns: SN, Member ID, Rel Code, Gender, Age, Current Status, Highest Paid Diagnosis, MARA Risk Score, Medical Cost, Pharmacy Cost and Total Cost</t>
  </si>
  <si>
    <t>3) Member ID should be drillable and Should lead to Member Detail page</t>
  </si>
  <si>
    <t>4) Page Total and High Cost Total should be present</t>
  </si>
  <si>
    <t>5) Records for Comparison Period should be present at the bottom with columns: Count of Member, Medical Cost, Pharmacy Cost and  Total</t>
  </si>
  <si>
    <t xml:space="preserve">1) Membership Distribution by Age / Gender page should appear.
</t>
  </si>
  <si>
    <t>2) Page should contain Membership distribution data table of Reporting and Comparison period.</t>
  </si>
  <si>
    <t>3) Following columns should be present: Age Band, Female, Male, Total and  %</t>
  </si>
  <si>
    <t>4) Columns Female, Male and Total should be drillable and should leads to Member List page</t>
  </si>
  <si>
    <t>5) data "Total" should be present at the bottom</t>
  </si>
  <si>
    <t>6) Null relationship should not be present</t>
  </si>
  <si>
    <t>7) Report should be able to export on pdf, doc and csv format. Exported report should match with Application report.</t>
  </si>
  <si>
    <t>Coverage by Relationship</t>
  </si>
  <si>
    <t>Coverage by Relationship code</t>
  </si>
  <si>
    <t xml:space="preserve">1) Coverage by Relationship code page should be present
</t>
  </si>
  <si>
    <t>2) Coverage By Relationship Class and Coverage By Relationship Code Should be present as drop-down options. Respective data should appear on data table on selecting these options.</t>
  </si>
  <si>
    <t>3) Page should contain Coverage by Relationship data table of Reporting and Comparison period. Columns "Counts" and "Amount Paid" should be present. data on Counts should be drillable and should lead to Member list page.</t>
  </si>
  <si>
    <t>4) Data Total should be present at the bottom</t>
  </si>
  <si>
    <t>5) If Participation and Its Program type is selected, then Program types tabs should be present along with participation, non-participation columns.</t>
  </si>
  <si>
    <t xml:space="preserve">6) Report should be able to export on pdf, doc and csv format. Exported report should match with Application report.
</t>
  </si>
  <si>
    <t>Coverage by Relationship class</t>
  </si>
  <si>
    <t>1) Coverage by Relationship class page should be present</t>
  </si>
  <si>
    <t>2) Relationship by Class should be display</t>
  </si>
  <si>
    <t xml:space="preserve">1) Health plan report should download in PDF format.
</t>
  </si>
  <si>
    <t>2) Exported report should contain all FA reports.</t>
  </si>
  <si>
    <t xml:space="preserve">1) Report Package page should be appear.
</t>
  </si>
  <si>
    <t>2) User should be able to save report package and change their orders.</t>
  </si>
  <si>
    <t>3) Saved Report Packages should be avalaible in the header to load the saved packages.</t>
  </si>
  <si>
    <t xml:space="preserve">4) The report can be download in pdf and doc . </t>
  </si>
  <si>
    <t>5) Generated report should contian all selected records</t>
  </si>
  <si>
    <t>6) If Cohort is selected then its information should be present in printed report.</t>
  </si>
  <si>
    <t>Clinical Analysis</t>
  </si>
  <si>
    <t>Clinical Parameters Pop-up</t>
  </si>
  <si>
    <t xml:space="preserve">1) Clinical Analytics Popup should appear.
</t>
  </si>
  <si>
    <t xml:space="preserve">1) All Records should be in accordance to LOA selected. (Frequency of Selected Procedures for default selection).
</t>
  </si>
  <si>
    <t xml:space="preserve">2) All the criteria should be visible in left menu below Clinical Analytics. </t>
  </si>
  <si>
    <t xml:space="preserve">3) If Participation is selected, Program Type should appear. </t>
  </si>
  <si>
    <t>Frequency of Selected Procedures</t>
  </si>
  <si>
    <t xml:space="preserve">1) Frequency of Selected Procedures Page should appear
</t>
  </si>
  <si>
    <t>2) Page should contain Procedure data table of Reporting and Comparison period.</t>
  </si>
  <si>
    <t>3) Data table should contain following columns: Procedure, #Procedures Done, # Members with Procedure, Procedures/ 1000 Members and Procedures per 1000</t>
  </si>
  <si>
    <t>4) Columns "# Procedures Done" and  "# Members with Procedure" should be drillable and should lead to Member Data List and Member List respectively</t>
  </si>
  <si>
    <t>Re-Admission Report</t>
  </si>
  <si>
    <t xml:space="preserve">1) Re-Admission Report Page should appear
</t>
  </si>
  <si>
    <t>2) Dropdown should be present with options: All, Facility, PCP. Selecting Facility/PCP, respective options should be available on their pop-up</t>
  </si>
  <si>
    <t>3) Data table should be present for Reporting and Comparison Period with following columns: Condition, # of Inpatient Admits, # 7Day Re-admit, % 7Day Re-admit, # 15Day Re-admit, % 15Day Re-admit, # of Members with Readmissions and  % 30Day Re-admit</t>
  </si>
  <si>
    <t xml:space="preserve">4) Columns with # shoul be drillable </t>
  </si>
  <si>
    <t xml:space="preserve">1) Program Summary page should be accessable only if Participation is selected
</t>
  </si>
  <si>
    <t>2) It should contain data tables for Reporting and Comparison Period with following columns: Group, # In Program, # New to Program, # Closed from Program, Avg. Length in Program [months], Avg. # Chronic Conditions and  # Members in &gt; 1 Program</t>
  </si>
  <si>
    <t>3) Page Total and All Groups should be present at the bottom.</t>
  </si>
  <si>
    <t xml:space="preserve">
4) On drilling down groups, it should direct to Program Summary Detail Page
  - Group name should be present at the middle
  - Program Type tab should be present. Clicking it, its sub program type tabs should be present with respective data
  - Columns: Metrics, Reporting Period, Comparison Period
and % Change should be present
  - Reporting and Comparison period should have sub columns: Group, Participating  and Non-Participating 
  - Metrics: Admits[Excluding Deliveries], IP Days and ER Visits should be drillable</t>
  </si>
  <si>
    <t xml:space="preserve">1) Recent ER visit page should appear.
</t>
  </si>
  <si>
    <t>2)View for Last: Number of Days(30,45,60,90) From:  [Date of Cycle End in MM-DD-YYYY format] should be present. Records should display in accordance to these options selected.</t>
  </si>
  <si>
    <t>3) The  Cycle End Date should be static.</t>
  </si>
  <si>
    <t>4) On Changing the reporting date in Clinical Analytics Pop-up the cycle date should not be changed also the records remain same.</t>
  </si>
  <si>
    <t xml:space="preserve">5) On Breadcrumb, Utilization&gt;&gt;ER Visits should be present. User should be able to change Utilization type from all its available options. </t>
  </si>
  <si>
    <t>6) Visit ID and Member ID should be drillable and should leads to Member Data List and Member Detail page respectively.</t>
  </si>
  <si>
    <t>7) Cogwheel&gt;&gt; Show/Hide: All requried fields should be present.</t>
  </si>
  <si>
    <t>8) Cogwheel&gt;&gt;Saved Filters/Saved Cohorts should be function properly.</t>
  </si>
  <si>
    <t>9) Report should be able to export on pdf, doc and csv format. Exported report should match with Application report.</t>
  </si>
  <si>
    <t>Potentially Avoidable ER Visits</t>
  </si>
  <si>
    <t>2) Data table should contain "Reason for ER Visit" records for Reporting and Comparison period</t>
  </si>
  <si>
    <t>3) Reporting/Comparison periods should contain following columns: # ER Visits for Diagnosis, # Members with ER Vst. for Dx, ER Visits / 1000 Members, ER Visits / 1000  and % of All ER Visits</t>
  </si>
  <si>
    <t>4) All Avoidable ER Results  should be present at the bottom</t>
  </si>
  <si>
    <t>5) Columns # ER Visits for Diagnosis and # Members with ER Vst. for Dx should be drillable and should leads to Utilization Data List and Member List respectively.</t>
  </si>
  <si>
    <t>1) Health plan report should be downloaded in PDF format.</t>
  </si>
  <si>
    <t>2) Exported report should contain all CA reports.</t>
  </si>
  <si>
    <t xml:space="preserve">1) Custom Reports page should be appear.
</t>
  </si>
  <si>
    <t>2) Save Package and Run as Batch button should be present.</t>
  </si>
  <si>
    <t>3)User should be able to save report package and change their orders.</t>
  </si>
  <si>
    <t>4) Saved Report Packages should be avalaible in the header to load the saved packages.</t>
  </si>
  <si>
    <t>5)The report can be downloaded in both pdf and doc format.</t>
  </si>
  <si>
    <t>6) Exported report should contain all selected CA reports</t>
  </si>
  <si>
    <t>1. Check the each sections of the Report Manager Page.</t>
  </si>
  <si>
    <t xml:space="preserve">1) Member Search  page should appear with default fields
</t>
  </si>
  <si>
    <t>2) User should be able to add more fields from Cogwheel&gt;&gt;Add more field</t>
  </si>
  <si>
    <t>3) Fields should have pop-up with all respective options. For instance, Procedure should have all Procedure options on its popup</t>
  </si>
  <si>
    <t>4) On Member List page, User should be able to implement show/hide fields, cohort</t>
  </si>
  <si>
    <t>5) "Show/Hide fields" pop-up should contain all available fields</t>
  </si>
  <si>
    <t>6) Exported CSV report should match Applicaiton record</t>
  </si>
  <si>
    <t>7) SumIt should pe properly functioned.</t>
  </si>
  <si>
    <t>8) Member ID should be drilllable and should lead to Member Detail page</t>
  </si>
  <si>
    <t xml:space="preserve">1) Pharmacy Data Search page should appear with default fields
</t>
  </si>
  <si>
    <t xml:space="preserve">3) Fields should have pop-up with all respective options. </t>
  </si>
  <si>
    <t>4) Pharmacy Data List page, User should be able to implement show/hide fields, cohort</t>
  </si>
  <si>
    <t>6) SumIt should pe properly functioned.</t>
  </si>
  <si>
    <t>7) Exported CSV report should match Applicaiton record</t>
  </si>
  <si>
    <t xml:space="preserve">1) Biometrics Data Search page should appear with default fields
</t>
  </si>
  <si>
    <t xml:space="preserve">
3) Fields should have pop-up with all respective options.</t>
  </si>
  <si>
    <t xml:space="preserve">
4) Biometrics Data List page, User should be able to implement show/hide fields</t>
  </si>
  <si>
    <t xml:space="preserve">
5) "Show/Hide fields" pop-up should contain all available fields</t>
  </si>
  <si>
    <t xml:space="preserve">
6) Exported CSV report should match Applicaiton record</t>
  </si>
  <si>
    <t>7) Click to add more fields should contain "Biometrics Vitals" with its options</t>
  </si>
  <si>
    <t xml:space="preserve">1)Episodes Data Search page should appear with default fields
</t>
  </si>
  <si>
    <t>3) Fields should have pop-up with all respective options.</t>
  </si>
  <si>
    <t>4) Episodes Data List page, User should be able to implement show/hide fields</t>
  </si>
  <si>
    <t>Participation</t>
  </si>
  <si>
    <t xml:space="preserve">1) Participation Data Search page should appear with default fields
</t>
  </si>
  <si>
    <t>3) Fields should have pop-up with all respective options</t>
  </si>
  <si>
    <t>4) Participation Data List page, User should be able to implement show/hide fields</t>
  </si>
  <si>
    <t>7) Columns: Program Type, Program and Program Code should be present</t>
  </si>
  <si>
    <t xml:space="preserve">1) Medical Data Search page should appear with default fields
</t>
  </si>
  <si>
    <t>4) Medical Data List page, User should be able to implement show/hide fields</t>
  </si>
  <si>
    <t>8) Exported CSV report should match Applicaiton record</t>
  </si>
  <si>
    <t xml:space="preserve">1) Eligibility Data Search page should appear with default fields
</t>
  </si>
  <si>
    <t>4) Eligibility Data List page, User should be able to implement show/hide fields</t>
  </si>
  <si>
    <t xml:space="preserve">1) Utilization Data Search page should appear with default fields
</t>
  </si>
  <si>
    <t>4) Utilization Data List page, User should be able to implement show/hide fields</t>
  </si>
  <si>
    <t xml:space="preserve">Care Quality </t>
  </si>
  <si>
    <t xml:space="preserve">1) Care Quality page should appear.
</t>
  </si>
  <si>
    <t xml:space="preserve">2) Mesurement Period and View Metrics fields should be present along with LOA </t>
  </si>
  <si>
    <t>3) View Metrics: Radio botton for All, By Category ,By Metric fields should display. After click on radio botton, pop up of respective fields should display.</t>
  </si>
  <si>
    <t xml:space="preserve">1) Risk Analysis page should appear
</t>
  </si>
  <si>
    <t>2) View By Participation should be checked in default</t>
  </si>
  <si>
    <t>3) All, Participating and Non-Participating Links should be visible for every groups.</t>
  </si>
  <si>
    <t>4) On clicking Add button next to Group, "Select Filter" should  pop up.</t>
  </si>
  <si>
    <t>5) Select FIlter should have two options: Filter Group and (From and To) date</t>
  </si>
  <si>
    <t>6) Filter Group should have dropdown showing clientwise groups. Records should be in accordance to these filters selected.</t>
  </si>
  <si>
    <t>7) Selected From and To date should appear on Reporting period of following pages: Risk Analysis, Group Risk Distribution Report (appears when group is drilleddown) and Member Risk Analysis(appears on drillingdown relationship tabs of Group Risk Analysis).</t>
  </si>
  <si>
    <t xml:space="preserve">8) Amount Drop down should be visible. It should contain Following values:
a) Paid  b) Allowed
</t>
  </si>
  <si>
    <t>9) Total Paid and PMPM record should be present for Acutal, Expected and Prospective column</t>
  </si>
  <si>
    <t>10) "Total" should be present at the bottom.</t>
  </si>
  <si>
    <t>11) Concurrent and Prospective Risk Score columns should be present</t>
  </si>
  <si>
    <t>12) Exported CSV report should match Applicaiton record</t>
  </si>
  <si>
    <t xml:space="preserve">1) Trending and comparisoion video should be present only for Non-CoBranded Client.
</t>
  </si>
  <si>
    <t xml:space="preserve">2) User should be able to add Population by clicking "Population". Pop up should have LOAs and Cohort. </t>
  </si>
  <si>
    <t>3) User should be able to change data range by clicking reporting period below Population.</t>
  </si>
  <si>
    <t>4) On clicking add another population below video the Add population LOA with different pop-up should present.</t>
  </si>
  <si>
    <t>5) Individual data search result page should appear.</t>
  </si>
  <si>
    <t>6) records for Health Plan Snapshot should be default</t>
  </si>
  <si>
    <t>8) Data table shoud display records according to category selected</t>
  </si>
  <si>
    <t xml:space="preserve">1) Clicking Cohort, Load Cohort should pop up
</t>
  </si>
  <si>
    <t>2) Cohort label should appear only if user select cohort from Load cohort page.</t>
  </si>
  <si>
    <t>3) Cohort with filter of LOAs is possible only when the cohort is saved without the filter of LOAs.</t>
  </si>
  <si>
    <t>4)  It should be applied for Reports, Search Modules (except Member),Care Quality,Comparison</t>
  </si>
  <si>
    <t>Settings Cogwheel</t>
  </si>
  <si>
    <t xml:space="preserve">Setting cogwheel should contain following options:
1) Settings
2) Change Password
3) Report Archive
4) Logout
</t>
  </si>
  <si>
    <t>Settings</t>
  </si>
  <si>
    <t xml:space="preserve">1) Settings Page should appear
</t>
  </si>
  <si>
    <t>2) User should be able to customize Profile, Dashobard, QM and LOAs by using following setting tabs:
 i) Profile settings
 ii) Dashboard Customization
 iii) Quality Metrics 
 iv) Level of Aggregation
 v) Chronic Conditions</t>
  </si>
  <si>
    <t>3) If show BoB Column on printed report'  is selected then new template should be shown</t>
  </si>
  <si>
    <t>4) The healthplan snapshot template should include BOB column.</t>
  </si>
  <si>
    <t>5) Options selected on Chronic Conditions should appear on FA&gt;&gt;Chronic Conditions&gt;&gt;Prevalence/Utilization</t>
  </si>
  <si>
    <t>6) Clicking on Save button should preserve any changes made by the user.</t>
  </si>
  <si>
    <t xml:space="preserve">7) Clicking on Reset button should return the checked/unchecked configuration to the last save point. </t>
  </si>
  <si>
    <t xml:space="preserve">1) On Dashboard Customization, report options: Dollars Per Claim Over Time and 24 Months Membership Distribution should be present. On dashboard these reports should appear if selected.
</t>
  </si>
  <si>
    <t>2) On Dashboard, 24 month membership graph  should be a line chart with the following lines: Subscribers, Members, Claimants</t>
  </si>
  <si>
    <t xml:space="preserve">3) On Dashboard, Dollars Per Claim over time should be a line chart. </t>
  </si>
  <si>
    <t>Report Archive</t>
  </si>
  <si>
    <t xml:space="preserve">1) Downloaded files list should Appear
</t>
  </si>
  <si>
    <t>2) Only currently downloading report should get auto freshed in every 10 seconds showing its current status of the download.</t>
  </si>
  <si>
    <t>3) "New" button should appear when download gets complete.</t>
  </si>
  <si>
    <t>4)  Downloaded report should be mark as "New" untill user doesn't download it on pc. "New" lable should auto remove once user download the file.</t>
  </si>
  <si>
    <t>5) User should be able to download old files</t>
  </si>
  <si>
    <t>6) "Delete" link should be present next to the "Download" link. Confirmation pop-up should appear before deleting a file.</t>
  </si>
  <si>
    <t xml:space="preserve">7) Report archive should contain columns: File Name, Start Date, Completed Date and Report Status. </t>
  </si>
  <si>
    <t>1) User should be able to logout from the application</t>
  </si>
  <si>
    <t>1) Footer should contain following links: Clinical Analytics, Report Manager, Financial Analytics ,Program Evaluator, Member Search, Care Quality, Risk Analysis and Comparison
2) Clicking these links should lead to respective pages.
3) PA version should be present</t>
  </si>
  <si>
    <t>1) Logo should be visible for non co branded client and should redirect to QA verification page.
2) Logo should not be visible for non co branded clients.</t>
  </si>
  <si>
    <t>Benchmarks</t>
  </si>
  <si>
    <t>Benchmark Setting Changes(Admin panel)</t>
  </si>
  <si>
    <t xml:space="preserve">1) If benchmark is enable, it should display in the application.
</t>
  </si>
  <si>
    <t>2) If benchmark is disable, It shouldnot disiplay in the application.</t>
  </si>
  <si>
    <t xml:space="preserve">New Benchmarks </t>
  </si>
  <si>
    <t>1)Check for new Truven benchmarks into our application</t>
  </si>
  <si>
    <t>1. (If enabled) Benchmark Column shoud appear
inside Reporting Period and exported pdf, doc and csv report for
- HealthCare Trend Medical
- Healthcare Trends RX
-  Quality Metrics
- Top 20 Diagnosis Groups/Subgroups
- Top 20 Procedure
- Top 20 Therapeutic Class
- Top 20 POS 
- Utilization Metrics
- Chronic Conditions Prevalence 
- Chronic Conditions Utilization
- Expense Distribution
- Membership Distribution
- Coverage by Relationship Class</t>
  </si>
  <si>
    <t>Export</t>
  </si>
  <si>
    <t xml:space="preserve">1) 5K data should be directly downloaded in excel format.
Maximum 250k data should be exported from report archive search pages.
</t>
  </si>
  <si>
    <t>2) records greater than 5k should download on Report Archive.</t>
  </si>
  <si>
    <t xml:space="preserve">3) on SumIT, records greater than 500 should download on Report Archive </t>
  </si>
  <si>
    <t>4) Exported pdf and doc report must contain the name of the selected LOA when single LOA is selected and in case of multiple selection custom population must be displayed</t>
  </si>
  <si>
    <t>View Member</t>
  </si>
  <si>
    <t>View Member Icon</t>
  </si>
  <si>
    <t>1) View Member icon should appear when user use a filter on Search modules except Member Search 
2) Clicking this icon, user should direct to Member List page</t>
  </si>
  <si>
    <t xml:space="preserve">Member Detail </t>
  </si>
  <si>
    <t xml:space="preserve">1) Drillingdown Member ID, it should directs to Member Detail Page
</t>
  </si>
  <si>
    <t>2) On Member detail section: Medical Paid, Pharmacy Paid and Total Paid for that Member shhould be present</t>
  </si>
  <si>
    <t>3) Medical, Pharmacy, Biometrcis,HRA and All  records of that member should be present. "Add Criteria" and "Show/Hide Fields" should change its option according to these tabs selected.</t>
  </si>
  <si>
    <t>4) SumIt function should be present for Member and Pharmacy records.</t>
  </si>
  <si>
    <t>5) Exported CSV report should match Applicaiton record</t>
  </si>
  <si>
    <t xml:space="preserve">1) Data table of that member for Claim Summary, Diagnosis Groupers, Procedure Groupers, Drugs, Professional Providers, Institutional Providers, Hospitalizations and ER Visits should be present
 </t>
  </si>
  <si>
    <t>2) If any of the above is not provided then it should be notify at the button on a Note section</t>
  </si>
  <si>
    <t>3) Graph icon should be present. Clicking it Event Log Graph should popup</t>
  </si>
  <si>
    <t xml:space="preserve">4) Tab view/List view should be available </t>
  </si>
  <si>
    <t>5) Exported pdf report should match Applicaiton record</t>
  </si>
  <si>
    <t xml:space="preserve">1) MARA Risk Score Graph should be present for that Member 
</t>
  </si>
  <si>
    <t>2) Graph should be a result of MARA Risk Score(x-axis) and Data Period (y-axis)</t>
  </si>
  <si>
    <t>3) On Switching view, graph should be replaced by its data table</t>
  </si>
  <si>
    <t>4) Clinical Risk Drivers pie chart should be present</t>
  </si>
  <si>
    <t>5) Chronic Conditons, Care Alerts data table should be present</t>
  </si>
  <si>
    <t>6) Care Alert should display of the earliest date if multiple same care alerts appear with different dates.</t>
  </si>
  <si>
    <t>7) Care Alert should display only one date if same care alerts appear in same date.</t>
  </si>
  <si>
    <t>8) Event Log chart should be present</t>
  </si>
  <si>
    <t>9) Exported pdf report should match Applicaiton record</t>
  </si>
  <si>
    <t xml:space="preserve">1) Data table should contain columns: Program Type, Program
Program Code on which that member is associate.
</t>
  </si>
  <si>
    <t>2) Show/Hide fields popup should contain all required options</t>
  </si>
  <si>
    <t>3) on selecting Saved Cohort/Filters, respective data should display.</t>
  </si>
  <si>
    <t>4) Add More Filter should contain options related to Participation on its dropdown</t>
  </si>
  <si>
    <t>5) Exported CSV record should match Application record</t>
  </si>
  <si>
    <t xml:space="preserve">1) Basis should be of two type: Incurred and Paid
</t>
  </si>
  <si>
    <t>2) It shoud be present on FA, CA, Dashboard&gt;&gt;Edit BOB and Comparison</t>
  </si>
  <si>
    <t>3) Records should be display according to selected Basis Type</t>
  </si>
  <si>
    <t>4) Default should be incurred</t>
  </si>
  <si>
    <t>Saved Filters</t>
  </si>
  <si>
    <t xml:space="preserve">1) Clicking Saved Filters, Load Criteria should pop up.
</t>
  </si>
  <si>
    <t>2) Popup should display all shared filters and self saved filters</t>
  </si>
  <si>
    <t>3) On selecting particular filter, records for that filter should appear</t>
  </si>
  <si>
    <t>4)  Selected Filter should appear as a breadcrumb on Search List page</t>
  </si>
  <si>
    <t>Saved Cohorts</t>
  </si>
  <si>
    <t xml:space="preserve">1) Clicking Saved Cohort, Load Cohort should pop up.
</t>
  </si>
  <si>
    <t>2) Popup should display all shared Cohorts and self saved cohorts</t>
  </si>
  <si>
    <t>3) On selecting particular cohort, records for that cohort should appear</t>
  </si>
  <si>
    <t xml:space="preserve">4) Selected Cohort detail should appear on Search List page </t>
  </si>
  <si>
    <t>Advanced Query</t>
  </si>
  <si>
    <t xml:space="preserve">1) Clicking Advanced Query, Advanced Query should pop up
2)  AND/OR feature should be present
</t>
  </si>
  <si>
    <t>2)  AND/OR feature should be present
3) "Add Rule" and "Add Group" button should be present</t>
  </si>
  <si>
    <t>4) On clicking Add group button it should be added under the present AND/OR tab</t>
  </si>
  <si>
    <t>5) "Data category selection box" should be present under AND,OR Tab</t>
  </si>
  <si>
    <t>6) "Delete button" should be present at the right side of Data Category selection box</t>
  </si>
  <si>
    <t>7) Data field category:
  - The selection on the first data field will determine which field to   select on the next drop down list.
 -  The corresponding fields can be dropdown list, equals operator for the field,pop up or value field depending on the selection of the data category.
 - The Field should show the corresponding data of the selected category.</t>
  </si>
  <si>
    <t>Sumit</t>
  </si>
  <si>
    <t>Lab</t>
  </si>
  <si>
    <t>Annual HgA1c test done</t>
  </si>
  <si>
    <t>W38</t>
  </si>
  <si>
    <t>Females age 13 with 3 doses of HPV vaccine</t>
  </si>
  <si>
    <t>H05</t>
  </si>
  <si>
    <t>Office visit with primary physician &amp; specialist in last 12 months</t>
  </si>
  <si>
    <t>B07</t>
  </si>
  <si>
    <t>Heart failure and atrial fibrillation on anticoagulant therapy</t>
  </si>
  <si>
    <t xml:space="preserve">TEST EXECUTION HISTORY </t>
  </si>
  <si>
    <t>DurgaS</t>
  </si>
  <si>
    <t>i) Features added in checklist for version 5.0</t>
  </si>
  <si>
    <t>i) Features added in checklist for version 4.9</t>
  </si>
  <si>
    <t>DirghayuM</t>
  </si>
  <si>
    <t>Nisha Thapa</t>
  </si>
  <si>
    <t>i) Features added in checklist for version 4.8</t>
  </si>
  <si>
    <t>Sushmita Sharma</t>
  </si>
  <si>
    <t>i) Features added in checklist for version 4.7</t>
  </si>
  <si>
    <t>ManiG</t>
  </si>
  <si>
    <t>Shandipta Rai</t>
  </si>
  <si>
    <t>i) Features added in checklist for version 4.5</t>
  </si>
  <si>
    <t>SumiraS</t>
  </si>
  <si>
    <t>SandipA</t>
  </si>
  <si>
    <t>i)Features added in check list for version 4.4
ii)LOA wise Testing Check list
iii)Check List for Export Service
iv)Check lIst for Benchmark column</t>
  </si>
  <si>
    <t>4.4</t>
  </si>
  <si>
    <t>All page sholuld be open</t>
  </si>
  <si>
    <t>F435</t>
  </si>
  <si>
    <t>page should open</t>
  </si>
  <si>
    <t>1.Utilization
   i.Inpatients Analysis
        a.Cost
        b.Utilization
        c.Readmission
   ii.Outpatient Analysis
       a.Outpatient Services
       b.Visit By Speciality
       c.Speciality Services</t>
  </si>
  <si>
    <t>F434</t>
  </si>
  <si>
    <t>Geographic Data</t>
  </si>
  <si>
    <t>F433</t>
  </si>
  <si>
    <t>Claim Data
   i.Submitted/Discounts
   ii.Medical Claims
   iii.Rx Claims
   iv.EM/MM page should open</t>
  </si>
  <si>
    <t>Demographic Data</t>
  </si>
  <si>
    <t>F432</t>
  </si>
  <si>
    <t>1. when the report is exported selecting multiple loa : instead of just showing numbers selected(in multiple selection case), All the selected values should be shown</t>
  </si>
  <si>
    <t>1.Claim Data
   i.Submitted/Discounts
   ii.Medical Claims
   iii.Rx Claims
   iv.EM/MM</t>
  </si>
  <si>
    <t>F431</t>
  </si>
  <si>
    <t>1. Custom Report page should open</t>
  </si>
  <si>
    <t>1. Check the excel report</t>
  </si>
  <si>
    <t>F430</t>
  </si>
  <si>
    <t>1. Click on Custom Report</t>
  </si>
  <si>
    <t>Custom Report</t>
  </si>
  <si>
    <t>F429</t>
  </si>
  <si>
    <t>5.0 Feature(Diagnosis and Procedure desc added)</t>
  </si>
  <si>
    <t xml:space="preserve">1) This feature should be present on following Search: Pharmacy,  Medical, Utilization, Episodes
2) This feature should be present on Recent ER Visits of CA.
3) Summarize By field should contail client wise LOAs as its dropdown options
4) Total row should be appear with sum where SumIt appears.
5) All Daignosis and Procedure Description should be present in Summarize By fields in Medical Data List.
</t>
  </si>
  <si>
    <t>F428</t>
  </si>
  <si>
    <t>F427</t>
  </si>
  <si>
    <t>F426</t>
  </si>
  <si>
    <t>F425</t>
  </si>
  <si>
    <t>F424</t>
  </si>
  <si>
    <t>F423</t>
  </si>
  <si>
    <t>F422</t>
  </si>
  <si>
    <t>F421</t>
  </si>
  <si>
    <t>F420</t>
  </si>
  <si>
    <t>F419</t>
  </si>
  <si>
    <t>F418</t>
  </si>
  <si>
    <t>F417</t>
  </si>
  <si>
    <t>F416</t>
  </si>
  <si>
    <t>F415</t>
  </si>
  <si>
    <t>F414</t>
  </si>
  <si>
    <t>F413</t>
  </si>
  <si>
    <t>F412</t>
  </si>
  <si>
    <t>F411</t>
  </si>
  <si>
    <t>F410</t>
  </si>
  <si>
    <t>F409</t>
  </si>
  <si>
    <t>F408</t>
  </si>
  <si>
    <t>F407</t>
  </si>
  <si>
    <t>F406</t>
  </si>
  <si>
    <t>F405</t>
  </si>
  <si>
    <t>F404</t>
  </si>
  <si>
    <t>F403</t>
  </si>
  <si>
    <t>F402</t>
  </si>
  <si>
    <t>F401</t>
  </si>
  <si>
    <t>F400</t>
  </si>
  <si>
    <t>F399</t>
  </si>
  <si>
    <t>F398</t>
  </si>
  <si>
    <t>F397</t>
  </si>
  <si>
    <t>F396</t>
  </si>
  <si>
    <t>F395</t>
  </si>
  <si>
    <t>F394</t>
  </si>
  <si>
    <t>F393</t>
  </si>
  <si>
    <t>F392</t>
  </si>
  <si>
    <t>F391</t>
  </si>
  <si>
    <t>F390</t>
  </si>
  <si>
    <t>F389</t>
  </si>
  <si>
    <t>F388</t>
  </si>
  <si>
    <t>F387</t>
  </si>
  <si>
    <t>F386</t>
  </si>
  <si>
    <t>F385</t>
  </si>
  <si>
    <t>F384</t>
  </si>
  <si>
    <t>F383</t>
  </si>
  <si>
    <t>F382</t>
  </si>
  <si>
    <t>F381</t>
  </si>
  <si>
    <t>F380</t>
  </si>
  <si>
    <t>F379</t>
  </si>
  <si>
    <t>F378</t>
  </si>
  <si>
    <t>F377</t>
  </si>
  <si>
    <t>F376</t>
  </si>
  <si>
    <t>F375</t>
  </si>
  <si>
    <t>F374</t>
  </si>
  <si>
    <t>F373</t>
  </si>
  <si>
    <t>F372</t>
  </si>
  <si>
    <t>F371</t>
  </si>
  <si>
    <t>F370</t>
  </si>
  <si>
    <t>F369</t>
  </si>
  <si>
    <t>F368</t>
  </si>
  <si>
    <t>F367</t>
  </si>
  <si>
    <t>F366</t>
  </si>
  <si>
    <t>F365</t>
  </si>
  <si>
    <t>F364</t>
  </si>
  <si>
    <t>F363</t>
  </si>
  <si>
    <t>F362</t>
  </si>
  <si>
    <t>F361</t>
  </si>
  <si>
    <t>F360</t>
  </si>
  <si>
    <t>F359</t>
  </si>
  <si>
    <t>F358</t>
  </si>
  <si>
    <t>F357</t>
  </si>
  <si>
    <t>F356</t>
  </si>
  <si>
    <t>F355</t>
  </si>
  <si>
    <t>F354</t>
  </si>
  <si>
    <t>F353</t>
  </si>
  <si>
    <t>F352</t>
  </si>
  <si>
    <t>13) Exported CSV report should match Applicaiton record</t>
  </si>
  <si>
    <t>F351</t>
  </si>
  <si>
    <t>12) Every category should match exactly whether trending by month or looking in aggregate</t>
  </si>
  <si>
    <t>F350</t>
  </si>
  <si>
    <t>11) Clicking BOB should open BOB Population tab</t>
  </si>
  <si>
    <t>F349</t>
  </si>
  <si>
    <t>10) Clicking each row should create a tab for record of that row.</t>
  </si>
  <si>
    <t>F348</t>
  </si>
  <si>
    <t>9) Change the Unit value in Actuarial by clicking Total link. Amount should be as desired.</t>
  </si>
  <si>
    <t>F347</t>
  </si>
  <si>
    <t>7) Clicking "Health Plan Snapshot" should open "Add measurement Cateogry" pop with dropdown options: Medical Trend, Pharmacy Trend, Quality Metrics, Utilization Metrics, Chronic Conditons-Prevelance/Utilization, Actuarial Category</t>
  </si>
  <si>
    <t>F346</t>
  </si>
  <si>
    <t>F345</t>
  </si>
  <si>
    <t>F344</t>
  </si>
  <si>
    <t>F343</t>
  </si>
  <si>
    <t>F342</t>
  </si>
  <si>
    <t>F341</t>
  </si>
  <si>
    <t>F340</t>
  </si>
  <si>
    <t>F339</t>
  </si>
  <si>
    <t>F338</t>
  </si>
  <si>
    <t>F337</t>
  </si>
  <si>
    <t>F336</t>
  </si>
  <si>
    <t>F335</t>
  </si>
  <si>
    <t>F334</t>
  </si>
  <si>
    <t>F333</t>
  </si>
  <si>
    <t>F332</t>
  </si>
  <si>
    <t>F331</t>
  </si>
  <si>
    <t>F330</t>
  </si>
  <si>
    <t>F329</t>
  </si>
  <si>
    <t>F328</t>
  </si>
  <si>
    <t>Click here to see QM Category list</t>
  </si>
  <si>
    <t>F327</t>
  </si>
  <si>
    <t>F326</t>
  </si>
  <si>
    <t>5) If Paticipation and its Program type is selected then data table should show records for selected Program type too.</t>
  </si>
  <si>
    <t>F325</t>
  </si>
  <si>
    <t>4) On Result page following columns should be present: Category, Metric, #Members in Group, #Meeting Metric, #Not Meeting Metric, % Meeting Metric</t>
  </si>
  <si>
    <t>F324</t>
  </si>
  <si>
    <t>F323</t>
  </si>
  <si>
    <t>F322</t>
  </si>
  <si>
    <t>F321</t>
  </si>
  <si>
    <t>F320</t>
  </si>
  <si>
    <t xml:space="preserve">8) Member ID and Claim Count shoud be drillable. On drilling Claim Count, it should lead to Medical Data List </t>
  </si>
  <si>
    <t>F319</t>
  </si>
  <si>
    <t>4.9 Feature</t>
  </si>
  <si>
    <t>7) Total Row should be appear(for two column) at the bottom of the page displaying sum of all the page.</t>
  </si>
  <si>
    <t>F318</t>
  </si>
  <si>
    <t>6) Total Plan paid, Total Member paid, Total plan and Member paid should be appear in Value field and when selected should display the respective sum.</t>
  </si>
  <si>
    <t>F317</t>
  </si>
  <si>
    <t>F316</t>
  </si>
  <si>
    <t>F315</t>
  </si>
  <si>
    <t>F314</t>
  </si>
  <si>
    <t>F313</t>
  </si>
  <si>
    <t>F312</t>
  </si>
  <si>
    <t>F311</t>
  </si>
  <si>
    <t>F310</t>
  </si>
  <si>
    <t>F309</t>
  </si>
  <si>
    <t>F308</t>
  </si>
  <si>
    <t>F307</t>
  </si>
  <si>
    <t>F306</t>
  </si>
  <si>
    <t>F305</t>
  </si>
  <si>
    <t>F304</t>
  </si>
  <si>
    <t>F303</t>
  </si>
  <si>
    <t>F302</t>
  </si>
  <si>
    <t>F301</t>
  </si>
  <si>
    <t>F300</t>
  </si>
  <si>
    <t>F299</t>
  </si>
  <si>
    <t>9) Exported CSV report should match Applicaiton record</t>
  </si>
  <si>
    <t>F298</t>
  </si>
  <si>
    <t>8) Columns: Procrdure Code and Procedure Desc should be present</t>
  </si>
  <si>
    <t>F297</t>
  </si>
  <si>
    <t>F296</t>
  </si>
  <si>
    <t>F295</t>
  </si>
  <si>
    <t>F294</t>
  </si>
  <si>
    <t>F293</t>
  </si>
  <si>
    <t>F292</t>
  </si>
  <si>
    <t>F291</t>
  </si>
  <si>
    <t>F290</t>
  </si>
  <si>
    <t>F289</t>
  </si>
  <si>
    <t>F288</t>
  </si>
  <si>
    <t>F287</t>
  </si>
  <si>
    <t>F286</t>
  </si>
  <si>
    <t>F285</t>
  </si>
  <si>
    <t>F284</t>
  </si>
  <si>
    <t>F283</t>
  </si>
  <si>
    <t>F282</t>
  </si>
  <si>
    <t>10) Member ID and Episode Claims should be drilllable and should lead to Member Detail and Medical/Pharmacy record page respectively.</t>
  </si>
  <si>
    <t>F281</t>
  </si>
  <si>
    <t>9) Click to add more fields should contain "Episodes" with its options</t>
  </si>
  <si>
    <t>F280</t>
  </si>
  <si>
    <t>8) Total Row should be appear(for two column) at the bottom of the page displaying sum of all the page.</t>
  </si>
  <si>
    <t>F279</t>
  </si>
  <si>
    <t>F278</t>
  </si>
  <si>
    <t>F277</t>
  </si>
  <si>
    <t>F276</t>
  </si>
  <si>
    <t>F275</t>
  </si>
  <si>
    <t>F274</t>
  </si>
  <si>
    <t>F273</t>
  </si>
  <si>
    <t>F272</t>
  </si>
  <si>
    <t>F271</t>
  </si>
  <si>
    <t>F270</t>
  </si>
  <si>
    <t>F269</t>
  </si>
  <si>
    <t>F268</t>
  </si>
  <si>
    <t>F267</t>
  </si>
  <si>
    <t>F266</t>
  </si>
  <si>
    <t>F265</t>
  </si>
  <si>
    <t>F264</t>
  </si>
  <si>
    <t>9) Member ID should be drilllable and should lead to Member Detail page</t>
  </si>
  <si>
    <t>F263</t>
  </si>
  <si>
    <t>F262</t>
  </si>
  <si>
    <t>F261</t>
  </si>
  <si>
    <t>F260</t>
  </si>
  <si>
    <t>F259</t>
  </si>
  <si>
    <t>F258</t>
  </si>
  <si>
    <t>F257</t>
  </si>
  <si>
    <t>F256</t>
  </si>
  <si>
    <t>F255</t>
  </si>
  <si>
    <t>7) Member ID should be drilllable and should lead to Member Detail page</t>
  </si>
  <si>
    <t>F254</t>
  </si>
  <si>
    <t>F253</t>
  </si>
  <si>
    <t>F252</t>
  </si>
  <si>
    <t>F251</t>
  </si>
  <si>
    <t>F250</t>
  </si>
  <si>
    <t>F249</t>
  </si>
  <si>
    <t>F248</t>
  </si>
  <si>
    <t>5)Advanced Settings pop up should containoptions Data view type and Report Type.</t>
  </si>
  <si>
    <t>F247</t>
  </si>
  <si>
    <t>4)Click on saved Report&gt;should be redirected  to  Population and period pop-up&gt;run report goes to report archieve.</t>
  </si>
  <si>
    <t>F246</t>
  </si>
  <si>
    <t>3)Report saved should be allowed to Run, Edit and Delete.</t>
  </si>
  <si>
    <t>F245</t>
  </si>
  <si>
    <t>2)Create Template link redirects to Upload Temlate&gt;Map Template</t>
  </si>
  <si>
    <t>F244</t>
  </si>
  <si>
    <t>4.8 feature</t>
  </si>
  <si>
    <t>1) Template Manger page should contain the following :
-CreateTemplate
-Report saved by own user only
-Run, edit and delete options
-Information icon</t>
  </si>
  <si>
    <t>Template Manager</t>
  </si>
  <si>
    <t>F243</t>
  </si>
  <si>
    <t>6) Reports  created by others can only be run, but not edited and deleted.</t>
  </si>
  <si>
    <t>F242</t>
  </si>
  <si>
    <t>5) Saved reports (by own user)can be edited, deleted and run.</t>
  </si>
  <si>
    <t>F241</t>
  </si>
  <si>
    <t>4) Advanced settings option contains Data view, Export Format, Report Type.</t>
  </si>
  <si>
    <t>F240</t>
  </si>
  <si>
    <t>3) Report can be saved using save button in Population and Period po up, otherwise report is ownloaded without saving.</t>
  </si>
  <si>
    <t>F239</t>
  </si>
  <si>
    <t>2) Create Report link redirects to Select Report&gt; Order Report &gt;Population and Period.</t>
  </si>
  <si>
    <t>F238</t>
  </si>
  <si>
    <t>4.7 feature</t>
  </si>
  <si>
    <t xml:space="preserve">1) Report Manager page should contain following sections:
-Create Report
-Differenet saved Reports
-Run, edit, delete functions
-Information icon
</t>
  </si>
  <si>
    <t>F237</t>
  </si>
  <si>
    <t>F236</t>
  </si>
  <si>
    <t>F235</t>
  </si>
  <si>
    <t>F234</t>
  </si>
  <si>
    <t>F233</t>
  </si>
  <si>
    <t>F232</t>
  </si>
  <si>
    <t>F231</t>
  </si>
  <si>
    <t>F230</t>
  </si>
  <si>
    <t>F229</t>
  </si>
  <si>
    <t>5.0 Feature</t>
  </si>
  <si>
    <t>8) Applied Filters should be appear on the top of the Exported CSV Report.</t>
  </si>
  <si>
    <t>F228</t>
  </si>
  <si>
    <t>F227</t>
  </si>
  <si>
    <t>F226</t>
  </si>
  <si>
    <t>5) Columns # ER Visits for Diagnosis, # of ER Visits Weekday [M-F], # of ER Visits Weekend should be drillable and should leads to Utilization Data List</t>
  </si>
  <si>
    <t>F225</t>
  </si>
  <si>
    <t>F224</t>
  </si>
  <si>
    <t>3) Reporting/Comparison periods should contain following columns: # ER Visits for Diagnosis, # of ER Visits Weekday [M-F], % of ER Visits Weekday [M-F], # of ER Visits Weekend, % of ER Visits Weekend</t>
  </si>
  <si>
    <t>F223</t>
  </si>
  <si>
    <t>F222</t>
  </si>
  <si>
    <t xml:space="preserve">1) Potentially Avoidable ER Visits by Day of the week page should be present
</t>
  </si>
  <si>
    <t>Potentially Avoidable ER Visits&gt;&gt; By Day of the Week</t>
  </si>
  <si>
    <t>F221</t>
  </si>
  <si>
    <t>F220</t>
  </si>
  <si>
    <t>F219</t>
  </si>
  <si>
    <t>F218</t>
  </si>
  <si>
    <t>F217</t>
  </si>
  <si>
    <t>F216</t>
  </si>
  <si>
    <t>F215</t>
  </si>
  <si>
    <t>F214</t>
  </si>
  <si>
    <t xml:space="preserve">1) Potentially Avoidable ER Visits by Diagnosis page should be present
</t>
  </si>
  <si>
    <t>Potentially Avoidable ER Visits&gt;&gt; By Diagnosis</t>
  </si>
  <si>
    <t>F213</t>
  </si>
  <si>
    <t>10) Applied Filters should be appear on the top of the Exported CSV Report.</t>
  </si>
  <si>
    <t>F212</t>
  </si>
  <si>
    <t>F211</t>
  </si>
  <si>
    <t>F210</t>
  </si>
  <si>
    <t>F209</t>
  </si>
  <si>
    <t>F208</t>
  </si>
  <si>
    <t>F207</t>
  </si>
  <si>
    <t>F206</t>
  </si>
  <si>
    <t>F205</t>
  </si>
  <si>
    <t>F204</t>
  </si>
  <si>
    <t>F203</t>
  </si>
  <si>
    <t>F202</t>
  </si>
  <si>
    <t>6) Applied Filters should be appear on the top of the Exported CSV Report.</t>
  </si>
  <si>
    <t>F201</t>
  </si>
  <si>
    <t>F200</t>
  </si>
  <si>
    <t>F199</t>
  </si>
  <si>
    <t>F198</t>
  </si>
  <si>
    <t>F197</t>
  </si>
  <si>
    <t>F196</t>
  </si>
  <si>
    <t>F195</t>
  </si>
  <si>
    <t>F194</t>
  </si>
  <si>
    <t>F193</t>
  </si>
  <si>
    <t>F192</t>
  </si>
  <si>
    <t>F191</t>
  </si>
  <si>
    <t>F190</t>
  </si>
  <si>
    <t>F189</t>
  </si>
  <si>
    <t>F188</t>
  </si>
  <si>
    <t>F187</t>
  </si>
  <si>
    <t>F186</t>
  </si>
  <si>
    <t>F185</t>
  </si>
  <si>
    <t>F184</t>
  </si>
  <si>
    <t>F183</t>
  </si>
  <si>
    <t>F182</t>
  </si>
  <si>
    <t>F181</t>
  </si>
  <si>
    <t>F180</t>
  </si>
  <si>
    <t>F179</t>
  </si>
  <si>
    <t>F178</t>
  </si>
  <si>
    <t>F177</t>
  </si>
  <si>
    <t>F176</t>
  </si>
  <si>
    <t>F175</t>
  </si>
  <si>
    <t>F174</t>
  </si>
  <si>
    <t>F173</t>
  </si>
  <si>
    <t>F172</t>
  </si>
  <si>
    <t>1) Verify Relationship Code</t>
  </si>
  <si>
    <t>F171</t>
  </si>
  <si>
    <t>7) Applied Filters should be appear on the top of the Exported CSV Report.</t>
  </si>
  <si>
    <t>F170</t>
  </si>
  <si>
    <t>F169</t>
  </si>
  <si>
    <t>F168</t>
  </si>
  <si>
    <t>F167</t>
  </si>
  <si>
    <t>F166</t>
  </si>
  <si>
    <t>F165</t>
  </si>
  <si>
    <t>F164</t>
  </si>
  <si>
    <t>F163</t>
  </si>
  <si>
    <t>F162</t>
  </si>
  <si>
    <t>F161</t>
  </si>
  <si>
    <t>F160</t>
  </si>
  <si>
    <t>F159</t>
  </si>
  <si>
    <t>F158</t>
  </si>
  <si>
    <t>F157</t>
  </si>
  <si>
    <t>F156</t>
  </si>
  <si>
    <t>F155</t>
  </si>
  <si>
    <t>F154</t>
  </si>
  <si>
    <t>F153</t>
  </si>
  <si>
    <t>F152</t>
  </si>
  <si>
    <t>F151</t>
  </si>
  <si>
    <t>F150</t>
  </si>
  <si>
    <t>F149</t>
  </si>
  <si>
    <t>F148</t>
  </si>
  <si>
    <t>4.7 Feature</t>
  </si>
  <si>
    <t>6) Report should be able to export on pdf, doc and csv format from Report Archive. Exported report should match with Application report.</t>
  </si>
  <si>
    <t>F147</t>
  </si>
  <si>
    <t>F146</t>
  </si>
  <si>
    <t>F145</t>
  </si>
  <si>
    <t>F144</t>
  </si>
  <si>
    <t>F143</t>
  </si>
  <si>
    <t>F142</t>
  </si>
  <si>
    <t>4) Applied Filters should be appear on the top of the Exported CSV Report.</t>
  </si>
  <si>
    <t>F141</t>
  </si>
  <si>
    <t>F140</t>
  </si>
  <si>
    <t>F139</t>
  </si>
  <si>
    <t>F138</t>
  </si>
  <si>
    <t>9) Applied Filters should be appear on the top of the Exported CSV Report.</t>
  </si>
  <si>
    <t>F137</t>
  </si>
  <si>
    <t>F136</t>
  </si>
  <si>
    <t xml:space="preserve">7) only records of selected conditions  should appear on the data table
</t>
  </si>
  <si>
    <t>F135</t>
  </si>
  <si>
    <t xml:space="preserve">6) on clicking "Change Condition" button, All available  "Chronic Conditions" from setting page should popup
</t>
  </si>
  <si>
    <t>F134</t>
  </si>
  <si>
    <t>5) data of office Visits per 1000, ER Visits per 1000 and Admits per 1000 should be drillable and should leads to Member list page</t>
  </si>
  <si>
    <t>F133</t>
  </si>
  <si>
    <t xml:space="preserve">4) If Participation is selected on FA, Program type and Programs tab should appear
</t>
  </si>
  <si>
    <t>F132</t>
  </si>
  <si>
    <t>F131</t>
  </si>
  <si>
    <t>F130</t>
  </si>
  <si>
    <t>F129</t>
  </si>
  <si>
    <t>F128</t>
  </si>
  <si>
    <t>F127</t>
  </si>
  <si>
    <t xml:space="preserve">7) data of # With Condition should be drillable and shuold leads to Member List page.
</t>
  </si>
  <si>
    <t>F126</t>
  </si>
  <si>
    <t xml:space="preserve">6) only records of selected conditions  should appear on the data table
</t>
  </si>
  <si>
    <t>F125</t>
  </si>
  <si>
    <t xml:space="preserve">5) on clicking "Change Condition" button, All available  "Chronic Conditions" from setting page should popup
</t>
  </si>
  <si>
    <t>F124</t>
  </si>
  <si>
    <t>F123</t>
  </si>
  <si>
    <t xml:space="preserve">3) Data table should contain columns: Chronic Condition # With Condition, % of Members, Member Per 1000&gt;&gt;Group, BoB,  Benchmark
</t>
  </si>
  <si>
    <t>F122</t>
  </si>
  <si>
    <t xml:space="preserve">2) Page should contain Prevalance data table of Reporting and Comparison period.
</t>
  </si>
  <si>
    <t>F121</t>
  </si>
  <si>
    <t xml:space="preserve">1) Prevalence page should appear.
</t>
  </si>
  <si>
    <t>Chronic Conditions</t>
  </si>
  <si>
    <t>F120</t>
  </si>
  <si>
    <t>11) Applied Filters should be appear on the top of the Exported CSV Report.</t>
  </si>
  <si>
    <t>F119</t>
  </si>
  <si>
    <t>10)  Report should be able to export on pdf, doc and csv format. Exported report should match with Application report.</t>
  </si>
  <si>
    <t>F118</t>
  </si>
  <si>
    <t xml:space="preserve">7) Clicking ER visit for a Group, it should display 3 drill down options: Analysis, Provider, Data list. Clicking these options should leads to respective page.
8).There should be another table for Potentially Avoidable data with the following colums:
a. Metrics 
b. Period Value
c. Benchmark Value
</t>
  </si>
  <si>
    <t>F117</t>
  </si>
  <si>
    <t>F116</t>
  </si>
  <si>
    <t>F115</t>
  </si>
  <si>
    <t>F114</t>
  </si>
  <si>
    <t>F113</t>
  </si>
  <si>
    <t>F112</t>
  </si>
  <si>
    <t>F111</t>
  </si>
  <si>
    <t>F110</t>
  </si>
  <si>
    <t>F109</t>
  </si>
  <si>
    <t>4) data table should contain All Others, Total Paid Amount  at the bottom for both Reporting and Comparison periods.</t>
  </si>
  <si>
    <t>F108</t>
  </si>
  <si>
    <t>F107</t>
  </si>
  <si>
    <t xml:space="preserve">Total paid amount also leads to Episode Data List. </t>
  </si>
  <si>
    <t>F106</t>
  </si>
  <si>
    <t>F105</t>
  </si>
  <si>
    <t>F104</t>
  </si>
  <si>
    <t>F103</t>
  </si>
  <si>
    <t>F102</t>
  </si>
  <si>
    <t>3) Compare view should contain Top 20 POS records of "Comparison Period" too. It should also contain % Change.</t>
  </si>
  <si>
    <t>F101</t>
  </si>
  <si>
    <t>F100</t>
  </si>
  <si>
    <t>F99</t>
  </si>
  <si>
    <t>F98</t>
  </si>
  <si>
    <t>F97</t>
  </si>
  <si>
    <t>Prior Period Ranking column has been removed from 4.6 version</t>
  </si>
  <si>
    <t>F96</t>
  </si>
  <si>
    <t>F95</t>
  </si>
  <si>
    <t>F94</t>
  </si>
  <si>
    <t>F93</t>
  </si>
  <si>
    <t>F92</t>
  </si>
  <si>
    <t>F91</t>
  </si>
  <si>
    <t>F90</t>
  </si>
  <si>
    <t>F89</t>
  </si>
  <si>
    <t>F88</t>
  </si>
  <si>
    <t>F87</t>
  </si>
  <si>
    <t>F86</t>
  </si>
  <si>
    <t>F85</t>
  </si>
  <si>
    <t>F84</t>
  </si>
  <si>
    <t>F83</t>
  </si>
  <si>
    <t>F82</t>
  </si>
  <si>
    <t>F81</t>
  </si>
  <si>
    <t>F80</t>
  </si>
  <si>
    <t>F79</t>
  </si>
  <si>
    <t>F78</t>
  </si>
  <si>
    <t>F77</t>
  </si>
  <si>
    <t>F76</t>
  </si>
  <si>
    <t>F75</t>
  </si>
  <si>
    <t>F74</t>
  </si>
  <si>
    <t>F73</t>
  </si>
  <si>
    <t>F72</t>
  </si>
  <si>
    <t>F71</t>
  </si>
  <si>
    <t>F70</t>
  </si>
  <si>
    <t>F69</t>
  </si>
  <si>
    <t>F68</t>
  </si>
  <si>
    <t>F67</t>
  </si>
  <si>
    <t>F66</t>
  </si>
  <si>
    <t>F65</t>
  </si>
  <si>
    <t>F64</t>
  </si>
  <si>
    <t>F63</t>
  </si>
  <si>
    <t>F62</t>
  </si>
  <si>
    <t>F61</t>
  </si>
  <si>
    <t>F60</t>
  </si>
  <si>
    <t>F59</t>
  </si>
  <si>
    <t>F58</t>
  </si>
  <si>
    <t>F57</t>
  </si>
  <si>
    <t>F56</t>
  </si>
  <si>
    <t>8) All Post and Total should be present</t>
  </si>
  <si>
    <t>F55</t>
  </si>
  <si>
    <t>F54</t>
  </si>
  <si>
    <t>6)  Report should be able to export on pdf, doc and csv format. csv report should be able to generate records for all 3 view Months. i.e. 12, 24, 36. Exported report should match with Application report.</t>
  </si>
  <si>
    <t>F53</t>
  </si>
  <si>
    <t>F52</t>
  </si>
  <si>
    <t>4) Range of Service date should be changed in accordance to change in "View Months"</t>
  </si>
  <si>
    <t>F51</t>
  </si>
  <si>
    <t>F50</t>
  </si>
  <si>
    <t>F49</t>
  </si>
  <si>
    <t>F48</t>
  </si>
  <si>
    <t>5) Applied Filters should be appear on the top of the Exported CSV Report.</t>
  </si>
  <si>
    <t>F47</t>
  </si>
  <si>
    <t>F46</t>
  </si>
  <si>
    <t>F45</t>
  </si>
  <si>
    <t>F44</t>
  </si>
  <si>
    <t>1)Click link 'Medical Claim Lag'</t>
  </si>
  <si>
    <t>Network Comparison</t>
  </si>
  <si>
    <t>F43</t>
  </si>
  <si>
    <t>12) Applied Filters should be appear on the top of the Exported CSV Report.</t>
  </si>
  <si>
    <t>F42</t>
  </si>
  <si>
    <t>11) Report should be able to export on pdf, doc and csv format. Exported report should match with Application report.</t>
  </si>
  <si>
    <t>F41</t>
  </si>
  <si>
    <t>Could not find the feature</t>
  </si>
  <si>
    <t>10) # of claimants column should be available when the total count is less than 200 and greater than 5</t>
  </si>
  <si>
    <t>F40</t>
  </si>
  <si>
    <t xml:space="preserve">9) Monthly Analysis chart should contain "Monthly Analysis ALL" chart </t>
  </si>
  <si>
    <t>F39</t>
  </si>
  <si>
    <t>8) Chart/Compare View options should be present on Monthly Analysis. User should be able to customize record view by using these tabs.</t>
  </si>
  <si>
    <t>F38</t>
  </si>
  <si>
    <t>7) Greater than value should accept value  between '10000' and 1 billion.</t>
  </si>
  <si>
    <t>F37</t>
  </si>
  <si>
    <t>6) % Change column must be present in Periodic Analysis-All, Greater Than tabs.</t>
  </si>
  <si>
    <t>F36</t>
  </si>
  <si>
    <t>F35</t>
  </si>
  <si>
    <t>F34</t>
  </si>
  <si>
    <t>F33</t>
  </si>
  <si>
    <t>F32</t>
  </si>
  <si>
    <t>F31</t>
  </si>
  <si>
    <t>F30</t>
  </si>
  <si>
    <t>F29</t>
  </si>
  <si>
    <t>F28</t>
  </si>
  <si>
    <t>F27</t>
  </si>
  <si>
    <t>F26</t>
  </si>
  <si>
    <t>F25</t>
  </si>
  <si>
    <t>5) % Change column must be present in Perodic Analysis - All, Greater Than tabs.</t>
  </si>
  <si>
    <t>F24</t>
  </si>
  <si>
    <t>4) should contain "Periodic Analysis" and "Monthly Analysis" tabs. These tabs should contain sub tabs: "All" and "Greater than"</t>
  </si>
  <si>
    <t>F23</t>
  </si>
  <si>
    <t>F22</t>
  </si>
  <si>
    <t>F21</t>
  </si>
  <si>
    <t>F20</t>
  </si>
  <si>
    <t>F19</t>
  </si>
  <si>
    <t>F18</t>
  </si>
  <si>
    <t>F17</t>
  </si>
  <si>
    <t>F16</t>
  </si>
  <si>
    <t>Participation is not enable</t>
  </si>
  <si>
    <t>F15</t>
  </si>
  <si>
    <t>F14</t>
  </si>
  <si>
    <t>F13</t>
  </si>
  <si>
    <t>F12</t>
  </si>
  <si>
    <t>F11</t>
  </si>
  <si>
    <t>Piwik js file has been removed</t>
  </si>
  <si>
    <t>F10</t>
  </si>
  <si>
    <t>F09</t>
  </si>
  <si>
    <t>F08</t>
  </si>
  <si>
    <t>F07</t>
  </si>
  <si>
    <t>F06</t>
  </si>
  <si>
    <t>F05</t>
  </si>
  <si>
    <t>Functionality</t>
  </si>
  <si>
    <t xml:space="preserve">Smoke Test </t>
  </si>
  <si>
    <t>Active</t>
  </si>
  <si>
    <t>Plan</t>
  </si>
  <si>
    <t>Foundations Health</t>
  </si>
  <si>
    <t>Expected Lower</t>
  </si>
  <si>
    <t xml:space="preserve">Member Months
</t>
  </si>
  <si>
    <t xml:space="preserve">1) Member Months Data Search page should appear with default fields
</t>
  </si>
  <si>
    <t>4) Member Months Data List page, User should be able to implement show/hide fields</t>
  </si>
  <si>
    <t>6) Eligibility month, risk scores should be present</t>
  </si>
  <si>
    <t>Group</t>
  </si>
  <si>
    <t>Carrier</t>
  </si>
  <si>
    <t>Level 4</t>
  </si>
  <si>
    <t>Level 5</t>
  </si>
  <si>
    <t>Location</t>
  </si>
  <si>
    <t>Level 6</t>
  </si>
  <si>
    <t>Division</t>
  </si>
  <si>
    <t>Level 7</t>
  </si>
  <si>
    <t>Employee Type</t>
  </si>
  <si>
    <t>No data avaliable</t>
  </si>
  <si>
    <t>A04</t>
  </si>
  <si>
    <t>On anti-platelets medication</t>
  </si>
  <si>
    <t>RaghuP</t>
  </si>
  <si>
    <r>
      <rPr>
        <b/>
        <sz val="10"/>
        <color theme="1" tint="4.9989318521683403E-2"/>
        <rFont val="Calibri"/>
        <family val="2"/>
        <scheme val="minor"/>
      </rPr>
      <t xml:space="preserve">Server: </t>
    </r>
    <r>
      <rPr>
        <sz val="10"/>
        <color theme="1" tint="4.9989318521683403E-2"/>
        <rFont val="Calibri"/>
        <family val="2"/>
        <scheme val="minor"/>
      </rPr>
      <t>Accolde red shift</t>
    </r>
    <r>
      <rPr>
        <b/>
        <sz val="10"/>
        <color theme="1" tint="4.9989318521683403E-2"/>
        <rFont val="Calibri"/>
        <family val="2"/>
        <scheme val="minor"/>
      </rPr>
      <t xml:space="preserve">
Database name: stage1_tfk_epc_20170303_i7</t>
    </r>
    <r>
      <rPr>
        <sz val="10"/>
        <color theme="1" tint="4.9989318521683403E-2"/>
        <rFont val="Calibri"/>
        <family val="2"/>
        <scheme val="minor"/>
      </rPr>
      <t xml:space="preserve">
</t>
    </r>
    <r>
      <rPr>
        <b/>
        <sz val="10"/>
        <color theme="1" tint="4.9989318521683403E-2"/>
        <rFont val="Calibri"/>
        <family val="2"/>
        <scheme val="minor"/>
      </rPr>
      <t>Table name</t>
    </r>
    <r>
      <rPr>
        <sz val="10"/>
        <color theme="1" tint="4.9989318521683403E-2"/>
        <rFont val="Calibri"/>
        <family val="2"/>
        <scheme val="minor"/>
      </rPr>
      <t>: makalu_Config_Params</t>
    </r>
  </si>
  <si>
    <r>
      <t>Data Period :</t>
    </r>
    <r>
      <rPr>
        <b/>
        <sz val="11"/>
        <color theme="1"/>
        <rFont val="Calibri"/>
        <family val="2"/>
        <scheme val="minor"/>
      </rPr>
      <t xml:space="preserve"> December 01, 2011 to Jan 31, 2017</t>
    </r>
  </si>
  <si>
    <t>FA111</t>
  </si>
  <si>
    <t>FA144</t>
  </si>
  <si>
    <t>https://www.epicbenefitsdata.com/</t>
  </si>
  <si>
    <t>Dec 2015 - Jan 2017</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</si>
</sst>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8" formatCode="&quot;$&quot;#,##0.00_);[Red]\(&quot;$&quot;#,##0.00\)"/>
    <numFmt numFmtId="164" formatCode="[$-409]General"/>
    <numFmt numFmtId="165" formatCode="mm/dd/yyyy"/>
    <numFmt numFmtId="166" formatCode="mm\-dd\-yyyy"/>
  </numFmts>
  <fonts count="31" x14ac:knownFonts="1">
    <font>
      <sz val="11"/>
      <color theme="1"/>
      <name val="Calibri"/>
      <family val="2"/>
      <scheme val="minor"/>
    </font>
    <font>
      <sz val="11"/>
      <color theme="1"/>
      <name val="Calibri"/>
      <family val="2"/>
      <scheme val="minor"/>
    </font>
    <font>
      <sz val="10"/>
      <name val="Arial"/>
      <family val="2"/>
    </font>
    <font>
      <sz val="10"/>
      <color theme="1"/>
      <name val="Arial"/>
      <family val="2"/>
    </font>
    <font>
      <sz val="11"/>
      <color indexed="8"/>
      <name val="Calibri"/>
      <family val="2"/>
    </font>
    <font>
      <sz val="11"/>
      <color rgb="FF000000"/>
      <name val="Calibri"/>
      <family val="2"/>
    </font>
    <font>
      <b/>
      <sz val="10"/>
      <color theme="1"/>
      <name val="Arial"/>
      <family val="2"/>
    </font>
    <font>
      <sz val="10"/>
      <color rgb="FF000000"/>
      <name val="Arial"/>
      <family val="2"/>
    </font>
    <font>
      <u/>
      <sz val="9.35"/>
      <color theme="10"/>
      <name val="Calibri"/>
      <family val="2"/>
    </font>
    <font>
      <b/>
      <sz val="11"/>
      <color theme="0"/>
      <name val="Calibri"/>
      <family val="2"/>
      <scheme val="minor"/>
    </font>
    <font>
      <b/>
      <sz val="11"/>
      <color theme="1"/>
      <name val="Calibri"/>
      <family val="2"/>
      <scheme val="minor"/>
    </font>
    <font>
      <sz val="11"/>
      <color theme="0"/>
      <name val="Calibri"/>
      <family val="2"/>
      <scheme val="minor"/>
    </font>
    <font>
      <b/>
      <sz val="9"/>
      <color theme="0"/>
      <name val="Arial"/>
      <family val="2"/>
    </font>
    <font>
      <sz val="9"/>
      <color theme="0"/>
      <name val="Arial"/>
      <family val="2"/>
    </font>
    <font>
      <sz val="11"/>
      <color rgb="FF484848"/>
      <name val="Calibri"/>
      <family val="2"/>
      <scheme val="minor"/>
    </font>
    <font>
      <sz val="11"/>
      <color indexed="8"/>
      <name val="Calibri"/>
      <family val="2"/>
      <scheme val="minor"/>
    </font>
    <font>
      <b/>
      <sz val="10"/>
      <color theme="0"/>
      <name val="Calibri"/>
      <family val="2"/>
      <scheme val="minor"/>
    </font>
    <font>
      <b/>
      <sz val="10"/>
      <color theme="1" tint="4.9989318521683403E-2"/>
      <name val="Calibri"/>
      <family val="2"/>
      <scheme val="minor"/>
    </font>
    <font>
      <sz val="10"/>
      <color theme="1"/>
      <name val="Calibri"/>
      <family val="2"/>
      <scheme val="minor"/>
    </font>
    <font>
      <sz val="10"/>
      <color theme="1" tint="4.9989318521683403E-2"/>
      <name val="Calibri"/>
      <family val="2"/>
      <scheme val="minor"/>
    </font>
    <font>
      <sz val="10"/>
      <name val="Calibri"/>
      <family val="2"/>
      <scheme val="minor"/>
    </font>
    <font>
      <b/>
      <sz val="10"/>
      <name val="Calibri"/>
      <family val="2"/>
      <scheme val="minor"/>
    </font>
    <font>
      <sz val="10"/>
      <color theme="3" tint="0.39997558519241921"/>
      <name val="Calibri"/>
      <family val="2"/>
      <scheme val="minor"/>
    </font>
    <font>
      <b/>
      <sz val="10"/>
      <color rgb="FFFFFFFF"/>
      <name val="Calibri"/>
      <family val="2"/>
      <scheme val="minor"/>
    </font>
    <font>
      <sz val="10"/>
      <color rgb="FF333333"/>
      <name val="Calibri"/>
      <family val="2"/>
      <scheme val="minor"/>
    </font>
    <font>
      <sz val="10"/>
      <color rgb="FF000000"/>
      <name val="Calibri"/>
      <family val="2"/>
      <scheme val="minor"/>
    </font>
    <font>
      <b/>
      <sz val="10"/>
      <color theme="1"/>
      <name val="Calibri"/>
      <family val="2"/>
      <scheme val="minor"/>
    </font>
    <font>
      <sz val="10"/>
      <color indexed="8"/>
      <name val="Calibri"/>
      <family val="2"/>
      <scheme val="minor"/>
    </font>
    <font>
      <u/>
      <sz val="10"/>
      <color theme="10"/>
      <name val="Calibri"/>
      <family val="2"/>
      <scheme val="minor"/>
    </font>
    <font>
      <b/>
      <sz val="12"/>
      <color theme="0" tint="-4.9989318521683403E-2"/>
      <name val="Calibri"/>
      <family val="2"/>
      <scheme val="minor"/>
    </font>
    <font>
      <b/>
      <sz val="10"/>
      <color theme="0"/>
      <name val="Arial"/>
      <family val="2"/>
    </font>
  </fonts>
  <fills count="22">
    <fill>
      <patternFill patternType="none"/>
    </fill>
    <fill>
      <patternFill patternType="gray125"/>
    </fill>
    <fill>
      <patternFill patternType="solid">
        <fgColor rgb="FF92D050"/>
        <bgColor rgb="FF92D050"/>
      </patternFill>
    </fill>
    <fill>
      <patternFill patternType="solid">
        <fgColor rgb="FFFCD5B5"/>
        <bgColor rgb="FFFCD5B5"/>
      </patternFill>
    </fill>
    <fill>
      <patternFill patternType="solid">
        <fgColor rgb="FFFF0000"/>
        <bgColor rgb="FFFF0000"/>
      </patternFill>
    </fill>
    <fill>
      <patternFill patternType="solid">
        <fgColor theme="7" tint="0.59999389629810485"/>
        <bgColor rgb="FFC6D9F1"/>
      </patternFill>
    </fill>
    <fill>
      <patternFill patternType="solid">
        <fgColor rgb="FFFFFF00"/>
        <bgColor rgb="FFC6D9F1"/>
      </patternFill>
    </fill>
    <fill>
      <patternFill patternType="solid">
        <fgColor theme="0" tint="-0.34998626667073579"/>
        <bgColor indexed="64"/>
      </patternFill>
    </fill>
    <fill>
      <patternFill patternType="solid">
        <fgColor theme="0" tint="-4.9989318521683403E-2"/>
        <bgColor rgb="FFD9D9D9"/>
      </patternFill>
    </fill>
    <fill>
      <patternFill patternType="solid">
        <fgColor theme="4" tint="0.59999389629810485"/>
        <bgColor rgb="FF808080"/>
      </patternFill>
    </fill>
    <fill>
      <patternFill patternType="solid">
        <fgColor theme="3" tint="-0.249977111117893"/>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bgColor indexed="64"/>
      </patternFill>
    </fill>
    <fill>
      <patternFill patternType="solid">
        <fgColor theme="1" tint="4.9989318521683403E-2"/>
        <bgColor indexed="64"/>
      </patternFill>
    </fill>
    <fill>
      <patternFill patternType="solid">
        <fgColor rgb="FFFFFF00"/>
        <bgColor indexed="64"/>
      </patternFill>
    </fill>
    <fill>
      <patternFill patternType="solid">
        <fgColor theme="3" tint="0.39997558519241921"/>
        <bgColor indexed="64"/>
      </patternFill>
    </fill>
    <fill>
      <patternFill patternType="solid">
        <fgColor rgb="FF0F253F"/>
        <bgColor rgb="FF000000"/>
      </patternFill>
    </fill>
    <fill>
      <patternFill patternType="solid">
        <fgColor theme="3" tint="-0.499984740745262"/>
        <bgColor indexed="64"/>
      </patternFill>
    </fill>
    <fill>
      <patternFill patternType="solid">
        <fgColor theme="0" tint="-0.249977111117893"/>
        <bgColor indexed="64"/>
      </patternFill>
    </fill>
    <fill>
      <patternFill patternType="solid">
        <fgColor rgb="FF17375D"/>
        <bgColor rgb="FF000000"/>
      </patternFill>
    </fill>
    <fill>
      <patternFill patternType="solid">
        <fgColor theme="3" tint="0.7999816888943144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rgb="FF1A1A1A"/>
      </left>
      <right style="thin">
        <color rgb="FF1A1A1A"/>
      </right>
      <top style="thin">
        <color rgb="FF1A1A1A"/>
      </top>
      <bottom/>
      <diagonal/>
    </border>
  </borders>
  <cellStyleXfs count="8">
    <xf numFmtId="0" fontId="0" fillId="0" borderId="0"/>
    <xf numFmtId="0" fontId="1" fillId="0" borderId="0"/>
    <xf numFmtId="0" fontId="2" fillId="0" borderId="0"/>
    <xf numFmtId="0" fontId="4" fillId="0" borderId="0"/>
    <xf numFmtId="0" fontId="2" fillId="0" borderId="0">
      <alignment vertical="center"/>
    </xf>
    <xf numFmtId="0" fontId="2" fillId="0" borderId="0">
      <alignment vertical="center"/>
    </xf>
    <xf numFmtId="164" fontId="5" fillId="0" borderId="0" applyBorder="0" applyProtection="0"/>
    <xf numFmtId="0" fontId="8" fillId="0" borderId="0" applyNumberFormat="0" applyFill="0" applyBorder="0" applyAlignment="0" applyProtection="0">
      <alignment vertical="top"/>
      <protection locked="0"/>
    </xf>
  </cellStyleXfs>
  <cellXfs count="319">
    <xf numFmtId="0" fontId="0" fillId="0" borderId="0" xfId="0"/>
    <xf numFmtId="0" fontId="6" fillId="0" borderId="0" xfId="0" applyFont="1"/>
    <xf numFmtId="0" fontId="3" fillId="0" borderId="0" xfId="0" applyFont="1"/>
    <xf numFmtId="164" fontId="7" fillId="2" borderId="1" xfId="6" applyFont="1" applyFill="1" applyBorder="1" applyAlignment="1" applyProtection="1">
      <alignment vertical="top"/>
    </xf>
    <xf numFmtId="164" fontId="7" fillId="0" borderId="1" xfId="6" applyFont="1" applyFill="1" applyBorder="1" applyAlignment="1" applyProtection="1">
      <alignment vertical="top"/>
    </xf>
    <xf numFmtId="164" fontId="7" fillId="3" borderId="1" xfId="6" applyFont="1" applyFill="1" applyBorder="1" applyAlignment="1" applyProtection="1">
      <alignment vertical="top"/>
    </xf>
    <xf numFmtId="164" fontId="7" fillId="4" borderId="1" xfId="6" applyFont="1" applyFill="1" applyBorder="1" applyAlignment="1" applyProtection="1">
      <alignment vertical="top"/>
    </xf>
    <xf numFmtId="164" fontId="7" fillId="6" borderId="1" xfId="6" applyFont="1" applyFill="1" applyBorder="1" applyAlignment="1" applyProtection="1">
      <alignment vertical="top"/>
    </xf>
    <xf numFmtId="164" fontId="7" fillId="5" borderId="1" xfId="6" applyFont="1" applyFill="1" applyBorder="1" applyAlignment="1" applyProtection="1">
      <alignment vertical="top"/>
    </xf>
    <xf numFmtId="164" fontId="7" fillId="8" borderId="1" xfId="6" applyFont="1" applyFill="1" applyBorder="1" applyAlignment="1" applyProtection="1">
      <alignment vertical="top"/>
    </xf>
    <xf numFmtId="0" fontId="3" fillId="7" borderId="1" xfId="0" applyFont="1" applyFill="1" applyBorder="1"/>
    <xf numFmtId="0" fontId="0" fillId="0" borderId="1" xfId="0" applyBorder="1"/>
    <xf numFmtId="0" fontId="10" fillId="0" borderId="1" xfId="0" applyFont="1" applyBorder="1"/>
    <xf numFmtId="0" fontId="9" fillId="14" borderId="1" xfId="0" applyFont="1" applyFill="1" applyBorder="1" applyAlignment="1">
      <alignment horizontal="center" vertical="center"/>
    </xf>
    <xf numFmtId="0" fontId="12" fillId="14" borderId="1" xfId="0" applyFont="1" applyFill="1" applyBorder="1" applyAlignment="1">
      <alignment horizontal="center" vertical="center"/>
    </xf>
    <xf numFmtId="0" fontId="0" fillId="0" borderId="0" xfId="0" applyBorder="1"/>
    <xf numFmtId="0" fontId="0" fillId="13" borderId="1" xfId="0" applyFill="1" applyBorder="1"/>
    <xf numFmtId="0" fontId="0" fillId="0" borderId="5" xfId="0" applyBorder="1"/>
    <xf numFmtId="0" fontId="0" fillId="0" borderId="2" xfId="0" applyBorder="1"/>
    <xf numFmtId="0" fontId="0" fillId="0" borderId="3" xfId="0" applyBorder="1"/>
    <xf numFmtId="0" fontId="0" fillId="0" borderId="1" xfId="0" applyFont="1" applyBorder="1"/>
    <xf numFmtId="0" fontId="0" fillId="0" borderId="2" xfId="0" applyFont="1" applyBorder="1"/>
    <xf numFmtId="0" fontId="0" fillId="0" borderId="3" xfId="0" applyFont="1" applyBorder="1"/>
    <xf numFmtId="0" fontId="13" fillId="14" borderId="0" xfId="0" applyFont="1" applyFill="1" applyAlignment="1">
      <alignment horizontal="center" vertical="center"/>
    </xf>
    <xf numFmtId="0" fontId="11" fillId="14" borderId="0" xfId="0" applyFont="1" applyFill="1" applyAlignment="1">
      <alignment horizontal="center" vertical="center"/>
    </xf>
    <xf numFmtId="0" fontId="9" fillId="14" borderId="0" xfId="0" applyFont="1" applyFill="1"/>
    <xf numFmtId="0" fontId="10" fillId="0" borderId="2" xfId="0" applyFont="1" applyBorder="1" applyAlignment="1"/>
    <xf numFmtId="0" fontId="10" fillId="0" borderId="6" xfId="0" applyFont="1" applyBorder="1" applyAlignment="1"/>
    <xf numFmtId="0" fontId="10" fillId="0" borderId="10" xfId="0" applyFont="1" applyBorder="1" applyAlignment="1"/>
    <xf numFmtId="0" fontId="10" fillId="0" borderId="11" xfId="0" applyFont="1" applyBorder="1" applyAlignment="1"/>
    <xf numFmtId="0" fontId="10" fillId="0" borderId="0" xfId="0" applyFont="1" applyBorder="1" applyAlignment="1"/>
    <xf numFmtId="0" fontId="0" fillId="0" borderId="1" xfId="0" applyBorder="1" applyAlignment="1">
      <alignment horizontal="right" wrapText="1"/>
    </xf>
    <xf numFmtId="0" fontId="0" fillId="0" borderId="1" xfId="0" applyBorder="1" applyAlignment="1">
      <alignment wrapText="1"/>
    </xf>
    <xf numFmtId="0" fontId="10" fillId="0" borderId="2" xfId="0" applyFont="1" applyBorder="1" applyAlignment="1">
      <alignment horizontal="center"/>
    </xf>
    <xf numFmtId="0" fontId="10" fillId="0" borderId="6" xfId="0" applyFont="1" applyBorder="1" applyAlignment="1">
      <alignment horizontal="center"/>
    </xf>
    <xf numFmtId="0" fontId="10" fillId="0" borderId="3" xfId="0" applyFont="1" applyBorder="1" applyAlignment="1">
      <alignment horizontal="center"/>
    </xf>
    <xf numFmtId="0" fontId="10" fillId="0" borderId="4" xfId="0" applyFont="1" applyBorder="1" applyAlignment="1">
      <alignment horizontal="left"/>
    </xf>
    <xf numFmtId="0" fontId="10" fillId="0" borderId="7" xfId="0" applyFont="1" applyBorder="1" applyAlignment="1">
      <alignment horizontal="left"/>
    </xf>
    <xf numFmtId="0" fontId="10" fillId="0" borderId="5" xfId="0" applyFont="1" applyBorder="1" applyAlignment="1">
      <alignment horizontal="left"/>
    </xf>
    <xf numFmtId="0" fontId="10" fillId="0" borderId="8" xfId="0" applyFont="1" applyBorder="1" applyAlignment="1">
      <alignment horizontal="left"/>
    </xf>
    <xf numFmtId="0" fontId="10" fillId="0" borderId="9" xfId="0" applyFont="1" applyBorder="1" applyAlignment="1">
      <alignment horizontal="left"/>
    </xf>
    <xf numFmtId="0" fontId="10" fillId="0" borderId="1" xfId="0" applyFont="1" applyBorder="1" applyAlignment="1">
      <alignment horizontal="left"/>
    </xf>
    <xf numFmtId="0" fontId="0" fillId="0" borderId="0" xfId="0" applyFont="1"/>
    <xf numFmtId="0" fontId="0" fillId="13" borderId="1" xfId="0" applyFont="1" applyFill="1" applyBorder="1"/>
    <xf numFmtId="0" fontId="0" fillId="13" borderId="7" xfId="0" applyFont="1" applyFill="1" applyBorder="1" applyAlignment="1">
      <alignment horizontal="left"/>
    </xf>
    <xf numFmtId="0" fontId="0" fillId="13" borderId="0" xfId="0" applyFont="1" applyFill="1"/>
    <xf numFmtId="0" fontId="0" fillId="0" borderId="5" xfId="0" applyFont="1" applyBorder="1"/>
    <xf numFmtId="0" fontId="0" fillId="13" borderId="5" xfId="0" applyFont="1" applyFill="1" applyBorder="1"/>
    <xf numFmtId="0" fontId="0" fillId="0" borderId="1" xfId="0" applyFont="1" applyBorder="1" applyAlignment="1">
      <alignment horizontal="right" wrapText="1"/>
    </xf>
    <xf numFmtId="0" fontId="0" fillId="0" borderId="1" xfId="0" applyFont="1" applyBorder="1" applyAlignment="1">
      <alignment wrapText="1"/>
    </xf>
    <xf numFmtId="0" fontId="15" fillId="0" borderId="1" xfId="2" applyFont="1" applyFill="1" applyBorder="1" applyAlignment="1">
      <alignment horizontal="left" vertical="center"/>
    </xf>
    <xf numFmtId="0" fontId="14" fillId="0" borderId="1" xfId="0" applyFont="1" applyBorder="1" applyAlignment="1">
      <alignment horizontal="left" vertical="top" wrapText="1" indent="1"/>
    </xf>
    <xf numFmtId="0" fontId="14" fillId="0" borderId="0" xfId="0" applyFont="1" applyAlignment="1">
      <alignment horizontal="left" vertical="top" wrapText="1" indent="1"/>
    </xf>
    <xf numFmtId="0" fontId="3" fillId="15" borderId="0" xfId="0" applyFont="1" applyFill="1"/>
    <xf numFmtId="0" fontId="3" fillId="16" borderId="1" xfId="0" applyFont="1" applyFill="1" applyBorder="1"/>
    <xf numFmtId="0" fontId="16" fillId="10" borderId="1" xfId="0" applyFont="1" applyFill="1" applyBorder="1" applyAlignment="1">
      <alignment vertical="top" wrapText="1"/>
    </xf>
    <xf numFmtId="0" fontId="16" fillId="10" borderId="1" xfId="0" applyFont="1" applyFill="1" applyBorder="1" applyAlignment="1">
      <alignment horizontal="center" vertical="center" wrapText="1"/>
    </xf>
    <xf numFmtId="0" fontId="16" fillId="10" borderId="1" xfId="0" applyFont="1" applyFill="1" applyBorder="1" applyAlignment="1">
      <alignment horizontal="center" wrapText="1"/>
    </xf>
    <xf numFmtId="0" fontId="16" fillId="10" borderId="1" xfId="0" applyFont="1" applyFill="1" applyBorder="1" applyAlignment="1">
      <alignment horizontal="center" vertical="top" wrapText="1"/>
    </xf>
    <xf numFmtId="0" fontId="17" fillId="9" borderId="1" xfId="0" applyFont="1" applyFill="1" applyBorder="1" applyAlignment="1">
      <alignment horizontal="center" vertical="center" wrapText="1"/>
    </xf>
    <xf numFmtId="0" fontId="17" fillId="9" borderId="1" xfId="0" applyFont="1" applyFill="1" applyBorder="1" applyAlignment="1">
      <alignment horizontal="center" wrapText="1"/>
    </xf>
    <xf numFmtId="0" fontId="17" fillId="9" borderId="1" xfId="0" applyNumberFormat="1" applyFont="1" applyFill="1" applyBorder="1" applyAlignment="1">
      <alignment horizontal="center" vertical="center" wrapText="1"/>
    </xf>
    <xf numFmtId="0" fontId="17" fillId="9" borderId="1" xfId="0" applyNumberFormat="1" applyFont="1" applyFill="1" applyBorder="1" applyAlignment="1">
      <alignment vertical="center" wrapText="1"/>
    </xf>
    <xf numFmtId="0" fontId="17" fillId="9" borderId="1" xfId="0" applyFont="1" applyFill="1" applyBorder="1" applyAlignment="1">
      <alignment vertical="center" wrapText="1"/>
    </xf>
    <xf numFmtId="0" fontId="19" fillId="0" borderId="1" xfId="0" applyFont="1" applyBorder="1" applyAlignment="1">
      <alignment horizontal="center" vertical="center" wrapText="1"/>
    </xf>
    <xf numFmtId="0" fontId="19" fillId="0" borderId="1" xfId="0" applyNumberFormat="1" applyFont="1" applyBorder="1" applyAlignment="1">
      <alignment horizontal="center" vertical="center" wrapText="1"/>
    </xf>
    <xf numFmtId="0" fontId="19" fillId="0" borderId="1" xfId="0" applyFont="1" applyBorder="1" applyAlignment="1">
      <alignment horizontal="left" vertical="center" wrapText="1"/>
    </xf>
    <xf numFmtId="0" fontId="18" fillId="7" borderId="1" xfId="0" applyNumberFormat="1" applyFont="1" applyFill="1" applyBorder="1" applyAlignment="1">
      <alignment horizontal="center" vertical="center"/>
    </xf>
    <xf numFmtId="0" fontId="19" fillId="13" borderId="1" xfId="0" applyFont="1" applyFill="1" applyBorder="1" applyAlignment="1">
      <alignment horizontal="left" vertical="center" wrapText="1"/>
    </xf>
    <xf numFmtId="0" fontId="19" fillId="0" borderId="3" xfId="0" applyFont="1" applyBorder="1" applyAlignment="1">
      <alignment vertical="center" wrapText="1"/>
    </xf>
    <xf numFmtId="0" fontId="19" fillId="0" borderId="2" xfId="0" applyNumberFormat="1" applyFont="1" applyBorder="1" applyAlignment="1">
      <alignment vertical="center" wrapText="1"/>
    </xf>
    <xf numFmtId="0" fontId="19" fillId="0" borderId="6" xfId="0" applyFont="1" applyBorder="1" applyAlignment="1">
      <alignment horizontal="left" vertical="top" wrapText="1"/>
    </xf>
    <xf numFmtId="0" fontId="19" fillId="0" borderId="6" xfId="0" applyNumberFormat="1" applyFont="1" applyBorder="1" applyAlignment="1">
      <alignment vertical="center" wrapText="1"/>
    </xf>
    <xf numFmtId="0" fontId="19" fillId="13" borderId="2" xfId="0" applyFont="1" applyFill="1" applyBorder="1" applyAlignment="1">
      <alignment horizontal="left" vertical="top" wrapText="1"/>
    </xf>
    <xf numFmtId="0" fontId="19" fillId="13" borderId="1" xfId="0" applyFont="1" applyFill="1" applyBorder="1" applyAlignment="1">
      <alignment horizontal="left" vertical="top" wrapText="1"/>
    </xf>
    <xf numFmtId="0" fontId="19" fillId="0" borderId="3" xfId="0" applyNumberFormat="1" applyFont="1" applyBorder="1" applyAlignment="1">
      <alignment vertical="center" wrapText="1"/>
    </xf>
    <xf numFmtId="0" fontId="19" fillId="13" borderId="2" xfId="0" applyNumberFormat="1" applyFont="1" applyFill="1" applyBorder="1" applyAlignment="1">
      <alignment vertical="center" wrapText="1"/>
    </xf>
    <xf numFmtId="0" fontId="19" fillId="13" borderId="6" xfId="0" applyNumberFormat="1" applyFont="1" applyFill="1" applyBorder="1" applyAlignment="1">
      <alignment vertical="center" wrapText="1"/>
    </xf>
    <xf numFmtId="0" fontId="19" fillId="13" borderId="3" xfId="0" applyNumberFormat="1" applyFont="1" applyFill="1" applyBorder="1" applyAlignment="1">
      <alignment vertical="center" wrapText="1"/>
    </xf>
    <xf numFmtId="0" fontId="20" fillId="13" borderId="1" xfId="0" applyFont="1" applyFill="1" applyBorder="1" applyAlignment="1">
      <alignment horizontal="left" vertical="center" wrapText="1"/>
    </xf>
    <xf numFmtId="0" fontId="18" fillId="0" borderId="1" xfId="0" applyFont="1" applyBorder="1" applyAlignment="1">
      <alignment horizontal="left" vertical="center" wrapText="1"/>
    </xf>
    <xf numFmtId="0" fontId="20" fillId="0" borderId="1" xfId="0" applyFont="1" applyBorder="1" applyAlignment="1">
      <alignment horizontal="left" vertical="center" wrapText="1"/>
    </xf>
    <xf numFmtId="0" fontId="20" fillId="13" borderId="2" xfId="0" applyFont="1" applyFill="1" applyBorder="1" applyAlignment="1">
      <alignment horizontal="left" vertical="center" wrapText="1"/>
    </xf>
    <xf numFmtId="0" fontId="20" fillId="13" borderId="1" xfId="0" applyFont="1" applyFill="1" applyBorder="1" applyAlignment="1">
      <alignment horizontal="left" vertical="top" wrapText="1"/>
    </xf>
    <xf numFmtId="0" fontId="20" fillId="0" borderId="1" xfId="0" applyFont="1" applyBorder="1" applyAlignment="1">
      <alignment horizontal="center" vertical="center" wrapText="1"/>
    </xf>
    <xf numFmtId="0" fontId="20" fillId="0" borderId="1" xfId="0" applyFont="1" applyBorder="1" applyAlignment="1">
      <alignment horizontal="center" vertical="top"/>
    </xf>
    <xf numFmtId="0" fontId="20" fillId="13" borderId="1" xfId="0" applyNumberFormat="1" applyFont="1" applyFill="1" applyBorder="1" applyAlignment="1">
      <alignment horizontal="center" vertical="center" wrapText="1"/>
    </xf>
    <xf numFmtId="0" fontId="21" fillId="13" borderId="1" xfId="0" applyFont="1" applyFill="1" applyBorder="1" applyAlignment="1">
      <alignment horizontal="left" vertical="center" wrapText="1"/>
    </xf>
    <xf numFmtId="0" fontId="20" fillId="13" borderId="1" xfId="0" applyFont="1" applyFill="1" applyBorder="1" applyAlignment="1">
      <alignment horizontal="center" vertical="center" wrapText="1"/>
    </xf>
    <xf numFmtId="0" fontId="18" fillId="0" borderId="0" xfId="0" applyFont="1" applyBorder="1" applyAlignment="1">
      <alignment horizontal="left" vertical="center" wrapText="1"/>
    </xf>
    <xf numFmtId="0" fontId="19" fillId="0" borderId="13" xfId="0" applyNumberFormat="1" applyFont="1" applyBorder="1" applyAlignment="1">
      <alignment vertical="center" wrapText="1"/>
    </xf>
    <xf numFmtId="0" fontId="19" fillId="13" borderId="1" xfId="0" applyFont="1" applyFill="1" applyBorder="1" applyAlignment="1">
      <alignment vertical="center" wrapText="1"/>
    </xf>
    <xf numFmtId="0" fontId="18" fillId="0" borderId="1" xfId="0" applyFont="1" applyBorder="1" applyAlignment="1">
      <alignment wrapText="1"/>
    </xf>
    <xf numFmtId="0" fontId="19" fillId="0" borderId="1" xfId="0" applyFont="1" applyBorder="1" applyAlignment="1">
      <alignment vertical="center" wrapText="1"/>
    </xf>
    <xf numFmtId="0" fontId="19" fillId="0" borderId="1" xfId="0" applyNumberFormat="1" applyFont="1" applyBorder="1" applyAlignment="1">
      <alignment vertical="center" wrapText="1"/>
    </xf>
    <xf numFmtId="0" fontId="19" fillId="0" borderId="1" xfId="0" applyFont="1" applyBorder="1" applyAlignment="1">
      <alignment horizontal="center" wrapText="1"/>
    </xf>
    <xf numFmtId="0" fontId="19" fillId="0" borderId="0" xfId="0" applyFont="1" applyAlignment="1">
      <alignment vertical="center" wrapText="1"/>
    </xf>
    <xf numFmtId="0" fontId="17" fillId="0" borderId="0" xfId="0" applyFont="1" applyFill="1" applyAlignment="1">
      <alignment horizontal="left" vertical="top" wrapText="1"/>
    </xf>
    <xf numFmtId="0" fontId="17" fillId="0" borderId="0" xfId="0" applyNumberFormat="1" applyFont="1" applyFill="1" applyAlignment="1">
      <alignment horizontal="left" vertical="top" wrapText="1"/>
    </xf>
    <xf numFmtId="0" fontId="19" fillId="0" borderId="0" xfId="0" applyFont="1" applyFill="1" applyAlignment="1">
      <alignment vertical="center" wrapText="1"/>
    </xf>
    <xf numFmtId="0" fontId="19" fillId="0" borderId="0" xfId="0" applyFont="1" applyAlignment="1">
      <alignment horizontal="center" vertical="center" wrapText="1"/>
    </xf>
    <xf numFmtId="0" fontId="19" fillId="0" borderId="0" xfId="0" applyNumberFormat="1" applyFont="1" applyAlignment="1">
      <alignment vertical="center" wrapText="1"/>
    </xf>
    <xf numFmtId="0" fontId="16" fillId="10" borderId="0" xfId="0" applyFont="1" applyFill="1" applyAlignment="1">
      <alignment horizontal="left" vertical="top" wrapText="1"/>
    </xf>
    <xf numFmtId="0" fontId="17" fillId="10" borderId="0" xfId="0" applyFont="1" applyFill="1" applyAlignment="1">
      <alignment horizontal="left" vertical="top" wrapText="1"/>
    </xf>
    <xf numFmtId="0" fontId="17" fillId="12" borderId="1" xfId="0" applyFont="1" applyFill="1" applyBorder="1" applyAlignment="1">
      <alignment horizontal="center"/>
    </xf>
    <xf numFmtId="0" fontId="17" fillId="12" borderId="1" xfId="0" applyNumberFormat="1" applyFont="1" applyFill="1" applyBorder="1" applyAlignment="1">
      <alignment horizontal="center"/>
    </xf>
    <xf numFmtId="0" fontId="17" fillId="12" borderId="1" xfId="0" applyFont="1" applyFill="1" applyBorder="1" applyAlignment="1">
      <alignment horizontal="center" vertical="center" wrapText="1"/>
    </xf>
    <xf numFmtId="0" fontId="19" fillId="0" borderId="1" xfId="0" applyFont="1" applyBorder="1" applyAlignment="1">
      <alignment horizontal="center"/>
    </xf>
    <xf numFmtId="0" fontId="19" fillId="0" borderId="1" xfId="0" applyFont="1" applyBorder="1"/>
    <xf numFmtId="2" fontId="19" fillId="0" borderId="1" xfId="0" applyNumberFormat="1" applyFont="1" applyBorder="1" applyAlignment="1">
      <alignment horizontal="center"/>
    </xf>
    <xf numFmtId="0" fontId="19" fillId="0" borderId="0" xfId="0" applyFont="1" applyBorder="1" applyAlignment="1">
      <alignment vertical="center" wrapText="1"/>
    </xf>
    <xf numFmtId="3" fontId="19" fillId="0" borderId="0" xfId="0" applyNumberFormat="1" applyFont="1" applyAlignment="1">
      <alignment vertical="center" wrapText="1"/>
    </xf>
    <xf numFmtId="0" fontId="0" fillId="0" borderId="0" xfId="0" applyFont="1" applyBorder="1"/>
    <xf numFmtId="0" fontId="17" fillId="11" borderId="1" xfId="0" applyFont="1" applyFill="1" applyBorder="1" applyAlignment="1">
      <alignment vertical="top" wrapText="1"/>
    </xf>
    <xf numFmtId="165" fontId="19" fillId="0" borderId="0" xfId="0" applyNumberFormat="1" applyFont="1" applyBorder="1" applyAlignment="1">
      <alignment vertical="top" wrapText="1"/>
    </xf>
    <xf numFmtId="0" fontId="21" fillId="0" borderId="0" xfId="0" applyFont="1" applyAlignment="1">
      <alignment vertical="center" wrapText="1"/>
    </xf>
    <xf numFmtId="0" fontId="22" fillId="0" borderId="0" xfId="0" applyFont="1"/>
    <xf numFmtId="0" fontId="18" fillId="0" borderId="0" xfId="0" applyFont="1"/>
    <xf numFmtId="49" fontId="20" fillId="0" borderId="1" xfId="0" applyNumberFormat="1" applyFont="1" applyBorder="1" applyAlignment="1">
      <alignment horizontal="center" vertical="center" wrapText="1"/>
    </xf>
    <xf numFmtId="0" fontId="20" fillId="0" borderId="1" xfId="0" applyFont="1" applyBorder="1" applyAlignment="1">
      <alignment vertical="center" wrapText="1"/>
    </xf>
    <xf numFmtId="0" fontId="17" fillId="13" borderId="1" xfId="0" applyFont="1" applyFill="1" applyBorder="1" applyAlignment="1">
      <alignment vertical="top"/>
    </xf>
    <xf numFmtId="0" fontId="19" fillId="13" borderId="1" xfId="0" applyFont="1" applyFill="1" applyBorder="1" applyAlignment="1">
      <alignment vertical="top"/>
    </xf>
    <xf numFmtId="0" fontId="27" fillId="0" borderId="1" xfId="2" applyFont="1" applyFill="1" applyBorder="1" applyAlignment="1">
      <alignment horizontal="center" vertical="center"/>
    </xf>
    <xf numFmtId="0" fontId="17" fillId="13" borderId="1" xfId="0" applyFont="1" applyFill="1" applyBorder="1" applyAlignment="1">
      <alignment horizontal="left" vertical="center" wrapText="1"/>
    </xf>
    <xf numFmtId="0" fontId="17" fillId="0" borderId="1" xfId="2" applyFont="1" applyFill="1" applyBorder="1" applyAlignment="1">
      <alignment horizontal="center" vertical="center" wrapText="1"/>
    </xf>
    <xf numFmtId="0" fontId="19" fillId="0" borderId="1" xfId="2" applyFont="1" applyFill="1" applyBorder="1" applyAlignment="1">
      <alignment horizontal="center" vertical="center" wrapText="1"/>
    </xf>
    <xf numFmtId="0" fontId="16" fillId="14" borderId="1" xfId="0" applyFont="1" applyFill="1" applyBorder="1" applyAlignment="1">
      <alignment horizontal="center" vertical="center"/>
    </xf>
    <xf numFmtId="0" fontId="26" fillId="0" borderId="4" xfId="0" applyFont="1" applyBorder="1" applyAlignment="1">
      <alignment horizontal="left"/>
    </xf>
    <xf numFmtId="0" fontId="26" fillId="0" borderId="7" xfId="0" applyFont="1" applyBorder="1" applyAlignment="1">
      <alignment horizontal="left"/>
    </xf>
    <xf numFmtId="0" fontId="26" fillId="0" borderId="5" xfId="0" applyFont="1" applyBorder="1" applyAlignment="1">
      <alignment horizontal="left"/>
    </xf>
    <xf numFmtId="0" fontId="27" fillId="0" borderId="1" xfId="2" applyFont="1" applyFill="1" applyBorder="1" applyAlignment="1">
      <alignment horizontal="left" vertical="center"/>
    </xf>
    <xf numFmtId="0" fontId="26" fillId="0" borderId="2" xfId="0" applyFont="1" applyBorder="1" applyAlignment="1">
      <alignment horizontal="center"/>
    </xf>
    <xf numFmtId="0" fontId="18" fillId="0" borderId="1" xfId="0" applyFont="1" applyBorder="1"/>
    <xf numFmtId="0" fontId="26" fillId="0" borderId="6" xfId="0" applyFont="1" applyBorder="1" applyAlignment="1">
      <alignment horizontal="center"/>
    </xf>
    <xf numFmtId="0" fontId="26" fillId="0" borderId="0" xfId="0" applyFont="1" applyBorder="1" applyAlignment="1">
      <alignment horizontal="center"/>
    </xf>
    <xf numFmtId="0" fontId="26" fillId="0" borderId="3" xfId="0" applyFont="1" applyBorder="1" applyAlignment="1">
      <alignment horizontal="left"/>
    </xf>
    <xf numFmtId="0" fontId="26" fillId="0" borderId="1" xfId="0" applyFont="1" applyBorder="1" applyAlignment="1">
      <alignment horizontal="left"/>
    </xf>
    <xf numFmtId="0" fontId="18" fillId="0" borderId="2" xfId="0" applyFont="1" applyBorder="1"/>
    <xf numFmtId="0" fontId="18" fillId="0" borderId="3" xfId="0" applyFont="1" applyBorder="1"/>
    <xf numFmtId="0" fontId="26" fillId="0" borderId="3" xfId="0" applyFont="1" applyBorder="1" applyAlignment="1">
      <alignment horizontal="center"/>
    </xf>
    <xf numFmtId="0" fontId="18" fillId="13" borderId="1" xfId="0" applyFont="1" applyFill="1" applyBorder="1"/>
    <xf numFmtId="0" fontId="26" fillId="0" borderId="1" xfId="0" applyFont="1" applyBorder="1"/>
    <xf numFmtId="0" fontId="26" fillId="0" borderId="8" xfId="0" applyFont="1" applyBorder="1" applyAlignment="1">
      <alignment horizontal="left"/>
    </xf>
    <xf numFmtId="0" fontId="18" fillId="13" borderId="0" xfId="0" applyFont="1" applyFill="1"/>
    <xf numFmtId="0" fontId="26" fillId="0" borderId="2" xfId="0" applyFont="1" applyBorder="1" applyAlignment="1"/>
    <xf numFmtId="0" fontId="18" fillId="0" borderId="5" xfId="0" applyFont="1" applyBorder="1"/>
    <xf numFmtId="0" fontId="26" fillId="0" borderId="6" xfId="0" applyFont="1" applyBorder="1" applyAlignment="1"/>
    <xf numFmtId="0" fontId="18" fillId="13" borderId="5" xfId="0" applyFont="1" applyFill="1" applyBorder="1"/>
    <xf numFmtId="0" fontId="26" fillId="0" borderId="0" xfId="0" applyFont="1" applyBorder="1" applyAlignment="1"/>
    <xf numFmtId="0" fontId="18" fillId="0" borderId="1" xfId="0" applyFont="1" applyBorder="1" applyAlignment="1">
      <alignment horizontal="right" wrapText="1"/>
    </xf>
    <xf numFmtId="0" fontId="26" fillId="0" borderId="10" xfId="0" applyFont="1" applyBorder="1" applyAlignment="1"/>
    <xf numFmtId="0" fontId="26" fillId="0" borderId="11" xfId="0" applyFont="1" applyBorder="1" applyAlignment="1"/>
    <xf numFmtId="0" fontId="18" fillId="0" borderId="5" xfId="0" applyFont="1" applyBorder="1" applyAlignment="1">
      <alignment wrapText="1"/>
    </xf>
    <xf numFmtId="0" fontId="26" fillId="0" borderId="9" xfId="0" applyFont="1" applyBorder="1" applyAlignment="1">
      <alignment horizontal="left"/>
    </xf>
    <xf numFmtId="8" fontId="6" fillId="19" borderId="1" xfId="0" applyNumberFormat="1" applyFont="1" applyFill="1" applyBorder="1"/>
    <xf numFmtId="0" fontId="3" fillId="19" borderId="1" xfId="0" applyNumberFormat="1" applyFont="1" applyFill="1" applyBorder="1"/>
    <xf numFmtId="0" fontId="19" fillId="13" borderId="5" xfId="0" applyFont="1" applyFill="1" applyBorder="1" applyAlignment="1">
      <alignment horizontal="center" vertical="top" wrapText="1"/>
    </xf>
    <xf numFmtId="0" fontId="19" fillId="13" borderId="1" xfId="0" applyFont="1" applyFill="1" applyBorder="1" applyAlignment="1">
      <alignment horizontal="center" vertical="top" wrapText="1"/>
    </xf>
    <xf numFmtId="0" fontId="8" fillId="0" borderId="1" xfId="7" applyBorder="1" applyAlignment="1" applyProtection="1">
      <alignment horizontal="center" vertical="center" wrapText="1"/>
    </xf>
    <xf numFmtId="0" fontId="3" fillId="11" borderId="1" xfId="0" applyNumberFormat="1" applyFont="1" applyFill="1" applyBorder="1" applyAlignment="1">
      <alignment horizontal="center"/>
    </xf>
    <xf numFmtId="0" fontId="17" fillId="12" borderId="4" xfId="0" applyFont="1" applyFill="1" applyBorder="1" applyAlignment="1">
      <alignment horizontal="center"/>
    </xf>
    <xf numFmtId="0" fontId="19" fillId="13" borderId="2" xfId="0" applyFont="1" applyFill="1" applyBorder="1" applyAlignment="1">
      <alignment horizontal="center" vertical="center" wrapText="1"/>
    </xf>
    <xf numFmtId="0" fontId="19" fillId="13" borderId="6" xfId="0" applyNumberFormat="1" applyFont="1" applyFill="1" applyBorder="1" applyAlignment="1">
      <alignment horizontal="center" vertical="center" wrapText="1"/>
    </xf>
    <xf numFmtId="0" fontId="19" fillId="0" borderId="2" xfId="0" applyNumberFormat="1" applyFont="1" applyBorder="1" applyAlignment="1">
      <alignment horizontal="center" vertical="center" wrapText="1"/>
    </xf>
    <xf numFmtId="0" fontId="19" fillId="0" borderId="6" xfId="0" applyNumberFormat="1" applyFont="1" applyBorder="1" applyAlignment="1">
      <alignment horizontal="center" vertical="center" wrapText="1"/>
    </xf>
    <xf numFmtId="0" fontId="19" fillId="13" borderId="2" xfId="0" applyFont="1" applyFill="1" applyBorder="1" applyAlignment="1">
      <alignment horizontal="left" vertical="center" wrapText="1"/>
    </xf>
    <xf numFmtId="0" fontId="19" fillId="13" borderId="3" xfId="0" applyFont="1" applyFill="1" applyBorder="1" applyAlignment="1">
      <alignment horizontal="left" vertical="center" wrapText="1"/>
    </xf>
    <xf numFmtId="0" fontId="19" fillId="0" borderId="6" xfId="0" applyFont="1" applyBorder="1" applyAlignment="1">
      <alignment horizontal="center" vertical="top" wrapText="1"/>
    </xf>
    <xf numFmtId="0" fontId="19" fillId="0" borderId="2" xfId="0" applyFont="1" applyBorder="1" applyAlignment="1">
      <alignment horizontal="center" vertical="center" wrapText="1"/>
    </xf>
    <xf numFmtId="0" fontId="19" fillId="0" borderId="6" xfId="0" applyNumberFormat="1" applyFont="1" applyBorder="1" applyAlignment="1">
      <alignment horizontal="center" vertical="top" wrapText="1"/>
    </xf>
    <xf numFmtId="0" fontId="19" fillId="0" borderId="1" xfId="0" applyNumberFormat="1" applyFont="1" applyBorder="1" applyAlignment="1">
      <alignment horizontal="center" vertical="center"/>
    </xf>
    <xf numFmtId="0" fontId="25" fillId="0" borderId="1" xfId="0" applyFont="1" applyBorder="1" applyAlignment="1">
      <alignment vertical="center"/>
    </xf>
    <xf numFmtId="0" fontId="20" fillId="0" borderId="1" xfId="0" applyFont="1" applyBorder="1" applyAlignment="1">
      <alignment horizontal="left" vertical="center"/>
    </xf>
    <xf numFmtId="14" fontId="25" fillId="0" borderId="1" xfId="0" applyNumberFormat="1" applyFont="1" applyBorder="1" applyAlignment="1">
      <alignment horizontal="left" vertical="center"/>
    </xf>
    <xf numFmtId="0" fontId="23" fillId="17" borderId="2" xfId="0" applyFont="1" applyFill="1" applyBorder="1" applyAlignment="1">
      <alignment vertical="center"/>
    </xf>
    <xf numFmtId="0" fontId="23" fillId="17" borderId="1" xfId="0" applyFont="1" applyFill="1" applyBorder="1" applyAlignment="1">
      <alignment vertical="center"/>
    </xf>
    <xf numFmtId="0" fontId="25" fillId="0" borderId="0" xfId="0" applyFont="1" applyBorder="1" applyAlignment="1">
      <alignment vertical="center"/>
    </xf>
    <xf numFmtId="0" fontId="23" fillId="20" borderId="0" xfId="0" applyFont="1" applyFill="1" applyBorder="1" applyAlignment="1">
      <alignment horizontal="left" vertical="center"/>
    </xf>
    <xf numFmtId="0" fontId="0" fillId="0" borderId="0" xfId="0" applyFont="1" applyBorder="1" applyAlignment="1"/>
    <xf numFmtId="0" fontId="0" fillId="0" borderId="0" xfId="0" applyFont="1" applyFill="1" applyBorder="1"/>
    <xf numFmtId="0" fontId="18" fillId="0" borderId="0" xfId="0" applyFont="1" applyBorder="1" applyAlignment="1">
      <alignment horizontal="center"/>
    </xf>
    <xf numFmtId="0" fontId="0" fillId="0" borderId="0" xfId="0" applyFont="1" applyBorder="1" applyAlignment="1">
      <alignment horizontal="center"/>
    </xf>
    <xf numFmtId="14" fontId="0" fillId="0" borderId="0" xfId="0" applyNumberFormat="1" applyFont="1" applyBorder="1" applyAlignment="1">
      <alignment horizontal="left"/>
    </xf>
    <xf numFmtId="0" fontId="0" fillId="0" borderId="1" xfId="0" applyFont="1" applyBorder="1" applyAlignment="1">
      <alignment horizontal="center"/>
    </xf>
    <xf numFmtId="14" fontId="0" fillId="0" borderId="1" xfId="0" applyNumberFormat="1" applyFont="1" applyBorder="1" applyAlignment="1">
      <alignment horizontal="left"/>
    </xf>
    <xf numFmtId="0" fontId="0" fillId="0" borderId="6" xfId="0" applyFont="1" applyFill="1" applyBorder="1"/>
    <xf numFmtId="0" fontId="18" fillId="0" borderId="1" xfId="0" applyFont="1" applyBorder="1" applyAlignment="1">
      <alignment horizontal="center"/>
    </xf>
    <xf numFmtId="14" fontId="18" fillId="0" borderId="1" xfId="0" applyNumberFormat="1" applyFont="1" applyBorder="1" applyAlignment="1">
      <alignment horizontal="left"/>
    </xf>
    <xf numFmtId="166" fontId="24" fillId="0" borderId="1" xfId="0" applyNumberFormat="1" applyFont="1" applyBorder="1" applyAlignment="1">
      <alignment horizontal="left" wrapText="1"/>
    </xf>
    <xf numFmtId="0" fontId="20" fillId="0" borderId="2" xfId="0" applyFont="1" applyBorder="1" applyAlignment="1">
      <alignment vertical="center" wrapText="1"/>
    </xf>
    <xf numFmtId="49" fontId="20" fillId="0" borderId="2" xfId="0" applyNumberFormat="1" applyFont="1" applyBorder="1" applyAlignment="1">
      <alignment horizontal="center" vertical="center" wrapText="1"/>
    </xf>
    <xf numFmtId="166" fontId="24" fillId="0" borderId="16" xfId="0" applyNumberFormat="1" applyFont="1" applyBorder="1" applyAlignment="1">
      <alignment horizontal="left" wrapText="1"/>
    </xf>
    <xf numFmtId="0" fontId="21" fillId="11" borderId="1" xfId="0" applyFont="1" applyFill="1" applyBorder="1" applyAlignment="1">
      <alignment vertical="center" wrapText="1"/>
    </xf>
    <xf numFmtId="0" fontId="21" fillId="11" borderId="1" xfId="0" applyFont="1" applyFill="1" applyBorder="1" applyAlignment="1">
      <alignment horizontal="center" vertical="center" wrapText="1"/>
    </xf>
    <xf numFmtId="0" fontId="19" fillId="0" borderId="0" xfId="0" applyNumberFormat="1" applyFont="1" applyBorder="1" applyAlignment="1">
      <alignment horizontal="left" vertical="top" wrapText="1"/>
    </xf>
    <xf numFmtId="0" fontId="19" fillId="0" borderId="1" xfId="0" applyNumberFormat="1" applyFont="1" applyBorder="1" applyAlignment="1">
      <alignment horizontal="left" vertical="top" wrapText="1"/>
    </xf>
    <xf numFmtId="0" fontId="16" fillId="13" borderId="0" xfId="0" applyFont="1" applyFill="1" applyAlignment="1">
      <alignment vertical="top" wrapText="1"/>
    </xf>
    <xf numFmtId="0" fontId="19" fillId="0" borderId="0" xfId="0" applyNumberFormat="1" applyFont="1" applyAlignment="1">
      <alignment horizontal="center" vertical="center" wrapText="1"/>
    </xf>
    <xf numFmtId="0" fontId="19" fillId="0" borderId="0" xfId="0" applyFont="1" applyAlignment="1">
      <alignment horizontal="center" wrapText="1"/>
    </xf>
    <xf numFmtId="0" fontId="19" fillId="13" borderId="1" xfId="0" applyNumberFormat="1" applyFont="1" applyFill="1" applyBorder="1" applyAlignment="1">
      <alignment vertical="center" wrapText="1"/>
    </xf>
    <xf numFmtId="0" fontId="20" fillId="0" borderId="0" xfId="0" applyFont="1" applyAlignment="1">
      <alignment vertical="center" wrapText="1"/>
    </xf>
    <xf numFmtId="0" fontId="28" fillId="13" borderId="1" xfId="7" applyFont="1" applyFill="1" applyBorder="1" applyAlignment="1" applyProtection="1">
      <alignment horizontal="left" vertical="center" wrapText="1"/>
    </xf>
    <xf numFmtId="0" fontId="20" fillId="0" borderId="15" xfId="0" applyFont="1" applyBorder="1" applyAlignment="1">
      <alignment vertical="top"/>
    </xf>
    <xf numFmtId="0" fontId="20" fillId="0" borderId="14" xfId="0" applyFont="1" applyBorder="1" applyAlignment="1">
      <alignment horizontal="center" vertical="top"/>
    </xf>
    <xf numFmtId="0" fontId="20" fillId="0" borderId="2" xfId="0" applyFont="1" applyBorder="1" applyAlignment="1">
      <alignment horizontal="center" vertical="top"/>
    </xf>
    <xf numFmtId="0" fontId="19" fillId="0" borderId="6" xfId="0" applyNumberFormat="1" applyFont="1" applyBorder="1" applyAlignment="1">
      <alignment horizontal="center" wrapText="1"/>
    </xf>
    <xf numFmtId="0" fontId="19" fillId="0" borderId="6" xfId="0" applyNumberFormat="1" applyFont="1" applyBorder="1" applyAlignment="1">
      <alignment vertical="top" wrapText="1"/>
    </xf>
    <xf numFmtId="0" fontId="18" fillId="13" borderId="1" xfId="0" applyFont="1" applyFill="1" applyBorder="1" applyAlignment="1">
      <alignment horizontal="left" vertical="center" wrapText="1"/>
    </xf>
    <xf numFmtId="0" fontId="20" fillId="0" borderId="0" xfId="0" applyFont="1" applyAlignment="1">
      <alignment horizontal="center"/>
    </xf>
    <xf numFmtId="0" fontId="19" fillId="0" borderId="2" xfId="0" applyNumberFormat="1" applyFont="1" applyBorder="1" applyAlignment="1">
      <alignment vertical="top" wrapText="1"/>
    </xf>
    <xf numFmtId="0" fontId="19" fillId="0" borderId="0" xfId="0" applyFont="1" applyAlignment="1">
      <alignment horizontal="left" vertical="top" wrapText="1"/>
    </xf>
    <xf numFmtId="0" fontId="19" fillId="13" borderId="6" xfId="0" applyFont="1" applyFill="1" applyBorder="1" applyAlignment="1">
      <alignment horizontal="left" vertical="top" wrapText="1"/>
    </xf>
    <xf numFmtId="0" fontId="19" fillId="13" borderId="1" xfId="0" applyFont="1" applyFill="1" applyBorder="1" applyAlignment="1">
      <alignment horizontal="center" vertical="center" wrapText="1"/>
    </xf>
    <xf numFmtId="0" fontId="18" fillId="21" borderId="1" xfId="0" applyNumberFormat="1" applyFont="1" applyFill="1" applyBorder="1" applyAlignment="1">
      <alignment horizontal="center" vertical="center"/>
    </xf>
    <xf numFmtId="2" fontId="19" fillId="0" borderId="4" xfId="0" applyNumberFormat="1" applyFont="1" applyBorder="1" applyAlignment="1">
      <alignment horizontal="center"/>
    </xf>
    <xf numFmtId="0" fontId="28" fillId="0" borderId="1" xfId="7" applyFont="1" applyBorder="1" applyAlignment="1" applyProtection="1">
      <alignment vertical="center" wrapText="1"/>
    </xf>
    <xf numFmtId="0" fontId="17" fillId="10" borderId="0" xfId="0" applyFont="1" applyFill="1" applyAlignment="1">
      <alignment horizontal="center" vertical="top" wrapText="1"/>
    </xf>
    <xf numFmtId="0" fontId="0" fillId="0" borderId="0" xfId="0" applyAlignment="1">
      <alignment wrapText="1"/>
    </xf>
    <xf numFmtId="0" fontId="17" fillId="10" borderId="11" xfId="0" applyFont="1" applyFill="1" applyBorder="1" applyAlignment="1">
      <alignment vertical="top" wrapText="1"/>
    </xf>
    <xf numFmtId="0" fontId="17" fillId="10" borderId="12" xfId="0" applyFont="1" applyFill="1" applyBorder="1" applyAlignment="1">
      <alignment vertical="top" wrapText="1"/>
    </xf>
    <xf numFmtId="8" fontId="30" fillId="18" borderId="1" xfId="0" applyNumberFormat="1" applyFont="1" applyFill="1" applyBorder="1"/>
    <xf numFmtId="8" fontId="30" fillId="18" borderId="1" xfId="0" applyNumberFormat="1" applyFont="1" applyFill="1" applyBorder="1" applyAlignment="1">
      <alignment horizontal="center" vertical="center" wrapText="1"/>
    </xf>
    <xf numFmtId="8" fontId="30" fillId="18" borderId="1" xfId="0" applyNumberFormat="1" applyFont="1" applyFill="1" applyBorder="1" applyAlignment="1">
      <alignment horizontal="center" vertical="center"/>
    </xf>
    <xf numFmtId="3" fontId="3" fillId="19" borderId="1" xfId="0" applyNumberFormat="1" applyFont="1" applyFill="1" applyBorder="1"/>
    <xf numFmtId="0" fontId="6" fillId="19" borderId="1" xfId="0" applyNumberFormat="1" applyFont="1" applyFill="1" applyBorder="1"/>
    <xf numFmtId="3" fontId="2" fillId="19" borderId="1" xfId="0" applyNumberFormat="1" applyFont="1" applyFill="1" applyBorder="1" applyAlignment="1">
      <alignment wrapText="1"/>
    </xf>
    <xf numFmtId="0" fontId="26" fillId="0" borderId="10" xfId="0" applyFont="1" applyBorder="1" applyAlignment="1">
      <alignment horizontal="center"/>
    </xf>
    <xf numFmtId="0" fontId="26" fillId="0" borderId="11" xfId="0" applyFont="1" applyBorder="1" applyAlignment="1">
      <alignment horizontal="left"/>
    </xf>
    <xf numFmtId="0" fontId="18" fillId="13" borderId="1" xfId="0" applyFont="1" applyFill="1" applyBorder="1" applyAlignment="1">
      <alignment horizontal="left"/>
    </xf>
    <xf numFmtId="0" fontId="18" fillId="0" borderId="4" xfId="0" applyFont="1" applyBorder="1" applyAlignment="1">
      <alignment horizontal="center"/>
    </xf>
    <xf numFmtId="0" fontId="18" fillId="0" borderId="5" xfId="0" applyFont="1" applyBorder="1" applyAlignment="1">
      <alignment horizontal="center"/>
    </xf>
    <xf numFmtId="0" fontId="18" fillId="0" borderId="2" xfId="0" applyFont="1" applyBorder="1" applyAlignment="1"/>
    <xf numFmtId="0" fontId="0" fillId="0" borderId="6" xfId="0" applyFont="1" applyBorder="1" applyAlignment="1"/>
    <xf numFmtId="0" fontId="0" fillId="0" borderId="3" xfId="0" applyFont="1" applyBorder="1" applyAlignment="1"/>
    <xf numFmtId="0" fontId="20" fillId="0" borderId="4" xfId="0" applyFont="1" applyBorder="1" applyAlignment="1">
      <alignment horizontal="center" vertical="center" wrapText="1"/>
    </xf>
    <xf numFmtId="0" fontId="20" fillId="0" borderId="5" xfId="0" applyFont="1" applyBorder="1" applyAlignment="1">
      <alignment horizontal="center" vertical="center" wrapText="1"/>
    </xf>
    <xf numFmtId="0" fontId="16" fillId="13" borderId="0" xfId="0" applyFont="1" applyFill="1" applyAlignment="1">
      <alignment horizontal="left" vertical="top" wrapText="1"/>
    </xf>
    <xf numFmtId="165" fontId="19" fillId="0" borderId="1" xfId="0" applyNumberFormat="1" applyFont="1" applyBorder="1" applyAlignment="1">
      <alignment horizontal="left" vertical="top" wrapText="1"/>
    </xf>
    <xf numFmtId="0" fontId="29" fillId="10" borderId="4" xfId="0" applyFont="1" applyFill="1" applyBorder="1" applyAlignment="1">
      <alignment horizontal="left" vertical="top" wrapText="1"/>
    </xf>
    <xf numFmtId="0" fontId="29" fillId="10" borderId="7" xfId="0" applyFont="1" applyFill="1" applyBorder="1" applyAlignment="1">
      <alignment horizontal="left" vertical="top" wrapText="1"/>
    </xf>
    <xf numFmtId="0" fontId="29" fillId="10" borderId="5" xfId="0" applyFont="1" applyFill="1" applyBorder="1" applyAlignment="1">
      <alignment horizontal="left" vertical="top" wrapText="1"/>
    </xf>
    <xf numFmtId="0" fontId="20" fillId="0" borderId="8" xfId="0" applyFont="1" applyBorder="1" applyAlignment="1">
      <alignment horizontal="center" vertical="center" wrapText="1"/>
    </xf>
    <xf numFmtId="0" fontId="20" fillId="0" borderId="13" xfId="0" applyFont="1" applyBorder="1" applyAlignment="1">
      <alignment horizontal="center" vertical="center" wrapText="1"/>
    </xf>
    <xf numFmtId="0" fontId="21" fillId="11" borderId="4" xfId="0" applyFont="1" applyFill="1" applyBorder="1" applyAlignment="1">
      <alignment horizontal="center" vertical="center" wrapText="1"/>
    </xf>
    <xf numFmtId="0" fontId="21" fillId="11" borderId="5" xfId="0" applyFont="1" applyFill="1" applyBorder="1" applyAlignment="1">
      <alignment horizontal="center" vertical="center" wrapText="1"/>
    </xf>
    <xf numFmtId="0" fontId="19" fillId="0" borderId="4" xfId="2" applyFont="1" applyFill="1" applyBorder="1" applyAlignment="1">
      <alignment horizontal="left" vertical="center" wrapText="1"/>
    </xf>
    <xf numFmtId="0" fontId="19" fillId="0" borderId="5" xfId="2" applyFont="1" applyFill="1" applyBorder="1" applyAlignment="1">
      <alignment horizontal="left" vertical="center" wrapText="1"/>
    </xf>
    <xf numFmtId="8" fontId="30" fillId="18" borderId="12" xfId="0" applyNumberFormat="1" applyFont="1" applyFill="1" applyBorder="1" applyAlignment="1">
      <alignment horizontal="center"/>
    </xf>
    <xf numFmtId="0" fontId="17" fillId="12" borderId="4" xfId="0" applyFont="1" applyFill="1" applyBorder="1" applyAlignment="1">
      <alignment horizontal="center"/>
    </xf>
    <xf numFmtId="0" fontId="17" fillId="12" borderId="5" xfId="0" applyFont="1" applyFill="1" applyBorder="1" applyAlignment="1">
      <alignment horizontal="center"/>
    </xf>
    <xf numFmtId="0" fontId="19" fillId="0" borderId="4" xfId="0" applyFont="1" applyBorder="1" applyAlignment="1">
      <alignment horizontal="left" vertical="center" wrapText="1"/>
    </xf>
    <xf numFmtId="0" fontId="19" fillId="0" borderId="5" xfId="0" applyFont="1" applyBorder="1" applyAlignment="1">
      <alignment horizontal="left" vertical="center" wrapText="1"/>
    </xf>
    <xf numFmtId="0" fontId="16" fillId="10" borderId="4" xfId="0" applyFont="1" applyFill="1" applyBorder="1" applyAlignment="1">
      <alignment horizontal="center" vertical="top" wrapText="1"/>
    </xf>
    <xf numFmtId="0" fontId="16" fillId="10" borderId="7" xfId="0" applyFont="1" applyFill="1" applyBorder="1" applyAlignment="1">
      <alignment horizontal="center" vertical="top" wrapText="1"/>
    </xf>
    <xf numFmtId="0" fontId="16" fillId="10" borderId="5" xfId="0" applyFont="1" applyFill="1" applyBorder="1" applyAlignment="1">
      <alignment horizontal="center" vertical="top" wrapText="1"/>
    </xf>
    <xf numFmtId="0" fontId="19" fillId="13" borderId="2" xfId="0" applyFont="1" applyFill="1" applyBorder="1" applyAlignment="1">
      <alignment horizontal="center" vertical="center" wrapText="1"/>
    </xf>
    <xf numFmtId="0" fontId="19" fillId="13" borderId="6" xfId="0" applyFont="1" applyFill="1" applyBorder="1" applyAlignment="1">
      <alignment horizontal="center" vertical="center" wrapText="1"/>
    </xf>
    <xf numFmtId="0" fontId="19" fillId="13" borderId="3" xfId="0" applyFont="1" applyFill="1" applyBorder="1" applyAlignment="1">
      <alignment horizontal="center" vertical="center" wrapText="1"/>
    </xf>
    <xf numFmtId="0" fontId="19" fillId="0" borderId="2" xfId="0" applyNumberFormat="1" applyFont="1" applyBorder="1" applyAlignment="1">
      <alignment horizontal="center" vertical="center" wrapText="1"/>
    </xf>
    <xf numFmtId="0" fontId="19" fillId="0" borderId="6" xfId="0" applyNumberFormat="1" applyFont="1" applyBorder="1" applyAlignment="1">
      <alignment horizontal="center" vertical="center" wrapText="1"/>
    </xf>
    <xf numFmtId="0" fontId="19" fillId="0" borderId="3" xfId="0" applyNumberFormat="1" applyFont="1" applyBorder="1" applyAlignment="1">
      <alignment horizontal="center" vertical="center" wrapText="1"/>
    </xf>
    <xf numFmtId="0" fontId="19" fillId="0" borderId="2" xfId="0" applyFont="1" applyBorder="1" applyAlignment="1">
      <alignment horizontal="center" vertical="center" wrapText="1"/>
    </xf>
    <xf numFmtId="0" fontId="19" fillId="0" borderId="6" xfId="0" applyFont="1" applyBorder="1" applyAlignment="1">
      <alignment horizontal="center" vertical="center" wrapText="1"/>
    </xf>
    <xf numFmtId="0" fontId="19" fillId="0" borderId="3" xfId="0" applyFont="1" applyBorder="1" applyAlignment="1">
      <alignment horizontal="center" vertical="center" wrapText="1"/>
    </xf>
    <xf numFmtId="0" fontId="19" fillId="0" borderId="2" xfId="0" applyFont="1" applyBorder="1" applyAlignment="1">
      <alignment horizontal="center" wrapText="1"/>
    </xf>
    <xf numFmtId="0" fontId="19" fillId="0" borderId="6" xfId="0" applyFont="1" applyBorder="1" applyAlignment="1">
      <alignment horizontal="center" wrapText="1"/>
    </xf>
    <xf numFmtId="0" fontId="19" fillId="0" borderId="3" xfId="0" applyFont="1" applyBorder="1" applyAlignment="1">
      <alignment horizontal="center" wrapText="1"/>
    </xf>
    <xf numFmtId="0" fontId="20" fillId="0" borderId="2" xfId="0" applyFont="1" applyBorder="1" applyAlignment="1">
      <alignment horizontal="center" vertical="center" wrapText="1"/>
    </xf>
    <xf numFmtId="0" fontId="20" fillId="0" borderId="6" xfId="0" applyFont="1" applyBorder="1" applyAlignment="1">
      <alignment horizontal="center" vertical="center" wrapText="1"/>
    </xf>
    <xf numFmtId="0" fontId="20" fillId="0" borderId="3" xfId="0" applyFont="1" applyBorder="1" applyAlignment="1">
      <alignment horizontal="center" vertical="center" wrapText="1"/>
    </xf>
    <xf numFmtId="0" fontId="19" fillId="0" borderId="2" xfId="0" applyFont="1" applyBorder="1" applyAlignment="1">
      <alignment horizontal="center" vertical="top" wrapText="1"/>
    </xf>
    <xf numFmtId="0" fontId="19" fillId="0" borderId="6" xfId="0" applyFont="1" applyBorder="1" applyAlignment="1">
      <alignment horizontal="center" vertical="top" wrapText="1"/>
    </xf>
    <xf numFmtId="0" fontId="19" fillId="0" borderId="3" xfId="0" applyFont="1" applyBorder="1" applyAlignment="1">
      <alignment horizontal="center" vertical="top" wrapText="1"/>
    </xf>
    <xf numFmtId="0" fontId="19" fillId="13" borderId="2" xfId="0" applyNumberFormat="1" applyFont="1" applyFill="1" applyBorder="1" applyAlignment="1">
      <alignment horizontal="center" vertical="center" wrapText="1"/>
    </xf>
    <xf numFmtId="0" fontId="19" fillId="13" borderId="6" xfId="0" applyNumberFormat="1" applyFont="1" applyFill="1" applyBorder="1" applyAlignment="1">
      <alignment horizontal="center" vertical="center" wrapText="1"/>
    </xf>
    <xf numFmtId="0" fontId="19" fillId="13" borderId="3" xfId="0" applyNumberFormat="1" applyFont="1" applyFill="1" applyBorder="1" applyAlignment="1">
      <alignment horizontal="center" vertical="center" wrapText="1"/>
    </xf>
    <xf numFmtId="0" fontId="19" fillId="13" borderId="2" xfId="0" applyFont="1" applyFill="1" applyBorder="1" applyAlignment="1">
      <alignment horizontal="center" vertical="top" wrapText="1"/>
    </xf>
    <xf numFmtId="0" fontId="19" fillId="13" borderId="6" xfId="0" applyFont="1" applyFill="1" applyBorder="1" applyAlignment="1">
      <alignment horizontal="center" vertical="top" wrapText="1"/>
    </xf>
    <xf numFmtId="0" fontId="19" fillId="13" borderId="3" xfId="0" applyFont="1" applyFill="1" applyBorder="1" applyAlignment="1">
      <alignment horizontal="center" vertical="top" wrapText="1"/>
    </xf>
    <xf numFmtId="0" fontId="20" fillId="0" borderId="2" xfId="0" applyFont="1" applyBorder="1" applyAlignment="1">
      <alignment horizontal="center" wrapText="1"/>
    </xf>
    <xf numFmtId="0" fontId="20" fillId="0" borderId="6" xfId="0" applyFont="1" applyBorder="1" applyAlignment="1">
      <alignment horizontal="center" wrapText="1"/>
    </xf>
    <xf numFmtId="0" fontId="20" fillId="0" borderId="3" xfId="0" applyFont="1" applyBorder="1" applyAlignment="1">
      <alignment horizontal="center" wrapText="1"/>
    </xf>
    <xf numFmtId="0" fontId="20" fillId="0" borderId="2" xfId="0" applyFont="1" applyBorder="1" applyAlignment="1">
      <alignment horizontal="center" vertical="top" wrapText="1"/>
    </xf>
    <xf numFmtId="0" fontId="20" fillId="0" borderId="6" xfId="0" applyFont="1" applyBorder="1" applyAlignment="1">
      <alignment horizontal="center" vertical="top" wrapText="1"/>
    </xf>
    <xf numFmtId="0" fontId="20" fillId="0" borderId="3" xfId="0" applyFont="1" applyBorder="1" applyAlignment="1">
      <alignment horizontal="center" vertical="top" wrapText="1"/>
    </xf>
    <xf numFmtId="0" fontId="19" fillId="0" borderId="2" xfId="0" applyNumberFormat="1" applyFont="1" applyBorder="1" applyAlignment="1">
      <alignment horizontal="center" vertical="top" wrapText="1"/>
    </xf>
    <xf numFmtId="0" fontId="19" fillId="0" borderId="6" xfId="0" applyNumberFormat="1" applyFont="1" applyBorder="1" applyAlignment="1">
      <alignment horizontal="center" vertical="top" wrapText="1"/>
    </xf>
    <xf numFmtId="0" fontId="19" fillId="0" borderId="3" xfId="0" applyNumberFormat="1" applyFont="1" applyBorder="1" applyAlignment="1">
      <alignment horizontal="center" vertical="top" wrapText="1"/>
    </xf>
    <xf numFmtId="0" fontId="20" fillId="13" borderId="2" xfId="0" applyNumberFormat="1" applyFont="1" applyFill="1" applyBorder="1" applyAlignment="1">
      <alignment horizontal="center" vertical="top" wrapText="1"/>
    </xf>
    <xf numFmtId="0" fontId="20" fillId="13" borderId="6" xfId="0" applyNumberFormat="1" applyFont="1" applyFill="1" applyBorder="1" applyAlignment="1">
      <alignment horizontal="center" vertical="top" wrapText="1"/>
    </xf>
    <xf numFmtId="0" fontId="20" fillId="13" borderId="3" xfId="0" applyNumberFormat="1" applyFont="1" applyFill="1" applyBorder="1" applyAlignment="1">
      <alignment horizontal="center" vertical="top" wrapText="1"/>
    </xf>
    <xf numFmtId="0" fontId="16" fillId="10" borderId="10" xfId="0" applyFont="1" applyFill="1" applyBorder="1" applyAlignment="1">
      <alignment horizontal="center" vertical="center" wrapText="1"/>
    </xf>
    <xf numFmtId="0" fontId="16" fillId="10" borderId="0" xfId="0" applyFont="1" applyFill="1" applyBorder="1" applyAlignment="1">
      <alignment horizontal="center" vertical="center" wrapText="1"/>
    </xf>
    <xf numFmtId="0" fontId="20" fillId="13" borderId="2" xfId="0" applyNumberFormat="1" applyFont="1" applyFill="1" applyBorder="1" applyAlignment="1">
      <alignment horizontal="center" vertical="center" wrapText="1"/>
    </xf>
    <xf numFmtId="0" fontId="20" fillId="13" borderId="6" xfId="0" applyNumberFormat="1" applyFont="1" applyFill="1" applyBorder="1" applyAlignment="1">
      <alignment horizontal="center" vertical="center" wrapText="1"/>
    </xf>
    <xf numFmtId="0" fontId="20" fillId="13" borderId="3" xfId="0" applyNumberFormat="1" applyFont="1" applyFill="1" applyBorder="1" applyAlignment="1">
      <alignment horizontal="center" vertical="center" wrapText="1"/>
    </xf>
    <xf numFmtId="0" fontId="19" fillId="0" borderId="2" xfId="0" applyFont="1" applyBorder="1" applyAlignment="1">
      <alignment horizontal="center" vertical="center"/>
    </xf>
    <xf numFmtId="0" fontId="19" fillId="0" borderId="6" xfId="0" applyFont="1" applyBorder="1" applyAlignment="1">
      <alignment horizontal="center" vertical="center"/>
    </xf>
    <xf numFmtId="0" fontId="19" fillId="0" borderId="1" xfId="0" applyNumberFormat="1" applyFont="1" applyBorder="1" applyAlignment="1">
      <alignment horizontal="center" vertical="center"/>
    </xf>
    <xf numFmtId="0" fontId="19" fillId="0" borderId="3" xfId="0" applyFont="1" applyBorder="1" applyAlignment="1">
      <alignment horizontal="center" vertical="center"/>
    </xf>
    <xf numFmtId="0" fontId="16" fillId="10" borderId="12" xfId="0" applyFont="1" applyFill="1" applyBorder="1" applyAlignment="1">
      <alignment horizontal="center" vertical="center" wrapText="1"/>
    </xf>
    <xf numFmtId="0" fontId="20" fillId="13" borderId="2" xfId="0" applyFont="1" applyFill="1" applyBorder="1" applyAlignment="1">
      <alignment horizontal="center" vertical="center" wrapText="1"/>
    </xf>
    <xf numFmtId="0" fontId="20" fillId="13" borderId="6" xfId="0" applyFont="1" applyFill="1" applyBorder="1" applyAlignment="1">
      <alignment horizontal="center" vertical="center" wrapText="1"/>
    </xf>
    <xf numFmtId="0" fontId="20" fillId="13" borderId="3" xfId="0" applyFont="1" applyFill="1" applyBorder="1" applyAlignment="1">
      <alignment horizontal="center" vertical="center" wrapText="1"/>
    </xf>
    <xf numFmtId="0" fontId="20" fillId="0" borderId="2" xfId="0" applyFont="1" applyBorder="1" applyAlignment="1">
      <alignment horizontal="center" vertical="center"/>
    </xf>
    <xf numFmtId="0" fontId="20" fillId="0" borderId="6" xfId="0" applyFont="1" applyBorder="1" applyAlignment="1">
      <alignment horizontal="center" vertical="center"/>
    </xf>
    <xf numFmtId="0" fontId="20" fillId="0" borderId="3" xfId="0" applyFont="1" applyBorder="1" applyAlignment="1">
      <alignment horizontal="center" vertical="center"/>
    </xf>
    <xf numFmtId="0" fontId="18" fillId="13" borderId="2" xfId="0" applyFont="1" applyFill="1" applyBorder="1" applyAlignment="1">
      <alignment horizontal="center" vertical="center" wrapText="1"/>
    </xf>
    <xf numFmtId="0" fontId="18" fillId="13" borderId="6" xfId="0" applyFont="1" applyFill="1" applyBorder="1" applyAlignment="1">
      <alignment horizontal="center" vertical="center" wrapText="1"/>
    </xf>
    <xf numFmtId="0" fontId="18" fillId="13" borderId="3" xfId="0" applyFont="1" applyFill="1" applyBorder="1" applyAlignment="1">
      <alignment horizontal="center" vertical="center" wrapText="1"/>
    </xf>
    <xf numFmtId="0" fontId="10" fillId="0" borderId="2" xfId="0" applyFont="1" applyBorder="1" applyAlignment="1">
      <alignment horizontal="center"/>
    </xf>
    <xf numFmtId="0" fontId="10" fillId="0" borderId="6" xfId="0" applyFont="1" applyBorder="1" applyAlignment="1">
      <alignment horizontal="center"/>
    </xf>
    <xf numFmtId="0" fontId="10" fillId="0" borderId="3" xfId="0" applyFont="1" applyBorder="1" applyAlignment="1">
      <alignment horizontal="center"/>
    </xf>
    <xf numFmtId="0" fontId="10" fillId="0" borderId="4" xfId="0" applyFont="1" applyBorder="1" applyAlignment="1">
      <alignment horizontal="left"/>
    </xf>
    <xf numFmtId="0" fontId="10" fillId="0" borderId="7" xfId="0" applyFont="1" applyBorder="1" applyAlignment="1">
      <alignment horizontal="left"/>
    </xf>
    <xf numFmtId="0" fontId="10" fillId="0" borderId="5" xfId="0" applyFont="1" applyBorder="1" applyAlignment="1">
      <alignment horizontal="left"/>
    </xf>
    <xf numFmtId="0" fontId="10" fillId="0" borderId="8" xfId="0" applyFont="1" applyBorder="1" applyAlignment="1">
      <alignment horizontal="left"/>
    </xf>
    <xf numFmtId="0" fontId="10" fillId="0" borderId="9" xfId="0" applyFont="1" applyBorder="1" applyAlignment="1">
      <alignment horizontal="left"/>
    </xf>
    <xf numFmtId="0" fontId="10" fillId="0" borderId="1" xfId="0" applyFont="1" applyBorder="1" applyAlignment="1">
      <alignment horizontal="left"/>
    </xf>
  </cellXfs>
  <cellStyles count="8">
    <cellStyle name="Excel Built-in Normal" xfId="6"/>
    <cellStyle name="Hyperlink" xfId="7" builtinId="8"/>
    <cellStyle name="Normal" xfId="0" builtinId="0"/>
    <cellStyle name="Normal 2" xfId="2"/>
    <cellStyle name="Normal 2 2" xfId="1"/>
    <cellStyle name="Normal 2 3" xfId="4"/>
    <cellStyle name="Normal 2 4" xfId="5"/>
    <cellStyle name="Normal 3" xfId="3"/>
  </cellStyles>
  <dxfs count="299">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3" tint="0.39994506668294322"/>
        </patternFill>
      </fill>
    </dxf>
    <dxf>
      <fill>
        <patternFill>
          <bgColor rgb="FFFF0000"/>
        </patternFill>
      </fill>
    </dxf>
    <dxf>
      <font>
        <color theme="1"/>
      </font>
      <fill>
        <patternFill>
          <bgColor theme="6"/>
        </patternFill>
      </fill>
    </dxf>
    <dxf>
      <font>
        <color theme="1"/>
      </font>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3</xdr:row>
      <xdr:rowOff>0</xdr:rowOff>
    </xdr:from>
    <xdr:to>
      <xdr:col>6</xdr:col>
      <xdr:colOff>296395</xdr:colOff>
      <xdr:row>6</xdr:row>
      <xdr:rowOff>91328</xdr:rowOff>
    </xdr:to>
    <xdr:pic>
      <xdr:nvPicPr>
        <xdr:cNvPr id="2" name="Picture 1"/>
        <xdr:cNvPicPr/>
      </xdr:nvPicPr>
      <xdr:blipFill>
        <a:blip xmlns:r="http://schemas.openxmlformats.org/officeDocument/2006/relationships" r:embed="rId1" cstate="print"/>
        <a:stretch>
          <a:fillRect/>
        </a:stretch>
      </xdr:blipFill>
      <xdr:spPr>
        <a:xfrm>
          <a:off x="3048000" y="571500"/>
          <a:ext cx="905995" cy="66282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ata_Analytics/accolade/docs/quality_control/test_results/app_qc/makalu/smoke_test/qc/lowes/2016/2016_05_12_PA_5.1.0_App_QC_Smoke_Test_Checklist_ACL_LW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asshrestha\Desktop\2015_10_01_PA_4.5_App_QC_Smoke_Test_Result.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abhattarai\Downloads\New%20Feature\2016_01_21_PA_4.8_App_QC_Smoke_Test_Checklist.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ata_Analytics/accolade/docs/quality_control/test_results/app_qc/makalu/smoke_test/qc/lowes/2016/2015_10_28_Plan_Analytics_4.5.0_App_QC_Smoke_Test_Result_AccoladeTWC.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ata_Analytics_client_file/business_administrators_consultants/docs/quality_control/test_results/app_qc/makalu/smoke_test/2015_08_19_Makalu_4.3.0_App_QC_Smoke_Test_Result_BAC.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Page"/>
      <sheetName val="LOA Count"/>
      <sheetName val="Smoke Test Checklist"/>
      <sheetName val="Sumit"/>
      <sheetName val="QM_List"/>
      <sheetName val="QM"/>
      <sheetName val="Sumit_values"/>
      <sheetName val="Info"/>
    </sheetNames>
    <sheetDataSet>
      <sheetData sheetId="0"/>
      <sheetData sheetId="1"/>
      <sheetData sheetId="2"/>
      <sheetData sheetId="3"/>
      <sheetData sheetId="4"/>
      <sheetData sheetId="5"/>
      <sheetData sheetId="6"/>
      <sheetData sheetId="7">
        <row r="3">
          <cell r="A3" t="str">
            <v>Pass</v>
          </cell>
        </row>
        <row r="4">
          <cell r="A4" t="str">
            <v>Partially Pass</v>
          </cell>
        </row>
        <row r="5">
          <cell r="A5" t="str">
            <v>Fail</v>
          </cell>
        </row>
        <row r="6">
          <cell r="A6" t="str">
            <v>Blocked</v>
          </cell>
        </row>
        <row r="7">
          <cell r="A7" t="str">
            <v>Ongoing</v>
          </cell>
        </row>
        <row r="8">
          <cell r="A8" t="str">
            <v>Pending</v>
          </cell>
        </row>
        <row r="9">
          <cell r="A9" t="str">
            <v>Not Tested</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Page"/>
      <sheetName val="Smoke Test Checklist"/>
      <sheetName val="Sumit"/>
      <sheetName val="QM_List"/>
      <sheetName val="QM"/>
      <sheetName val="Sumit_values"/>
      <sheetName val="Info"/>
    </sheetNames>
    <sheetDataSet>
      <sheetData sheetId="0" refreshError="1"/>
      <sheetData sheetId="1" refreshError="1"/>
      <sheetData sheetId="2" refreshError="1"/>
      <sheetData sheetId="3" refreshError="1"/>
      <sheetData sheetId="4" refreshError="1"/>
      <sheetData sheetId="5" refreshError="1"/>
      <sheetData sheetId="6">
        <row r="3">
          <cell r="A3" t="str">
            <v>Pass</v>
          </cell>
        </row>
        <row r="4">
          <cell r="A4" t="str">
            <v>Partially Pass</v>
          </cell>
        </row>
        <row r="5">
          <cell r="A5" t="str">
            <v>Fail</v>
          </cell>
        </row>
        <row r="6">
          <cell r="A6" t="str">
            <v>Blocked</v>
          </cell>
        </row>
        <row r="7">
          <cell r="A7" t="str">
            <v>Ongoing</v>
          </cell>
        </row>
        <row r="8">
          <cell r="A8" t="str">
            <v>Pending</v>
          </cell>
        </row>
        <row r="9">
          <cell r="A9" t="str">
            <v>Not Tested</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Page"/>
      <sheetName val="Smoke Test Checklist"/>
      <sheetName val="Sumit"/>
      <sheetName val="QM_List"/>
      <sheetName val="QM"/>
      <sheetName val="Sumit_values"/>
      <sheetName val="Info"/>
    </sheetNames>
    <sheetDataSet>
      <sheetData sheetId="0"/>
      <sheetData sheetId="1"/>
      <sheetData sheetId="2"/>
      <sheetData sheetId="3"/>
      <sheetData sheetId="4"/>
      <sheetData sheetId="5"/>
      <sheetData sheetId="6">
        <row r="3">
          <cell r="A3" t="str">
            <v>Pass</v>
          </cell>
        </row>
        <row r="4">
          <cell r="A4" t="str">
            <v>Partially Pass</v>
          </cell>
        </row>
        <row r="5">
          <cell r="A5" t="str">
            <v>Fail</v>
          </cell>
        </row>
        <row r="6">
          <cell r="A6" t="str">
            <v>Blocked</v>
          </cell>
        </row>
        <row r="7">
          <cell r="A7" t="str">
            <v>Ongoing</v>
          </cell>
        </row>
        <row r="8">
          <cell r="A8" t="str">
            <v>Pending</v>
          </cell>
        </row>
        <row r="9">
          <cell r="A9" t="str">
            <v>Not Tested</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Page"/>
      <sheetName val="LOA Count"/>
      <sheetName val="Smoke Test Checklist"/>
      <sheetName val="Sumit"/>
      <sheetName val="QM_List"/>
      <sheetName val="QM"/>
      <sheetName val="Sumit_values"/>
      <sheetName val="Info"/>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Page"/>
      <sheetName val="LOA &amp; Count"/>
      <sheetName val="Smoke Test Checklist"/>
      <sheetName val="Sumit"/>
      <sheetName val="QM_List"/>
      <sheetName val="QM"/>
      <sheetName val="Sumit_values"/>
      <sheetName val="Info"/>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epicbenefitsdata.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28"/>
  <sheetViews>
    <sheetView showGridLines="0" tabSelected="1" zoomScale="85" zoomScaleNormal="85" workbookViewId="0">
      <pane ySplit="9" topLeftCell="A22" activePane="bottomLeft" state="frozen"/>
      <selection pane="bottomLeft" activeCell="A10" sqref="A10"/>
    </sheetView>
  </sheetViews>
  <sheetFormatPr defaultRowHeight="15" x14ac:dyDescent="0.25"/>
  <cols>
    <col min="1" max="1" width="36" style="42" customWidth="1"/>
    <col min="2" max="2" width="10.5703125" style="42" bestFit="1" customWidth="1"/>
    <col min="3" max="3" width="40.7109375" style="42" bestFit="1" customWidth="1"/>
    <col min="4" max="4" width="18.7109375" style="42" customWidth="1"/>
    <col min="5" max="5" width="17" style="42" customWidth="1"/>
    <col min="6" max="6" width="26.5703125" style="42" bestFit="1" customWidth="1"/>
    <col min="7" max="7" width="29.85546875" style="42" customWidth="1"/>
    <col min="8" max="8" width="9.140625" style="42"/>
    <col min="9" max="9" width="24" style="42" customWidth="1"/>
    <col min="10" max="16384" width="9.140625" style="42"/>
  </cols>
  <sheetData>
    <row r="1" spans="1:55" s="96" customFormat="1" ht="12.75" x14ac:dyDescent="0.25">
      <c r="A1" s="236" t="s">
        <v>308</v>
      </c>
      <c r="B1" s="236"/>
      <c r="C1" s="236"/>
      <c r="D1" s="236"/>
      <c r="E1" s="236"/>
      <c r="F1" s="236"/>
      <c r="G1" s="236"/>
      <c r="H1" s="236"/>
      <c r="I1" s="236"/>
    </row>
    <row r="2" spans="1:55" s="99" customFormat="1" ht="15" customHeight="1" x14ac:dyDescent="0.25">
      <c r="A2" s="97"/>
      <c r="B2" s="97"/>
      <c r="C2" s="97"/>
      <c r="D2" s="98"/>
      <c r="E2" s="97"/>
      <c r="F2" s="97"/>
      <c r="G2" s="97"/>
      <c r="H2" s="97"/>
      <c r="I2" s="97"/>
    </row>
    <row r="3" spans="1:55" s="96" customFormat="1" ht="15" customHeight="1" x14ac:dyDescent="0.25">
      <c r="A3" s="238" t="s">
        <v>386</v>
      </c>
      <c r="B3" s="239"/>
      <c r="C3" s="240"/>
      <c r="D3" s="196"/>
      <c r="E3" s="196"/>
      <c r="F3" s="196"/>
      <c r="G3" s="196"/>
      <c r="H3" s="196"/>
      <c r="I3" s="196"/>
      <c r="P3" s="99"/>
    </row>
    <row r="4" spans="1:55" s="96" customFormat="1" ht="12.75" x14ac:dyDescent="0.25">
      <c r="A4" s="113" t="s">
        <v>375</v>
      </c>
      <c r="B4" s="237" t="s">
        <v>1314</v>
      </c>
      <c r="C4" s="237"/>
      <c r="D4" s="114"/>
      <c r="P4" s="99"/>
    </row>
    <row r="5" spans="1:55" s="96" customFormat="1" ht="12.75" x14ac:dyDescent="0.25">
      <c r="A5" s="113" t="s">
        <v>376</v>
      </c>
      <c r="B5" s="237" t="s">
        <v>377</v>
      </c>
      <c r="C5" s="237"/>
      <c r="D5" s="194"/>
      <c r="P5" s="99"/>
    </row>
    <row r="6" spans="1:55" s="96" customFormat="1" ht="12.75" x14ac:dyDescent="0.25">
      <c r="A6" s="113" t="s">
        <v>379</v>
      </c>
      <c r="B6" s="195">
        <v>6.1</v>
      </c>
      <c r="C6" s="195"/>
      <c r="D6" s="194"/>
      <c r="P6" s="99"/>
    </row>
    <row r="7" spans="1:55" s="96" customFormat="1" ht="15" customHeight="1" x14ac:dyDescent="0.25">
      <c r="A7" s="113" t="s">
        <v>380</v>
      </c>
      <c r="B7" s="237" t="s">
        <v>1290</v>
      </c>
      <c r="C7" s="237"/>
      <c r="D7" s="110"/>
      <c r="P7" s="99"/>
    </row>
    <row r="8" spans="1:55" s="96" customFormat="1" ht="15" customHeight="1" x14ac:dyDescent="0.25">
      <c r="A8" s="113" t="s">
        <v>381</v>
      </c>
      <c r="B8" s="237" t="s">
        <v>382</v>
      </c>
      <c r="C8" s="237"/>
      <c r="D8" s="110"/>
      <c r="P8" s="99"/>
    </row>
    <row r="9" spans="1:55" s="96" customFormat="1" ht="12.75" x14ac:dyDescent="0.25">
      <c r="A9" s="113" t="s">
        <v>383</v>
      </c>
      <c r="B9" s="237" t="s">
        <v>384</v>
      </c>
      <c r="C9" s="237"/>
      <c r="D9" s="110"/>
      <c r="G9" s="100"/>
      <c r="P9" s="99"/>
    </row>
    <row r="10" spans="1:55" x14ac:dyDescent="0.25">
      <c r="J10" s="96"/>
      <c r="K10" s="96"/>
      <c r="L10" s="96"/>
      <c r="M10" s="96"/>
      <c r="N10" s="96"/>
      <c r="O10" s="96"/>
      <c r="P10" s="99"/>
      <c r="Q10" s="96"/>
      <c r="R10" s="96"/>
      <c r="S10" s="96"/>
      <c r="T10" s="96"/>
      <c r="U10" s="96"/>
      <c r="V10" s="96"/>
      <c r="W10" s="96"/>
      <c r="X10" s="96"/>
      <c r="Y10" s="96"/>
      <c r="Z10" s="96"/>
      <c r="AA10" s="96"/>
      <c r="AB10" s="96"/>
      <c r="AC10" s="96"/>
      <c r="AD10" s="96"/>
      <c r="AE10" s="96"/>
      <c r="AF10" s="96"/>
      <c r="AG10" s="96"/>
      <c r="AH10" s="96"/>
      <c r="AI10" s="96"/>
      <c r="AJ10" s="96"/>
      <c r="AK10" s="96"/>
      <c r="AL10" s="96"/>
      <c r="AM10" s="96"/>
      <c r="AN10" s="96"/>
      <c r="AO10" s="96"/>
      <c r="AP10" s="96"/>
      <c r="AQ10" s="96"/>
      <c r="AR10" s="96"/>
      <c r="AS10" s="96"/>
      <c r="AT10" s="96"/>
      <c r="AU10" s="96"/>
      <c r="AV10" s="96"/>
      <c r="AW10" s="96"/>
      <c r="AX10" s="96"/>
      <c r="AY10" s="96"/>
      <c r="AZ10" s="96"/>
      <c r="BA10" s="96"/>
      <c r="BB10" s="96"/>
      <c r="BC10" s="96"/>
    </row>
    <row r="11" spans="1:55" x14ac:dyDescent="0.25">
      <c r="J11" s="96"/>
      <c r="K11" s="96"/>
      <c r="L11" s="96"/>
      <c r="M11" s="96"/>
      <c r="N11" s="96"/>
      <c r="O11" s="96"/>
      <c r="P11" s="99"/>
      <c r="Q11" s="96"/>
      <c r="R11" s="96"/>
      <c r="S11" s="96"/>
      <c r="T11" s="96"/>
      <c r="U11" s="96"/>
      <c r="V11" s="96"/>
      <c r="W11" s="96"/>
      <c r="X11" s="96"/>
      <c r="Y11" s="96"/>
      <c r="Z11" s="96"/>
      <c r="AA11" s="96"/>
      <c r="AB11" s="96"/>
      <c r="AC11" s="96"/>
      <c r="AD11" s="96"/>
      <c r="AE11" s="96"/>
      <c r="AF11" s="96"/>
      <c r="AG11" s="96"/>
      <c r="AH11" s="96"/>
      <c r="AI11" s="96"/>
      <c r="AJ11" s="96"/>
      <c r="AK11" s="96"/>
      <c r="AL11" s="96"/>
      <c r="AM11" s="96"/>
      <c r="AN11" s="96"/>
      <c r="AO11" s="96"/>
      <c r="AP11" s="96"/>
      <c r="AQ11" s="96"/>
      <c r="AR11" s="96"/>
      <c r="AS11" s="96"/>
      <c r="AT11" s="96"/>
      <c r="AU11" s="96"/>
      <c r="AV11" s="96"/>
      <c r="AW11" s="96"/>
      <c r="AX11" s="96"/>
      <c r="AY11" s="96"/>
      <c r="AZ11" s="96"/>
      <c r="BA11" s="96"/>
      <c r="BB11" s="96"/>
      <c r="BC11" s="96"/>
    </row>
    <row r="12" spans="1:55" x14ac:dyDescent="0.25">
      <c r="A12" s="115" t="s">
        <v>387</v>
      </c>
      <c r="B12" s="116"/>
      <c r="C12" s="117"/>
      <c r="D12" s="117"/>
      <c r="E12" s="117"/>
      <c r="F12" s="117"/>
      <c r="G12" s="117"/>
      <c r="J12" s="96"/>
      <c r="K12" s="96"/>
      <c r="L12" s="96"/>
      <c r="M12" s="96"/>
      <c r="N12" s="96"/>
      <c r="O12" s="96"/>
      <c r="P12" s="99"/>
      <c r="Q12" s="96"/>
      <c r="R12" s="96"/>
      <c r="S12" s="96"/>
      <c r="T12" s="96"/>
      <c r="U12" s="96"/>
      <c r="V12" s="96"/>
      <c r="W12" s="96"/>
      <c r="X12" s="96"/>
      <c r="Y12" s="96"/>
      <c r="Z12" s="96"/>
      <c r="AA12" s="96"/>
      <c r="AB12" s="96"/>
      <c r="AC12" s="96"/>
      <c r="AD12" s="96"/>
      <c r="AE12" s="96"/>
      <c r="AF12" s="96"/>
      <c r="AG12" s="96"/>
      <c r="AH12" s="96"/>
      <c r="AI12" s="96"/>
      <c r="AJ12" s="96"/>
      <c r="AK12" s="96"/>
      <c r="AL12" s="96"/>
      <c r="AM12" s="96"/>
      <c r="AN12" s="96"/>
      <c r="AO12" s="96"/>
      <c r="AP12" s="96"/>
      <c r="AQ12" s="96"/>
      <c r="AR12" s="96"/>
      <c r="AS12" s="96"/>
      <c r="AT12" s="96"/>
      <c r="AU12" s="96"/>
      <c r="AV12" s="96"/>
      <c r="AW12" s="96"/>
      <c r="AX12" s="96"/>
      <c r="AY12" s="96"/>
      <c r="AZ12" s="96"/>
      <c r="BA12" s="96"/>
      <c r="BB12" s="96"/>
      <c r="BC12" s="96"/>
    </row>
    <row r="13" spans="1:55" x14ac:dyDescent="0.25">
      <c r="A13" s="117"/>
      <c r="B13" s="117"/>
      <c r="C13" s="117"/>
      <c r="D13" s="117"/>
      <c r="E13" s="117"/>
      <c r="F13" s="117"/>
      <c r="G13" s="117"/>
      <c r="J13" s="96"/>
      <c r="K13" s="96"/>
      <c r="L13" s="96"/>
      <c r="M13" s="96"/>
      <c r="N13" s="96"/>
      <c r="O13" s="96"/>
      <c r="P13" s="96"/>
      <c r="Q13" s="96"/>
      <c r="R13" s="96"/>
      <c r="S13" s="96"/>
      <c r="T13" s="96"/>
      <c r="U13" s="96"/>
      <c r="V13" s="96"/>
      <c r="W13" s="96"/>
      <c r="X13" s="96"/>
      <c r="Y13" s="96"/>
      <c r="Z13" s="96"/>
      <c r="AA13" s="96"/>
      <c r="AB13" s="96"/>
      <c r="AC13" s="96"/>
      <c r="AD13" s="96"/>
      <c r="AE13" s="96"/>
      <c r="AF13" s="96"/>
      <c r="AG13" s="96"/>
      <c r="AH13" s="96"/>
      <c r="AI13" s="96"/>
      <c r="AJ13" s="96"/>
      <c r="AK13" s="96"/>
      <c r="AL13" s="96"/>
      <c r="AM13" s="96"/>
      <c r="AN13" s="96"/>
      <c r="AO13" s="96"/>
      <c r="AP13" s="96"/>
      <c r="AQ13" s="96"/>
      <c r="AR13" s="96"/>
      <c r="AS13" s="96"/>
      <c r="AT13" s="96"/>
      <c r="AU13" s="96"/>
      <c r="AV13" s="96"/>
      <c r="AW13" s="96"/>
      <c r="AX13" s="96"/>
      <c r="AY13" s="96"/>
      <c r="AZ13" s="96"/>
      <c r="BA13" s="96"/>
      <c r="BB13" s="96"/>
      <c r="BC13" s="96"/>
    </row>
    <row r="14" spans="1:55" x14ac:dyDescent="0.25">
      <c r="A14" s="192" t="s">
        <v>388</v>
      </c>
      <c r="B14" s="193" t="s">
        <v>389</v>
      </c>
      <c r="C14" s="243" t="s">
        <v>390</v>
      </c>
      <c r="D14" s="244"/>
      <c r="E14" s="192" t="s">
        <v>391</v>
      </c>
      <c r="F14" s="192" t="s">
        <v>392</v>
      </c>
      <c r="G14" s="192" t="s">
        <v>2</v>
      </c>
      <c r="J14" s="96"/>
      <c r="K14" s="96"/>
      <c r="L14" s="96"/>
      <c r="M14" s="96"/>
      <c r="N14" s="96"/>
      <c r="O14" s="96"/>
      <c r="P14" s="96"/>
      <c r="Q14" s="96"/>
      <c r="R14" s="96"/>
      <c r="S14" s="96"/>
      <c r="T14" s="96"/>
      <c r="U14" s="96"/>
      <c r="V14" s="96"/>
      <c r="W14" s="96"/>
      <c r="X14" s="96"/>
      <c r="Y14" s="96"/>
      <c r="Z14" s="96"/>
      <c r="AA14" s="96"/>
      <c r="AB14" s="96"/>
      <c r="AC14" s="96"/>
      <c r="AD14" s="96"/>
      <c r="AE14" s="96"/>
      <c r="AF14" s="96"/>
      <c r="AG14" s="96"/>
      <c r="AH14" s="96"/>
      <c r="AI14" s="96"/>
      <c r="AJ14" s="96"/>
      <c r="AK14" s="96"/>
      <c r="AL14" s="96"/>
      <c r="AM14" s="96"/>
      <c r="AN14" s="96"/>
      <c r="AO14" s="96"/>
      <c r="AP14" s="96"/>
      <c r="AQ14" s="96"/>
      <c r="AR14" s="96"/>
      <c r="AS14" s="96"/>
      <c r="AT14" s="96"/>
      <c r="AU14" s="96"/>
      <c r="AV14" s="96"/>
      <c r="AW14" s="96"/>
      <c r="AX14" s="96"/>
      <c r="AY14" s="96"/>
      <c r="AZ14" s="96"/>
      <c r="BA14" s="96"/>
      <c r="BB14" s="96"/>
      <c r="BC14" s="96"/>
    </row>
    <row r="15" spans="1:55" x14ac:dyDescent="0.25">
      <c r="A15" s="191">
        <v>42216</v>
      </c>
      <c r="B15" s="190" t="s">
        <v>393</v>
      </c>
      <c r="C15" s="241" t="s">
        <v>394</v>
      </c>
      <c r="D15" s="242"/>
      <c r="E15" s="189" t="s">
        <v>395</v>
      </c>
      <c r="F15" s="189"/>
      <c r="G15" s="189"/>
      <c r="J15" s="96"/>
      <c r="K15" s="96"/>
      <c r="L15" s="96"/>
      <c r="M15" s="96"/>
      <c r="N15" s="96"/>
      <c r="O15" s="96"/>
      <c r="P15" s="96"/>
      <c r="Q15" s="96"/>
      <c r="R15" s="96"/>
      <c r="S15" s="96"/>
      <c r="T15" s="96"/>
      <c r="U15" s="96"/>
      <c r="V15" s="96"/>
      <c r="W15" s="96"/>
      <c r="X15" s="96"/>
      <c r="Y15" s="96"/>
      <c r="Z15" s="96"/>
      <c r="AA15" s="96"/>
      <c r="AB15" s="96"/>
      <c r="AC15" s="96"/>
      <c r="AD15" s="96"/>
      <c r="AE15" s="96"/>
      <c r="AF15" s="96"/>
      <c r="AG15" s="96"/>
      <c r="AH15" s="96"/>
      <c r="AI15" s="96"/>
      <c r="AJ15" s="96"/>
      <c r="AK15" s="96"/>
      <c r="AL15" s="96"/>
      <c r="AM15" s="96"/>
      <c r="AN15" s="96"/>
      <c r="AO15" s="96"/>
      <c r="AP15" s="96"/>
      <c r="AQ15" s="96"/>
      <c r="AR15" s="96"/>
      <c r="AS15" s="96"/>
      <c r="AT15" s="96"/>
      <c r="AU15" s="96"/>
      <c r="AV15" s="96"/>
      <c r="AW15" s="96"/>
      <c r="AX15" s="96"/>
      <c r="AY15" s="96"/>
      <c r="AZ15" s="96"/>
      <c r="BA15" s="96"/>
      <c r="BB15" s="96"/>
      <c r="BC15" s="96"/>
    </row>
    <row r="16" spans="1:55" ht="51" customHeight="1" x14ac:dyDescent="0.25">
      <c r="A16" s="188">
        <v>42249</v>
      </c>
      <c r="B16" s="118" t="s">
        <v>754</v>
      </c>
      <c r="C16" s="234" t="s">
        <v>753</v>
      </c>
      <c r="D16" s="235"/>
      <c r="E16" s="119" t="s">
        <v>752</v>
      </c>
      <c r="F16" s="119" t="s">
        <v>751</v>
      </c>
      <c r="G16" s="119"/>
      <c r="J16" s="96"/>
      <c r="K16" s="96"/>
      <c r="L16" s="96"/>
      <c r="M16" s="96"/>
      <c r="N16" s="96"/>
      <c r="O16" s="96"/>
      <c r="P16" s="96"/>
      <c r="Q16" s="96"/>
      <c r="R16" s="96"/>
      <c r="S16" s="96"/>
      <c r="T16" s="96"/>
      <c r="U16" s="96"/>
      <c r="V16" s="96"/>
      <c r="W16" s="96"/>
      <c r="X16" s="96"/>
      <c r="Y16" s="96"/>
      <c r="Z16" s="96"/>
      <c r="AA16" s="96"/>
      <c r="AB16" s="96"/>
      <c r="AC16" s="96"/>
      <c r="AD16" s="96"/>
      <c r="AE16" s="96"/>
      <c r="AF16" s="96"/>
      <c r="AG16" s="96"/>
      <c r="AH16" s="96"/>
      <c r="AI16" s="96"/>
      <c r="AJ16" s="96"/>
      <c r="AK16" s="96"/>
      <c r="AL16" s="96"/>
      <c r="AM16" s="96"/>
      <c r="AN16" s="96"/>
      <c r="AO16" s="96"/>
      <c r="AP16" s="96"/>
      <c r="AQ16" s="96"/>
      <c r="AR16" s="96"/>
      <c r="AS16" s="96"/>
      <c r="AT16" s="96"/>
      <c r="AU16" s="96"/>
      <c r="AV16" s="96"/>
      <c r="AW16" s="96"/>
      <c r="AX16" s="96"/>
      <c r="AY16" s="96"/>
      <c r="AZ16" s="96"/>
      <c r="BA16" s="96"/>
      <c r="BB16" s="96"/>
      <c r="BC16" s="96"/>
    </row>
    <row r="17" spans="1:7" x14ac:dyDescent="0.25">
      <c r="A17" s="187">
        <v>42278</v>
      </c>
      <c r="B17" s="186">
        <v>4.5</v>
      </c>
      <c r="C17" s="229" t="s">
        <v>750</v>
      </c>
      <c r="D17" s="230"/>
      <c r="E17" s="132" t="s">
        <v>749</v>
      </c>
      <c r="F17" s="231" t="s">
        <v>748</v>
      </c>
      <c r="G17" s="145"/>
    </row>
    <row r="18" spans="1:7" x14ac:dyDescent="0.25">
      <c r="A18" s="184">
        <v>42360</v>
      </c>
      <c r="B18" s="183">
        <v>4.7</v>
      </c>
      <c r="C18" s="229" t="s">
        <v>747</v>
      </c>
      <c r="D18" s="230"/>
      <c r="E18" s="20" t="s">
        <v>746</v>
      </c>
      <c r="F18" s="232"/>
      <c r="G18" s="46"/>
    </row>
    <row r="19" spans="1:7" x14ac:dyDescent="0.25">
      <c r="A19" s="184">
        <v>42379</v>
      </c>
      <c r="B19" s="183">
        <v>4.8</v>
      </c>
      <c r="C19" s="229" t="s">
        <v>745</v>
      </c>
      <c r="D19" s="230"/>
      <c r="E19" s="20" t="s">
        <v>744</v>
      </c>
      <c r="F19" s="232"/>
      <c r="G19" s="46"/>
    </row>
    <row r="20" spans="1:7" x14ac:dyDescent="0.25">
      <c r="A20" s="184">
        <v>42401</v>
      </c>
      <c r="B20" s="183">
        <v>4.9000000000000004</v>
      </c>
      <c r="C20" s="229" t="s">
        <v>742</v>
      </c>
      <c r="D20" s="230"/>
      <c r="E20" s="20" t="s">
        <v>743</v>
      </c>
      <c r="F20" s="232"/>
      <c r="G20" s="46"/>
    </row>
    <row r="21" spans="1:7" x14ac:dyDescent="0.25">
      <c r="A21" s="182">
        <v>42412</v>
      </c>
      <c r="B21" s="181">
        <v>4.9000000000000004</v>
      </c>
      <c r="C21" s="229" t="s">
        <v>742</v>
      </c>
      <c r="D21" s="230"/>
      <c r="E21" s="185" t="s">
        <v>740</v>
      </c>
      <c r="F21" s="232"/>
      <c r="G21" s="20"/>
    </row>
    <row r="22" spans="1:7" x14ac:dyDescent="0.25">
      <c r="A22" s="184">
        <v>42425</v>
      </c>
      <c r="B22" s="183">
        <v>5</v>
      </c>
      <c r="C22" s="229" t="s">
        <v>741</v>
      </c>
      <c r="D22" s="230"/>
      <c r="E22" s="20" t="s">
        <v>740</v>
      </c>
      <c r="F22" s="233"/>
      <c r="G22" s="46"/>
    </row>
    <row r="23" spans="1:7" x14ac:dyDescent="0.25">
      <c r="A23" s="182"/>
      <c r="B23" s="181"/>
      <c r="C23" s="180"/>
      <c r="D23" s="180"/>
      <c r="E23" s="179"/>
      <c r="F23" s="178"/>
      <c r="G23" s="112"/>
    </row>
    <row r="24" spans="1:7" x14ac:dyDescent="0.25">
      <c r="A24" s="177" t="s">
        <v>739</v>
      </c>
      <c r="B24" s="177"/>
      <c r="C24" s="177"/>
      <c r="D24" s="177"/>
      <c r="E24" s="177"/>
      <c r="F24" s="177"/>
    </row>
    <row r="25" spans="1:7" x14ac:dyDescent="0.25">
      <c r="A25" s="176"/>
      <c r="B25" s="176"/>
      <c r="C25" s="176"/>
      <c r="D25" s="176"/>
      <c r="E25" s="176"/>
      <c r="F25" s="176"/>
    </row>
    <row r="26" spans="1:7" x14ac:dyDescent="0.25">
      <c r="A26" s="175" t="s">
        <v>396</v>
      </c>
      <c r="B26" s="175" t="s">
        <v>397</v>
      </c>
      <c r="C26" s="175" t="s">
        <v>378</v>
      </c>
      <c r="D26" s="175" t="s">
        <v>398</v>
      </c>
      <c r="E26" s="175" t="s">
        <v>399</v>
      </c>
      <c r="F26" s="174" t="s">
        <v>2</v>
      </c>
    </row>
    <row r="27" spans="1:7" x14ac:dyDescent="0.25">
      <c r="A27" s="173">
        <v>42800</v>
      </c>
      <c r="B27" s="173">
        <v>42800</v>
      </c>
      <c r="C27" s="158" t="s">
        <v>1313</v>
      </c>
      <c r="D27" s="172" t="s">
        <v>1308</v>
      </c>
      <c r="E27" s="67" t="s">
        <v>3</v>
      </c>
      <c r="F27" s="171"/>
      <c r="G27" s="112"/>
    </row>
    <row r="28" spans="1:7" x14ac:dyDescent="0.25">
      <c r="A28" s="20"/>
      <c r="B28" s="20"/>
      <c r="C28" s="20"/>
      <c r="D28" s="20"/>
      <c r="E28" s="20"/>
      <c r="F28" s="20"/>
    </row>
  </sheetData>
  <mergeCells count="17">
    <mergeCell ref="C16:D16"/>
    <mergeCell ref="A1:I1"/>
    <mergeCell ref="B4:C4"/>
    <mergeCell ref="B5:C5"/>
    <mergeCell ref="A3:C3"/>
    <mergeCell ref="C15:D15"/>
    <mergeCell ref="B7:C7"/>
    <mergeCell ref="B8:C8"/>
    <mergeCell ref="B9:C9"/>
    <mergeCell ref="C14:D14"/>
    <mergeCell ref="C22:D22"/>
    <mergeCell ref="F17:F22"/>
    <mergeCell ref="C21:D21"/>
    <mergeCell ref="C20:D20"/>
    <mergeCell ref="C18:D18"/>
    <mergeCell ref="C19:D19"/>
    <mergeCell ref="C17:D17"/>
  </mergeCells>
  <conditionalFormatting sqref="E27">
    <cfRule type="cellIs" dxfId="298" priority="104" operator="equal">
      <formula>"Not Tested"</formula>
    </cfRule>
    <cfRule type="cellIs" dxfId="297" priority="105" operator="equal">
      <formula>"Pending"</formula>
    </cfRule>
    <cfRule type="cellIs" dxfId="296" priority="106" operator="equal">
      <formula>"Ongoing"</formula>
    </cfRule>
    <cfRule type="cellIs" dxfId="295" priority="107" operator="equal">
      <formula>"Blocked"</formula>
    </cfRule>
    <cfRule type="cellIs" dxfId="294" priority="108" operator="equal">
      <formula>"Fail"</formula>
    </cfRule>
    <cfRule type="cellIs" dxfId="293" priority="109" operator="equal">
      <formula>"Partially Fail"</formula>
    </cfRule>
    <cfRule type="cellIs" dxfId="292" priority="110" operator="equal">
      <formula>"Pass"</formula>
    </cfRule>
  </conditionalFormatting>
  <conditionalFormatting sqref="E27">
    <cfRule type="cellIs" dxfId="291" priority="97" operator="equal">
      <formula>"Not Tested"</formula>
    </cfRule>
    <cfRule type="cellIs" dxfId="290" priority="98" operator="equal">
      <formula>"Pending"</formula>
    </cfRule>
    <cfRule type="cellIs" dxfId="289" priority="99" operator="equal">
      <formula>"Ongoing"</formula>
    </cfRule>
    <cfRule type="cellIs" dxfId="288" priority="100" operator="equal">
      <formula>"Blocked"</formula>
    </cfRule>
    <cfRule type="cellIs" dxfId="287" priority="101" operator="equal">
      <formula>"Fail"</formula>
    </cfRule>
    <cfRule type="cellIs" dxfId="286" priority="102" operator="equal">
      <formula>"Partially Pass"</formula>
    </cfRule>
    <cfRule type="cellIs" dxfId="285" priority="103" operator="equal">
      <formula>"Pass"</formula>
    </cfRule>
  </conditionalFormatting>
  <conditionalFormatting sqref="E27">
    <cfRule type="cellIs" dxfId="284" priority="90" operator="equal">
      <formula>"Not Tested"</formula>
    </cfRule>
    <cfRule type="cellIs" dxfId="283" priority="91" operator="equal">
      <formula>"Pending"</formula>
    </cfRule>
    <cfRule type="cellIs" dxfId="282" priority="92" operator="equal">
      <formula>"Ongoing"</formula>
    </cfRule>
    <cfRule type="cellIs" dxfId="281" priority="93" operator="equal">
      <formula>"Blocked"</formula>
    </cfRule>
    <cfRule type="cellIs" dxfId="280" priority="94" operator="equal">
      <formula>"Fail"</formula>
    </cfRule>
    <cfRule type="cellIs" dxfId="279" priority="95" operator="equal">
      <formula>"Partially Fail"</formula>
    </cfRule>
    <cfRule type="cellIs" dxfId="278" priority="96" operator="equal">
      <formula>"Pass"</formula>
    </cfRule>
  </conditionalFormatting>
  <conditionalFormatting sqref="E27">
    <cfRule type="cellIs" dxfId="277" priority="83" operator="equal">
      <formula>"Not Tested"</formula>
    </cfRule>
    <cfRule type="cellIs" dxfId="276" priority="84" operator="equal">
      <formula>"Pending"</formula>
    </cfRule>
    <cfRule type="cellIs" dxfId="275" priority="85" operator="equal">
      <formula>"Ongoing"</formula>
    </cfRule>
    <cfRule type="cellIs" dxfId="274" priority="86" operator="equal">
      <formula>"Blocked"</formula>
    </cfRule>
    <cfRule type="cellIs" dxfId="273" priority="87" operator="equal">
      <formula>"Fail"</formula>
    </cfRule>
    <cfRule type="cellIs" dxfId="272" priority="88" operator="equal">
      <formula>"Partially Pass"</formula>
    </cfRule>
    <cfRule type="cellIs" dxfId="271" priority="89" operator="equal">
      <formula>"Pass"</formula>
    </cfRule>
  </conditionalFormatting>
  <conditionalFormatting sqref="E27">
    <cfRule type="cellIs" dxfId="270" priority="75" operator="equal">
      <formula>"Not Tested"</formula>
    </cfRule>
    <cfRule type="cellIs" dxfId="269" priority="76" operator="equal">
      <formula>"Not Tested"</formula>
    </cfRule>
    <cfRule type="cellIs" dxfId="268" priority="77" operator="equal">
      <formula>"Pending"</formula>
    </cfRule>
    <cfRule type="cellIs" dxfId="267" priority="78" operator="equal">
      <formula>"Ongoing"</formula>
    </cfRule>
    <cfRule type="cellIs" dxfId="266" priority="79" operator="equal">
      <formula>"Blocked"</formula>
    </cfRule>
    <cfRule type="cellIs" dxfId="265" priority="80" operator="equal">
      <formula>"Fail"</formula>
    </cfRule>
    <cfRule type="cellIs" dxfId="264" priority="81" operator="equal">
      <formula>"Partially Fail"</formula>
    </cfRule>
    <cfRule type="cellIs" dxfId="263" priority="82" operator="equal">
      <formula>"Pass"</formula>
    </cfRule>
  </conditionalFormatting>
  <conditionalFormatting sqref="E27">
    <cfRule type="cellIs" dxfId="262" priority="69" operator="equal">
      <formula>"Pending"</formula>
    </cfRule>
    <cfRule type="cellIs" dxfId="261" priority="70" operator="equal">
      <formula>"Ongoing"</formula>
    </cfRule>
    <cfRule type="cellIs" dxfId="260" priority="71" operator="equal">
      <formula>"Blocked"</formula>
    </cfRule>
    <cfRule type="cellIs" dxfId="259" priority="72" operator="equal">
      <formula>"Fail"</formula>
    </cfRule>
    <cfRule type="cellIs" dxfId="258" priority="73" operator="equal">
      <formula>"Partially Pass"</formula>
    </cfRule>
    <cfRule type="cellIs" dxfId="257" priority="74" operator="equal">
      <formula>"Pass"</formula>
    </cfRule>
  </conditionalFormatting>
  <conditionalFormatting sqref="E27">
    <cfRule type="cellIs" dxfId="256" priority="60" stopIfTrue="1" operator="equal">
      <formula>"Pending"</formula>
    </cfRule>
    <cfRule type="cellIs" dxfId="255" priority="61" stopIfTrue="1" operator="equal">
      <formula>"Ongoing"</formula>
    </cfRule>
    <cfRule type="cellIs" dxfId="254" priority="62" operator="equal">
      <formula>"Not Tested"</formula>
    </cfRule>
    <cfRule type="cellIs" dxfId="253" priority="63" operator="equal">
      <formula>"Pending"</formula>
    </cfRule>
    <cfRule type="cellIs" dxfId="252" priority="64" operator="equal">
      <formula>"Ongoing"</formula>
    </cfRule>
    <cfRule type="cellIs" dxfId="251" priority="65" operator="equal">
      <formula>"Blocked"</formula>
    </cfRule>
    <cfRule type="cellIs" dxfId="250" priority="66" operator="equal">
      <formula>"Fail"</formula>
    </cfRule>
    <cfRule type="cellIs" dxfId="249" priority="67" operator="equal">
      <formula>"Partially Fail"</formula>
    </cfRule>
    <cfRule type="cellIs" dxfId="248" priority="68" operator="equal">
      <formula>"Pass"</formula>
    </cfRule>
  </conditionalFormatting>
  <conditionalFormatting sqref="E27">
    <cfRule type="cellIs" dxfId="247" priority="56" stopIfTrue="1" operator="equal">
      <formula>"Blocked"</formula>
    </cfRule>
    <cfRule type="cellIs" dxfId="246" priority="57" stopIfTrue="1" operator="equal">
      <formula>"Fail"</formula>
    </cfRule>
    <cfRule type="cellIs" dxfId="245" priority="58" stopIfTrue="1" operator="equal">
      <formula>"Partially Pass"</formula>
    </cfRule>
    <cfRule type="cellIs" dxfId="244" priority="59" stopIfTrue="1" operator="equal">
      <formula>"Pass"</formula>
    </cfRule>
  </conditionalFormatting>
  <conditionalFormatting sqref="E27">
    <cfRule type="cellIs" dxfId="243" priority="49" operator="equal">
      <formula>"Not Tested"</formula>
    </cfRule>
    <cfRule type="cellIs" dxfId="242" priority="50" operator="equal">
      <formula>"Pending"</formula>
    </cfRule>
    <cfRule type="cellIs" dxfId="241" priority="51" operator="equal">
      <formula>"Ongoing"</formula>
    </cfRule>
    <cfRule type="cellIs" dxfId="240" priority="52" operator="equal">
      <formula>"Blocked"</formula>
    </cfRule>
    <cfRule type="cellIs" dxfId="239" priority="53" operator="equal">
      <formula>"Fail"</formula>
    </cfRule>
    <cfRule type="cellIs" dxfId="238" priority="54" operator="equal">
      <formula>"Partially Fail"</formula>
    </cfRule>
    <cfRule type="cellIs" dxfId="237" priority="55" operator="equal">
      <formula>"Pass"</formula>
    </cfRule>
  </conditionalFormatting>
  <conditionalFormatting sqref="E27">
    <cfRule type="cellIs" dxfId="236" priority="42" operator="equal">
      <formula>"Not Tested"</formula>
    </cfRule>
    <cfRule type="cellIs" dxfId="235" priority="43" operator="equal">
      <formula>"Pending"</formula>
    </cfRule>
    <cfRule type="cellIs" dxfId="234" priority="44" operator="equal">
      <formula>"Ongoing"</formula>
    </cfRule>
    <cfRule type="cellIs" dxfId="233" priority="45" operator="equal">
      <formula>"Blocked"</formula>
    </cfRule>
    <cfRule type="cellIs" dxfId="232" priority="46" operator="equal">
      <formula>"Fail"</formula>
    </cfRule>
    <cfRule type="cellIs" dxfId="231" priority="47" operator="equal">
      <formula>"Partially Pass"</formula>
    </cfRule>
    <cfRule type="cellIs" dxfId="230" priority="48" operator="equal">
      <formula>"Pass"</formula>
    </cfRule>
  </conditionalFormatting>
  <conditionalFormatting sqref="E27">
    <cfRule type="cellIs" dxfId="229" priority="35" operator="equal">
      <formula>"Not Tested"</formula>
    </cfRule>
    <cfRule type="cellIs" dxfId="228" priority="36" operator="equal">
      <formula>"Pending"</formula>
    </cfRule>
    <cfRule type="cellIs" dxfId="227" priority="37" operator="equal">
      <formula>"Ongoing"</formula>
    </cfRule>
    <cfRule type="cellIs" dxfId="226" priority="38" operator="equal">
      <formula>"Blocked"</formula>
    </cfRule>
    <cfRule type="cellIs" dxfId="225" priority="39" operator="equal">
      <formula>"Fail"</formula>
    </cfRule>
    <cfRule type="cellIs" dxfId="224" priority="40" operator="equal">
      <formula>"Partially Fail"</formula>
    </cfRule>
    <cfRule type="cellIs" dxfId="223" priority="41" operator="equal">
      <formula>"Pass"</formula>
    </cfRule>
  </conditionalFormatting>
  <conditionalFormatting sqref="E27">
    <cfRule type="cellIs" dxfId="222" priority="28" operator="equal">
      <formula>"Not Tested"</formula>
    </cfRule>
    <cfRule type="cellIs" dxfId="221" priority="29" operator="equal">
      <formula>"Pending"</formula>
    </cfRule>
    <cfRule type="cellIs" dxfId="220" priority="30" operator="equal">
      <formula>"Ongoing"</formula>
    </cfRule>
    <cfRule type="cellIs" dxfId="219" priority="31" operator="equal">
      <formula>"Blocked"</formula>
    </cfRule>
    <cfRule type="cellIs" dxfId="218" priority="32" operator="equal">
      <formula>"Fail"</formula>
    </cfRule>
    <cfRule type="cellIs" dxfId="217" priority="33" operator="equal">
      <formula>"Partially Pass"</formula>
    </cfRule>
    <cfRule type="cellIs" dxfId="216" priority="34" operator="equal">
      <formula>"Pass"</formula>
    </cfRule>
  </conditionalFormatting>
  <conditionalFormatting sqref="E27">
    <cfRule type="cellIs" dxfId="215" priority="20" operator="equal">
      <formula>"Not Tested"</formula>
    </cfRule>
    <cfRule type="cellIs" dxfId="214" priority="21" operator="equal">
      <formula>"Not Tested"</formula>
    </cfRule>
    <cfRule type="cellIs" dxfId="213" priority="22" operator="equal">
      <formula>"Pending"</formula>
    </cfRule>
    <cfRule type="cellIs" dxfId="212" priority="23" operator="equal">
      <formula>"Ongoing"</formula>
    </cfRule>
    <cfRule type="cellIs" dxfId="211" priority="24" operator="equal">
      <formula>"Blocked"</formula>
    </cfRule>
    <cfRule type="cellIs" dxfId="210" priority="25" operator="equal">
      <formula>"Fail"</formula>
    </cfRule>
    <cfRule type="cellIs" dxfId="209" priority="26" operator="equal">
      <formula>"Partially Fail"</formula>
    </cfRule>
    <cfRule type="cellIs" dxfId="208" priority="27" operator="equal">
      <formula>"Pass"</formula>
    </cfRule>
  </conditionalFormatting>
  <conditionalFormatting sqref="E27">
    <cfRule type="cellIs" dxfId="207" priority="14" operator="equal">
      <formula>"Pending"</formula>
    </cfRule>
    <cfRule type="cellIs" dxfId="206" priority="15" operator="equal">
      <formula>"Ongoing"</formula>
    </cfRule>
    <cfRule type="cellIs" dxfId="205" priority="16" operator="equal">
      <formula>"Blocked"</formula>
    </cfRule>
    <cfRule type="cellIs" dxfId="204" priority="17" operator="equal">
      <formula>"Fail"</formula>
    </cfRule>
    <cfRule type="cellIs" dxfId="203" priority="18" operator="equal">
      <formula>"Partially Pass"</formula>
    </cfRule>
    <cfRule type="cellIs" dxfId="202" priority="19" operator="equal">
      <formula>"Pass"</formula>
    </cfRule>
  </conditionalFormatting>
  <conditionalFormatting sqref="E27">
    <cfRule type="cellIs" dxfId="201" priority="5" stopIfTrue="1" operator="equal">
      <formula>"Pending"</formula>
    </cfRule>
    <cfRule type="cellIs" dxfId="200" priority="6" stopIfTrue="1" operator="equal">
      <formula>"Ongoing"</formula>
    </cfRule>
    <cfRule type="cellIs" dxfId="199" priority="7" operator="equal">
      <formula>"Not Tested"</formula>
    </cfRule>
    <cfRule type="cellIs" dxfId="198" priority="8" operator="equal">
      <formula>"Pending"</formula>
    </cfRule>
    <cfRule type="cellIs" dxfId="197" priority="9" operator="equal">
      <formula>"Ongoing"</formula>
    </cfRule>
    <cfRule type="cellIs" dxfId="196" priority="10" operator="equal">
      <formula>"Blocked"</formula>
    </cfRule>
    <cfRule type="cellIs" dxfId="195" priority="11" operator="equal">
      <formula>"Fail"</formula>
    </cfRule>
    <cfRule type="cellIs" dxfId="194" priority="12" operator="equal">
      <formula>"Partially Fail"</formula>
    </cfRule>
    <cfRule type="cellIs" dxfId="193" priority="13" operator="equal">
      <formula>"Pass"</formula>
    </cfRule>
  </conditionalFormatting>
  <conditionalFormatting sqref="E27">
    <cfRule type="cellIs" dxfId="192" priority="1" stopIfTrue="1" operator="equal">
      <formula>"Blocked"</formula>
    </cfRule>
    <cfRule type="cellIs" dxfId="191" priority="2" stopIfTrue="1" operator="equal">
      <formula>"Fail"</formula>
    </cfRule>
    <cfRule type="cellIs" dxfId="190" priority="3" stopIfTrue="1" operator="equal">
      <formula>"Partially Pass"</formula>
    </cfRule>
    <cfRule type="cellIs" dxfId="189" priority="4" stopIfTrue="1" operator="equal">
      <formula>"Pass"</formula>
    </cfRule>
  </conditionalFormatting>
  <dataValidations count="1">
    <dataValidation type="list" allowBlank="1" showInputMessage="1" showErrorMessage="1" sqref="E27">
      <formula1>testresult</formula1>
    </dataValidation>
  </dataValidations>
  <hyperlinks>
    <hyperlink ref="C27" r:id="rId1"/>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1"/>
  <sheetViews>
    <sheetView showGridLines="0" zoomScale="85" zoomScaleNormal="85" workbookViewId="0"/>
  </sheetViews>
  <sheetFormatPr defaultRowHeight="12.75" x14ac:dyDescent="0.2"/>
  <cols>
    <col min="1" max="1" width="15.5703125" style="117" bestFit="1" customWidth="1"/>
    <col min="2" max="2" width="15.28515625" style="117" bestFit="1" customWidth="1"/>
    <col min="3" max="3" width="20.28515625" style="117" customWidth="1"/>
    <col min="4" max="4" width="45.85546875" style="117" customWidth="1"/>
    <col min="5" max="5" width="42.85546875" style="117" bestFit="1" customWidth="1"/>
    <col min="6" max="6" width="13" style="117" bestFit="1" customWidth="1"/>
    <col min="7" max="7" width="17.42578125" style="117" bestFit="1" customWidth="1"/>
    <col min="8" max="8" width="17.140625" style="117" customWidth="1"/>
    <col min="9" max="9" width="19" style="117" customWidth="1"/>
    <col min="10" max="10" width="16.28515625" style="117" customWidth="1"/>
    <col min="11" max="11" width="9.140625" style="117"/>
    <col min="12" max="12" width="62.140625" style="117" bestFit="1" customWidth="1"/>
    <col min="13" max="16384" width="9.140625" style="117"/>
  </cols>
  <sheetData>
    <row r="1" spans="1:10" ht="25.5" x14ac:dyDescent="0.2">
      <c r="A1" s="220"/>
      <c r="B1" s="221" t="s">
        <v>401</v>
      </c>
      <c r="C1" s="221" t="s">
        <v>402</v>
      </c>
      <c r="D1" s="222" t="s">
        <v>403</v>
      </c>
      <c r="F1" s="247" t="s">
        <v>400</v>
      </c>
      <c r="G1" s="247"/>
      <c r="H1" s="247"/>
      <c r="I1" s="247"/>
      <c r="J1" s="247"/>
    </row>
    <row r="2" spans="1:10" x14ac:dyDescent="0.2">
      <c r="A2" s="154" t="s">
        <v>408</v>
      </c>
      <c r="B2" s="223">
        <v>367051</v>
      </c>
      <c r="C2" s="223">
        <v>367051</v>
      </c>
      <c r="D2" s="159" t="str">
        <f>IF(EXACT(B2,C2),"PASS","FAIL")</f>
        <v>PASS</v>
      </c>
      <c r="F2" s="222" t="s">
        <v>404</v>
      </c>
      <c r="G2" s="222" t="s">
        <v>405</v>
      </c>
      <c r="H2" s="222" t="s">
        <v>406</v>
      </c>
      <c r="I2" s="222" t="s">
        <v>407</v>
      </c>
      <c r="J2" s="222" t="s">
        <v>403</v>
      </c>
    </row>
    <row r="3" spans="1:10" x14ac:dyDescent="0.2">
      <c r="A3" s="154" t="s">
        <v>409</v>
      </c>
      <c r="B3" s="223">
        <v>107949</v>
      </c>
      <c r="C3" s="223">
        <v>107949</v>
      </c>
      <c r="D3" s="159" t="str">
        <f t="shared" ref="D3:D6" si="0">IF(EXACT(B3,C3),"PASS","FAIL")</f>
        <v>PASS</v>
      </c>
      <c r="F3" s="154" t="s">
        <v>347</v>
      </c>
      <c r="G3" s="154" t="s">
        <v>1296</v>
      </c>
      <c r="H3" s="155">
        <v>6</v>
      </c>
      <c r="I3" s="155">
        <v>6</v>
      </c>
      <c r="J3" s="159" t="str">
        <f t="shared" ref="J3:J9" si="1">IF(EXACT(H3,I3),"PASS","FAIL")</f>
        <v>PASS</v>
      </c>
    </row>
    <row r="4" spans="1:10" x14ac:dyDescent="0.2">
      <c r="A4" s="224" t="s">
        <v>322</v>
      </c>
      <c r="B4" s="223">
        <v>180988</v>
      </c>
      <c r="C4" s="223">
        <v>180988</v>
      </c>
      <c r="D4" s="159" t="str">
        <f t="shared" si="0"/>
        <v>PASS</v>
      </c>
      <c r="F4" s="154" t="s">
        <v>349</v>
      </c>
      <c r="G4" s="154" t="s">
        <v>1297</v>
      </c>
      <c r="H4" s="155">
        <v>6</v>
      </c>
      <c r="I4" s="155">
        <v>6</v>
      </c>
      <c r="J4" s="159" t="str">
        <f t="shared" si="1"/>
        <v>PASS</v>
      </c>
    </row>
    <row r="5" spans="1:10" x14ac:dyDescent="0.2">
      <c r="A5" s="224" t="s">
        <v>731</v>
      </c>
      <c r="B5" s="223">
        <v>34829</v>
      </c>
      <c r="C5" s="223">
        <v>34829</v>
      </c>
      <c r="D5" s="159" t="str">
        <f t="shared" si="0"/>
        <v>PASS</v>
      </c>
      <c r="F5" s="154" t="s">
        <v>350</v>
      </c>
      <c r="G5" s="154" t="s">
        <v>1289</v>
      </c>
      <c r="H5" s="155">
        <v>63</v>
      </c>
      <c r="I5" s="155">
        <v>63</v>
      </c>
      <c r="J5" s="159" t="str">
        <f t="shared" si="1"/>
        <v>PASS</v>
      </c>
    </row>
    <row r="6" spans="1:10" x14ac:dyDescent="0.2">
      <c r="A6" s="224" t="s">
        <v>1288</v>
      </c>
      <c r="B6" s="225">
        <v>3531</v>
      </c>
      <c r="C6" s="225">
        <v>3531</v>
      </c>
      <c r="D6" s="159" t="str">
        <f t="shared" si="0"/>
        <v>PASS</v>
      </c>
      <c r="F6" s="154" t="s">
        <v>1298</v>
      </c>
      <c r="G6" s="154" t="s">
        <v>37</v>
      </c>
      <c r="H6" s="155">
        <v>14</v>
      </c>
      <c r="I6" s="155">
        <v>14</v>
      </c>
      <c r="J6" s="159" t="str">
        <f t="shared" si="1"/>
        <v>PASS</v>
      </c>
    </row>
    <row r="7" spans="1:10" x14ac:dyDescent="0.2">
      <c r="F7" s="154" t="s">
        <v>1299</v>
      </c>
      <c r="G7" s="154" t="s">
        <v>1300</v>
      </c>
      <c r="H7" s="155">
        <v>55</v>
      </c>
      <c r="I7" s="155">
        <v>55</v>
      </c>
      <c r="J7" s="159" t="str">
        <f t="shared" si="1"/>
        <v>PASS</v>
      </c>
    </row>
    <row r="8" spans="1:10" x14ac:dyDescent="0.2">
      <c r="F8" s="154" t="s">
        <v>1301</v>
      </c>
      <c r="G8" s="154" t="s">
        <v>1302</v>
      </c>
      <c r="H8" s="155">
        <v>65</v>
      </c>
      <c r="I8" s="155">
        <v>65</v>
      </c>
      <c r="J8" s="159" t="str">
        <f t="shared" si="1"/>
        <v>PASS</v>
      </c>
    </row>
    <row r="9" spans="1:10" x14ac:dyDescent="0.2">
      <c r="F9" s="154" t="s">
        <v>1303</v>
      </c>
      <c r="G9" s="154" t="s">
        <v>1304</v>
      </c>
      <c r="H9" s="155">
        <v>3</v>
      </c>
      <c r="I9" s="155">
        <v>3</v>
      </c>
      <c r="J9" s="159" t="str">
        <f t="shared" si="1"/>
        <v>PASS</v>
      </c>
    </row>
    <row r="14" spans="1:10" ht="25.5" customHeight="1" x14ac:dyDescent="0.2">
      <c r="A14" s="252" t="s">
        <v>339</v>
      </c>
      <c r="B14" s="253"/>
      <c r="C14" s="253"/>
      <c r="D14" s="253"/>
      <c r="E14" s="253"/>
      <c r="F14" s="253"/>
      <c r="G14" s="253"/>
      <c r="H14" s="254"/>
    </row>
    <row r="15" spans="1:10" x14ac:dyDescent="0.2">
      <c r="A15" s="248" t="s">
        <v>340</v>
      </c>
      <c r="B15" s="249"/>
      <c r="C15" s="104" t="s">
        <v>36</v>
      </c>
      <c r="D15" s="105" t="s">
        <v>410</v>
      </c>
      <c r="E15" s="104" t="s">
        <v>341</v>
      </c>
      <c r="F15" s="104" t="s">
        <v>342</v>
      </c>
      <c r="G15" s="63" t="s">
        <v>343</v>
      </c>
      <c r="H15" s="63" t="s">
        <v>2</v>
      </c>
    </row>
    <row r="16" spans="1:10" ht="15" x14ac:dyDescent="0.25">
      <c r="A16" s="250" t="s">
        <v>344</v>
      </c>
      <c r="B16" s="251"/>
      <c r="C16" s="120" t="s">
        <v>345</v>
      </c>
      <c r="D16" s="217" t="s">
        <v>1310</v>
      </c>
      <c r="E16" s="121" t="s">
        <v>411</v>
      </c>
      <c r="F16" s="122" t="s">
        <v>3</v>
      </c>
      <c r="G16" s="66"/>
      <c r="H16" s="66"/>
    </row>
    <row r="17" spans="1:8" ht="38.25" x14ac:dyDescent="0.2">
      <c r="A17" s="250" t="s">
        <v>346</v>
      </c>
      <c r="B17" s="251"/>
      <c r="C17" s="123" t="s">
        <v>412</v>
      </c>
      <c r="D17" s="157" t="s">
        <v>1309</v>
      </c>
      <c r="E17" s="156"/>
      <c r="F17" s="122" t="s">
        <v>3</v>
      </c>
      <c r="G17" s="66"/>
      <c r="H17" s="66"/>
    </row>
    <row r="18" spans="1:8" x14ac:dyDescent="0.2">
      <c r="A18" s="245" t="s">
        <v>348</v>
      </c>
      <c r="B18" s="246"/>
      <c r="C18" s="124" t="s">
        <v>390</v>
      </c>
      <c r="D18" s="125"/>
      <c r="E18" s="125"/>
      <c r="F18" s="122" t="s">
        <v>3</v>
      </c>
      <c r="G18" s="125"/>
      <c r="H18" s="125"/>
    </row>
    <row r="21" spans="1:8" ht="15" customHeight="1" x14ac:dyDescent="0.2"/>
  </sheetData>
  <mergeCells count="6">
    <mergeCell ref="A18:B18"/>
    <mergeCell ref="F1:J1"/>
    <mergeCell ref="A15:B15"/>
    <mergeCell ref="A16:B16"/>
    <mergeCell ref="A17:B17"/>
    <mergeCell ref="A14:H14"/>
  </mergeCells>
  <conditionalFormatting sqref="F15:F16 F18">
    <cfRule type="cellIs" dxfId="188" priority="330" operator="equal">
      <formula>"Not Tested"</formula>
    </cfRule>
    <cfRule type="cellIs" dxfId="187" priority="331" operator="equal">
      <formula>"Pending"</formula>
    </cfRule>
    <cfRule type="cellIs" dxfId="186" priority="332" operator="equal">
      <formula>"Ongoing"</formula>
    </cfRule>
    <cfRule type="cellIs" dxfId="185" priority="333" operator="equal">
      <formula>"Blocked"</formula>
    </cfRule>
    <cfRule type="cellIs" dxfId="184" priority="334" operator="equal">
      <formula>"Fail"</formula>
    </cfRule>
    <cfRule type="cellIs" dxfId="183" priority="335" operator="equal">
      <formula>"Partially Pass"</formula>
    </cfRule>
    <cfRule type="cellIs" dxfId="182" priority="336" operator="equal">
      <formula>"Pass"</formula>
    </cfRule>
  </conditionalFormatting>
  <conditionalFormatting sqref="F15:F16 F18">
    <cfRule type="cellIs" dxfId="181" priority="323" operator="equal">
      <formula>"Not Tested"</formula>
    </cfRule>
    <cfRule type="cellIs" dxfId="180" priority="324" operator="equal">
      <formula>"Pending"</formula>
    </cfRule>
    <cfRule type="cellIs" dxfId="179" priority="325" operator="equal">
      <formula>"Ongoing"</formula>
    </cfRule>
    <cfRule type="cellIs" dxfId="178" priority="326" operator="equal">
      <formula>"Blocked"</formula>
    </cfRule>
    <cfRule type="cellIs" dxfId="177" priority="327" operator="equal">
      <formula>"Fail"</formula>
    </cfRule>
    <cfRule type="cellIs" dxfId="176" priority="328" operator="equal">
      <formula>"Partially Fail"</formula>
    </cfRule>
    <cfRule type="cellIs" dxfId="175" priority="329" operator="equal">
      <formula>"Pass"</formula>
    </cfRule>
  </conditionalFormatting>
  <conditionalFormatting sqref="F15:F16 F17:G17 F18:H18 A18 C18:D18">
    <cfRule type="cellIs" dxfId="174" priority="316" operator="equal">
      <formula>"Not Tested"</formula>
    </cfRule>
    <cfRule type="cellIs" dxfId="173" priority="317" operator="equal">
      <formula>"Pending"</formula>
    </cfRule>
    <cfRule type="cellIs" dxfId="172" priority="318" operator="equal">
      <formula>"Ongoing"</formula>
    </cfRule>
    <cfRule type="cellIs" dxfId="171" priority="319" operator="equal">
      <formula>"Blocked"</formula>
    </cfRule>
    <cfRule type="cellIs" dxfId="170" priority="320" operator="equal">
      <formula>"Fail"</formula>
    </cfRule>
    <cfRule type="cellIs" dxfId="169" priority="321" operator="equal">
      <formula>"Partially Fail"</formula>
    </cfRule>
    <cfRule type="cellIs" dxfId="168" priority="322" operator="equal">
      <formula>"Pass"</formula>
    </cfRule>
  </conditionalFormatting>
  <conditionalFormatting sqref="F15:F16 F17:G17 F18:H18 A18 C18:D18">
    <cfRule type="cellIs" dxfId="167" priority="309" operator="equal">
      <formula>"Not Tested"</formula>
    </cfRule>
    <cfRule type="cellIs" dxfId="166" priority="310" operator="equal">
      <formula>"Pending"</formula>
    </cfRule>
    <cfRule type="cellIs" dxfId="165" priority="311" operator="equal">
      <formula>"Ongoing"</formula>
    </cfRule>
    <cfRule type="cellIs" dxfId="164" priority="312" operator="equal">
      <formula>"Blocked"</formula>
    </cfRule>
    <cfRule type="cellIs" dxfId="163" priority="313" operator="equal">
      <formula>"Fail"</formula>
    </cfRule>
    <cfRule type="cellIs" dxfId="162" priority="314" operator="equal">
      <formula>"Partially Pass"</formula>
    </cfRule>
    <cfRule type="cellIs" dxfId="161" priority="315" operator="equal">
      <formula>"Pass"</formula>
    </cfRule>
  </conditionalFormatting>
  <conditionalFormatting sqref="F15:F18">
    <cfRule type="cellIs" dxfId="160" priority="301" operator="equal">
      <formula>"Not Tested"</formula>
    </cfRule>
    <cfRule type="cellIs" dxfId="159" priority="302" operator="equal">
      <formula>"Not Tested"</formula>
    </cfRule>
    <cfRule type="cellIs" dxfId="158" priority="303" operator="equal">
      <formula>"Pending"</formula>
    </cfRule>
    <cfRule type="cellIs" dxfId="157" priority="304" operator="equal">
      <formula>"Ongoing"</formula>
    </cfRule>
    <cfRule type="cellIs" dxfId="156" priority="305" operator="equal">
      <formula>"Blocked"</formula>
    </cfRule>
    <cfRule type="cellIs" dxfId="155" priority="306" operator="equal">
      <formula>"Fail"</formula>
    </cfRule>
    <cfRule type="cellIs" dxfId="154" priority="307" operator="equal">
      <formula>"Partially Fail"</formula>
    </cfRule>
    <cfRule type="cellIs" dxfId="153" priority="308" operator="equal">
      <formula>"Pass"</formula>
    </cfRule>
  </conditionalFormatting>
  <conditionalFormatting sqref="F15:F18">
    <cfRule type="cellIs" dxfId="152" priority="295" operator="equal">
      <formula>"Pending"</formula>
    </cfRule>
    <cfRule type="cellIs" dxfId="151" priority="296" operator="equal">
      <formula>"Ongoing"</formula>
    </cfRule>
    <cfRule type="cellIs" dxfId="150" priority="297" operator="equal">
      <formula>"Blocked"</formula>
    </cfRule>
    <cfRule type="cellIs" dxfId="149" priority="298" operator="equal">
      <formula>"Fail"</formula>
    </cfRule>
    <cfRule type="cellIs" dxfId="148" priority="299" operator="equal">
      <formula>"Partially Pass"</formula>
    </cfRule>
    <cfRule type="cellIs" dxfId="147" priority="300" operator="equal">
      <formula>"Pass"</formula>
    </cfRule>
  </conditionalFormatting>
  <conditionalFormatting sqref="J3:J5 D2:D6">
    <cfRule type="containsText" dxfId="146" priority="5" operator="containsText" text="FAIL">
      <formula>NOT(ISERROR(SEARCH("FAIL",D2)))</formula>
    </cfRule>
    <cfRule type="containsText" dxfId="145" priority="6" operator="containsText" text="PASS">
      <formula>NOT(ISERROR(SEARCH("PASS",D2)))</formula>
    </cfRule>
  </conditionalFormatting>
  <conditionalFormatting sqref="J3:J9">
    <cfRule type="containsText" dxfId="144" priority="1" operator="containsText" text="FAIL">
      <formula>NOT(ISERROR(SEARCH("FAIL",J3)))</formula>
    </cfRule>
    <cfRule type="containsText" dxfId="143" priority="2" operator="containsText" text="PASS">
      <formula>NOT(ISERROR(SEARCH("PASS",J3)))</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U457"/>
  <sheetViews>
    <sheetView showGridLines="0" zoomScale="70" zoomScaleNormal="70" workbookViewId="0">
      <pane ySplit="1" topLeftCell="A2" activePane="bottomLeft" state="frozen"/>
      <selection pane="bottomLeft" activeCell="K24" sqref="K24"/>
    </sheetView>
  </sheetViews>
  <sheetFormatPr defaultRowHeight="12.75" x14ac:dyDescent="0.2"/>
  <cols>
    <col min="1" max="1" width="22" style="96" customWidth="1"/>
    <col min="2" max="2" width="18.140625" style="100" bestFit="1" customWidth="1"/>
    <col min="3" max="3" width="18.42578125" style="198" customWidth="1"/>
    <col min="4" max="4" width="26.140625" style="197" customWidth="1"/>
    <col min="5" max="5" width="30.140625" style="101" customWidth="1"/>
    <col min="6" max="6" width="31.28515625" style="96" hidden="1" customWidth="1"/>
    <col min="7" max="7" width="72.140625" style="96" customWidth="1"/>
    <col min="8" max="8" width="24.5703125" style="100" customWidth="1"/>
    <col min="9" max="9" width="28.28515625" style="96" customWidth="1"/>
    <col min="10" max="16384" width="9.140625" style="96"/>
  </cols>
  <sheetData>
    <row r="1" spans="1:151" x14ac:dyDescent="0.25">
      <c r="A1" s="291" t="s">
        <v>1287</v>
      </c>
      <c r="B1" s="292"/>
      <c r="C1" s="292"/>
      <c r="D1" s="292"/>
      <c r="E1" s="292"/>
      <c r="F1" s="292"/>
      <c r="G1" s="292"/>
      <c r="H1" s="292"/>
      <c r="I1" s="292"/>
      <c r="J1" s="292"/>
      <c r="K1" s="292"/>
    </row>
    <row r="2" spans="1:151" x14ac:dyDescent="0.25">
      <c r="A2" s="100"/>
      <c r="C2" s="100"/>
      <c r="D2" s="100"/>
      <c r="E2" s="100"/>
      <c r="F2" s="100"/>
      <c r="G2" s="100"/>
      <c r="I2" s="100"/>
      <c r="J2" s="100"/>
    </row>
    <row r="3" spans="1:151" x14ac:dyDescent="0.25">
      <c r="A3" s="102" t="s">
        <v>56</v>
      </c>
      <c r="B3" s="103"/>
      <c r="C3" s="103"/>
      <c r="D3" s="103"/>
      <c r="E3" s="103"/>
      <c r="F3" s="103"/>
      <c r="G3" s="216"/>
      <c r="H3" s="218"/>
      <c r="I3" s="219"/>
      <c r="J3" s="219"/>
      <c r="K3" s="110"/>
      <c r="L3" s="110"/>
      <c r="M3" s="110"/>
      <c r="N3" s="110"/>
      <c r="O3" s="110"/>
      <c r="P3" s="110"/>
      <c r="Q3" s="110"/>
      <c r="R3" s="110"/>
      <c r="S3" s="110"/>
      <c r="T3" s="110"/>
      <c r="U3" s="110"/>
      <c r="V3" s="110"/>
      <c r="W3" s="110"/>
      <c r="X3" s="110"/>
      <c r="Y3" s="110"/>
      <c r="Z3" s="110"/>
      <c r="AA3" s="110"/>
      <c r="AB3" s="110"/>
      <c r="AC3" s="110"/>
      <c r="AD3" s="110"/>
      <c r="AE3" s="110"/>
      <c r="AF3" s="110"/>
      <c r="AG3" s="110"/>
      <c r="AH3" s="110"/>
      <c r="AI3" s="110"/>
      <c r="AJ3" s="110"/>
      <c r="AK3" s="110"/>
      <c r="AL3" s="110"/>
      <c r="AM3" s="110"/>
      <c r="AN3" s="110"/>
      <c r="AO3" s="110"/>
      <c r="AP3" s="110"/>
      <c r="AQ3" s="110"/>
      <c r="AR3" s="110"/>
      <c r="AS3" s="110"/>
      <c r="AT3" s="110"/>
      <c r="AU3" s="110"/>
      <c r="AV3" s="110"/>
      <c r="AW3" s="110"/>
      <c r="AX3" s="110"/>
      <c r="AY3" s="110"/>
      <c r="AZ3" s="110"/>
      <c r="BA3" s="110"/>
      <c r="BB3" s="110"/>
      <c r="BC3" s="110"/>
      <c r="BD3" s="110"/>
      <c r="BE3" s="110"/>
      <c r="BF3" s="110"/>
      <c r="BG3" s="110"/>
      <c r="BH3" s="110"/>
      <c r="BI3" s="110"/>
      <c r="BJ3" s="110"/>
      <c r="BK3" s="110"/>
      <c r="BL3" s="110"/>
      <c r="BM3" s="110"/>
      <c r="BN3" s="110"/>
      <c r="BO3" s="110"/>
      <c r="BP3" s="110"/>
      <c r="BQ3" s="110"/>
      <c r="BR3" s="110"/>
      <c r="BS3" s="110"/>
      <c r="BT3" s="110"/>
      <c r="BU3" s="110"/>
      <c r="BV3" s="110"/>
      <c r="BW3" s="110"/>
      <c r="BX3" s="110"/>
      <c r="BY3" s="110"/>
      <c r="BZ3" s="110"/>
      <c r="CA3" s="110"/>
      <c r="CB3" s="110"/>
      <c r="CC3" s="110"/>
      <c r="CD3" s="110"/>
      <c r="CE3" s="110"/>
      <c r="CF3" s="110"/>
      <c r="CG3" s="110"/>
      <c r="CH3" s="110"/>
      <c r="CI3" s="110"/>
      <c r="CJ3" s="110"/>
      <c r="CK3" s="110"/>
      <c r="CL3" s="110"/>
      <c r="CM3" s="110"/>
      <c r="CN3" s="110"/>
      <c r="CO3" s="110"/>
      <c r="CP3" s="110"/>
      <c r="CQ3" s="110"/>
      <c r="CR3" s="110"/>
      <c r="CS3" s="110"/>
      <c r="CT3" s="110"/>
      <c r="CU3" s="110"/>
      <c r="CV3" s="110"/>
      <c r="CW3" s="110"/>
      <c r="CX3" s="110"/>
      <c r="CY3" s="110"/>
      <c r="CZ3" s="110"/>
      <c r="DA3" s="110"/>
      <c r="DB3" s="110"/>
      <c r="DC3" s="110"/>
      <c r="DD3" s="110"/>
      <c r="DE3" s="110"/>
      <c r="DF3" s="110"/>
      <c r="DG3" s="110"/>
      <c r="DH3" s="110"/>
      <c r="DI3" s="110"/>
      <c r="DJ3" s="110"/>
      <c r="DK3" s="110"/>
      <c r="DL3" s="110"/>
      <c r="DM3" s="110"/>
      <c r="DN3" s="110"/>
      <c r="DO3" s="110"/>
      <c r="DP3" s="110"/>
      <c r="DQ3" s="110"/>
      <c r="DR3" s="110"/>
      <c r="DS3" s="110"/>
      <c r="DT3" s="110"/>
      <c r="DU3" s="110"/>
      <c r="DV3" s="110"/>
      <c r="DW3" s="110"/>
      <c r="DX3" s="110"/>
      <c r="DY3" s="110"/>
      <c r="DZ3" s="110"/>
      <c r="EA3" s="110"/>
      <c r="EB3" s="110"/>
      <c r="EC3" s="110"/>
      <c r="ED3" s="110"/>
      <c r="EE3" s="110"/>
      <c r="EF3" s="110"/>
      <c r="EG3" s="110"/>
      <c r="EH3" s="110"/>
      <c r="EI3" s="110"/>
      <c r="EJ3" s="110"/>
      <c r="EK3" s="110"/>
      <c r="EL3" s="110"/>
      <c r="EM3" s="110"/>
      <c r="EN3" s="110"/>
      <c r="EO3" s="110"/>
      <c r="EP3" s="110"/>
      <c r="EQ3" s="110"/>
      <c r="ER3" s="110"/>
      <c r="ES3" s="110"/>
      <c r="ET3" s="110"/>
    </row>
    <row r="4" spans="1:151" x14ac:dyDescent="0.2">
      <c r="A4" s="104" t="s">
        <v>75</v>
      </c>
      <c r="B4" s="104" t="s">
        <v>76</v>
      </c>
      <c r="C4" s="104" t="s">
        <v>36</v>
      </c>
      <c r="D4" s="105" t="s">
        <v>37</v>
      </c>
      <c r="E4" s="104" t="s">
        <v>1291</v>
      </c>
      <c r="F4" s="104" t="s">
        <v>38</v>
      </c>
      <c r="G4" s="104" t="s">
        <v>39</v>
      </c>
      <c r="H4" s="160" t="s">
        <v>319</v>
      </c>
      <c r="I4" s="104" t="s">
        <v>40</v>
      </c>
      <c r="J4" s="106" t="s">
        <v>2</v>
      </c>
      <c r="K4" s="110"/>
      <c r="L4" s="110"/>
      <c r="M4" s="110"/>
      <c r="N4" s="110"/>
      <c r="O4" s="110"/>
      <c r="P4" s="110"/>
      <c r="Q4" s="110"/>
      <c r="R4" s="110"/>
      <c r="S4" s="110"/>
      <c r="T4" s="110"/>
      <c r="U4" s="110"/>
      <c r="V4" s="110"/>
      <c r="W4" s="110"/>
      <c r="X4" s="110"/>
      <c r="Y4" s="110"/>
      <c r="Z4" s="110"/>
      <c r="AA4" s="110"/>
      <c r="AB4" s="110"/>
      <c r="AC4" s="110"/>
      <c r="AD4" s="110"/>
      <c r="AE4" s="110"/>
      <c r="AF4" s="110"/>
      <c r="AG4" s="110"/>
      <c r="AH4" s="110"/>
      <c r="AI4" s="110"/>
      <c r="AJ4" s="110"/>
      <c r="AK4" s="110"/>
      <c r="AL4" s="110"/>
      <c r="AM4" s="110"/>
      <c r="AN4" s="110"/>
      <c r="AO4" s="110"/>
      <c r="AP4" s="110"/>
      <c r="AQ4" s="110"/>
      <c r="AR4" s="110"/>
      <c r="AS4" s="110"/>
      <c r="AT4" s="110"/>
      <c r="AU4" s="110"/>
      <c r="AV4" s="110"/>
      <c r="AW4" s="110"/>
      <c r="AX4" s="110"/>
      <c r="AY4" s="110"/>
      <c r="AZ4" s="110"/>
      <c r="BA4" s="110"/>
      <c r="BB4" s="110"/>
      <c r="BC4" s="110"/>
      <c r="BD4" s="110"/>
      <c r="BE4" s="110"/>
      <c r="BF4" s="110"/>
      <c r="BG4" s="110"/>
      <c r="BH4" s="110"/>
      <c r="BI4" s="110"/>
      <c r="BJ4" s="110"/>
      <c r="BK4" s="110"/>
      <c r="BL4" s="110"/>
      <c r="BM4" s="110"/>
      <c r="BN4" s="110"/>
      <c r="BO4" s="110"/>
      <c r="BP4" s="110"/>
      <c r="BQ4" s="110"/>
      <c r="BR4" s="110"/>
      <c r="BS4" s="110"/>
      <c r="BT4" s="110"/>
      <c r="BU4" s="110"/>
      <c r="BV4" s="110"/>
      <c r="BW4" s="110"/>
      <c r="BX4" s="110"/>
      <c r="BY4" s="110"/>
      <c r="BZ4" s="110"/>
      <c r="CA4" s="110"/>
      <c r="CB4" s="110"/>
      <c r="CC4" s="110"/>
      <c r="CD4" s="110"/>
      <c r="CE4" s="110"/>
      <c r="CF4" s="110"/>
      <c r="CG4" s="110"/>
      <c r="CH4" s="110"/>
      <c r="CI4" s="110"/>
      <c r="CJ4" s="110"/>
      <c r="CK4" s="110"/>
      <c r="CL4" s="110"/>
      <c r="CM4" s="110"/>
      <c r="CN4" s="110"/>
      <c r="CO4" s="110"/>
      <c r="CP4" s="110"/>
      <c r="CQ4" s="110"/>
      <c r="CR4" s="110"/>
      <c r="CS4" s="110"/>
      <c r="CT4" s="110"/>
      <c r="CU4" s="110"/>
      <c r="CV4" s="110"/>
      <c r="CW4" s="110"/>
      <c r="CX4" s="110"/>
      <c r="CY4" s="110"/>
      <c r="CZ4" s="110"/>
      <c r="DA4" s="110"/>
      <c r="DB4" s="110"/>
      <c r="DC4" s="110"/>
      <c r="DD4" s="110"/>
      <c r="DE4" s="110"/>
      <c r="DF4" s="110"/>
      <c r="DG4" s="110"/>
      <c r="DH4" s="110"/>
      <c r="DI4" s="110"/>
      <c r="DJ4" s="110"/>
      <c r="DK4" s="110"/>
      <c r="DL4" s="110"/>
      <c r="DM4" s="110"/>
      <c r="DN4" s="110"/>
      <c r="DO4" s="110"/>
      <c r="DP4" s="110"/>
      <c r="DQ4" s="110"/>
      <c r="DR4" s="110"/>
      <c r="DS4" s="110"/>
      <c r="DT4" s="110"/>
      <c r="DU4" s="110"/>
      <c r="DV4" s="110"/>
      <c r="DW4" s="110"/>
      <c r="DX4" s="110"/>
      <c r="DY4" s="110"/>
      <c r="DZ4" s="110"/>
      <c r="EA4" s="110"/>
      <c r="EB4" s="110"/>
      <c r="EC4" s="110"/>
      <c r="ED4" s="110"/>
      <c r="EE4" s="110"/>
      <c r="EF4" s="110"/>
      <c r="EG4" s="110"/>
      <c r="EH4" s="110"/>
      <c r="EI4" s="110"/>
      <c r="EJ4" s="110"/>
      <c r="EK4" s="110"/>
      <c r="EL4" s="110"/>
      <c r="EM4" s="110"/>
      <c r="EN4" s="110"/>
      <c r="EO4" s="110"/>
      <c r="EP4" s="110"/>
      <c r="EQ4" s="110"/>
      <c r="ER4" s="110"/>
      <c r="ES4" s="110"/>
      <c r="ET4" s="110"/>
      <c r="EU4" s="110"/>
    </row>
    <row r="5" spans="1:151" x14ac:dyDescent="0.2">
      <c r="A5" s="107" t="s">
        <v>57</v>
      </c>
      <c r="B5" s="296" t="s">
        <v>1311</v>
      </c>
      <c r="C5" s="108" t="s">
        <v>41</v>
      </c>
      <c r="D5" s="298" t="s">
        <v>42</v>
      </c>
      <c r="E5" s="109">
        <v>278.81</v>
      </c>
      <c r="F5" s="109">
        <v>278.81</v>
      </c>
      <c r="G5" s="109">
        <v>340.77</v>
      </c>
      <c r="H5" s="214">
        <v>379.51</v>
      </c>
      <c r="I5" s="107" t="str">
        <f t="shared" ref="I5:I17" si="0">IF(AND(H5&gt;=F5,H5&lt;=G5),"Y","N")</f>
        <v>N</v>
      </c>
      <c r="J5" s="93"/>
      <c r="K5" s="110"/>
      <c r="L5" s="110"/>
      <c r="M5" s="110"/>
      <c r="N5" s="110"/>
      <c r="O5" s="110"/>
      <c r="P5" s="110"/>
      <c r="Q5" s="110"/>
      <c r="R5" s="110"/>
      <c r="S5" s="110"/>
      <c r="T5" s="110"/>
      <c r="U5" s="110"/>
      <c r="V5" s="110"/>
      <c r="W5" s="110"/>
      <c r="X5" s="110"/>
      <c r="Y5" s="110"/>
      <c r="Z5" s="110"/>
      <c r="AA5" s="110"/>
      <c r="AB5" s="110"/>
      <c r="AC5" s="110"/>
      <c r="AD5" s="110"/>
      <c r="AE5" s="110"/>
      <c r="AF5" s="110"/>
      <c r="AG5" s="110"/>
      <c r="AH5" s="110"/>
      <c r="AI5" s="110"/>
      <c r="AJ5" s="110"/>
      <c r="AK5" s="110"/>
      <c r="AL5" s="110"/>
      <c r="AM5" s="110"/>
      <c r="AN5" s="110"/>
      <c r="AO5" s="110"/>
      <c r="AP5" s="110"/>
      <c r="AQ5" s="110"/>
      <c r="AR5" s="110"/>
      <c r="AS5" s="110"/>
      <c r="AT5" s="110"/>
      <c r="AU5" s="110"/>
      <c r="AV5" s="110"/>
      <c r="AW5" s="110"/>
      <c r="AX5" s="110"/>
      <c r="AY5" s="110"/>
      <c r="AZ5" s="110"/>
      <c r="BA5" s="110"/>
      <c r="BB5" s="110"/>
      <c r="BC5" s="110"/>
      <c r="BD5" s="110"/>
      <c r="BE5" s="110"/>
      <c r="BF5" s="110"/>
      <c r="BG5" s="110"/>
      <c r="BH5" s="110"/>
      <c r="BI5" s="110"/>
      <c r="BJ5" s="110"/>
      <c r="BK5" s="110"/>
      <c r="BL5" s="110"/>
      <c r="BM5" s="110"/>
      <c r="BN5" s="110"/>
      <c r="BO5" s="110"/>
      <c r="BP5" s="110"/>
      <c r="BQ5" s="110"/>
      <c r="BR5" s="110"/>
      <c r="BS5" s="110"/>
      <c r="BT5" s="110"/>
      <c r="BU5" s="110"/>
      <c r="BV5" s="110"/>
      <c r="BW5" s="110"/>
      <c r="BX5" s="110"/>
      <c r="BY5" s="110"/>
      <c r="BZ5" s="110"/>
      <c r="CA5" s="110"/>
      <c r="CB5" s="110"/>
      <c r="CC5" s="110"/>
      <c r="CD5" s="110"/>
      <c r="CE5" s="110"/>
      <c r="CF5" s="110"/>
      <c r="CG5" s="110"/>
      <c r="CH5" s="110"/>
      <c r="CI5" s="110"/>
      <c r="CJ5" s="110"/>
      <c r="CK5" s="110"/>
      <c r="CL5" s="110"/>
      <c r="CM5" s="110"/>
      <c r="CN5" s="110"/>
      <c r="CO5" s="110"/>
      <c r="CP5" s="110"/>
      <c r="CQ5" s="110"/>
      <c r="CR5" s="110"/>
      <c r="CS5" s="110"/>
      <c r="CT5" s="110"/>
      <c r="CU5" s="110"/>
      <c r="CV5" s="110"/>
      <c r="CW5" s="110"/>
      <c r="CX5" s="110"/>
      <c r="CY5" s="110"/>
      <c r="CZ5" s="110"/>
      <c r="DA5" s="110"/>
      <c r="DB5" s="110"/>
      <c r="DC5" s="110"/>
      <c r="DD5" s="110"/>
      <c r="DE5" s="110"/>
      <c r="DF5" s="110"/>
      <c r="DG5" s="110"/>
      <c r="DH5" s="110"/>
      <c r="DI5" s="110"/>
      <c r="DJ5" s="110"/>
      <c r="DK5" s="110"/>
      <c r="DL5" s="110"/>
      <c r="DM5" s="110"/>
      <c r="DN5" s="110"/>
      <c r="DO5" s="110"/>
      <c r="DP5" s="110"/>
      <c r="DQ5" s="110"/>
      <c r="DR5" s="110"/>
      <c r="DS5" s="110"/>
      <c r="DT5" s="110"/>
      <c r="DU5" s="110"/>
      <c r="DV5" s="110"/>
      <c r="DW5" s="110"/>
      <c r="DX5" s="110"/>
      <c r="DY5" s="110"/>
      <c r="DZ5" s="110"/>
      <c r="EA5" s="110"/>
      <c r="EB5" s="110"/>
      <c r="EC5" s="110"/>
      <c r="ED5" s="110"/>
      <c r="EE5" s="110"/>
      <c r="EF5" s="110"/>
      <c r="EG5" s="110"/>
      <c r="EH5" s="110"/>
      <c r="EI5" s="110"/>
      <c r="EJ5" s="110"/>
      <c r="EK5" s="110"/>
      <c r="EL5" s="110"/>
      <c r="EM5" s="110"/>
      <c r="EN5" s="110"/>
      <c r="EO5" s="110"/>
      <c r="EP5" s="110"/>
      <c r="EQ5" s="110"/>
      <c r="ER5" s="110"/>
      <c r="ES5" s="110"/>
      <c r="ET5" s="110"/>
      <c r="EU5" s="110"/>
    </row>
    <row r="6" spans="1:151" x14ac:dyDescent="0.2">
      <c r="A6" s="107" t="s">
        <v>58</v>
      </c>
      <c r="B6" s="297"/>
      <c r="C6" s="108" t="s">
        <v>43</v>
      </c>
      <c r="D6" s="298"/>
      <c r="E6" s="109">
        <v>226.56</v>
      </c>
      <c r="F6" s="109">
        <v>226.56</v>
      </c>
      <c r="G6" s="109">
        <v>276.89999999999998</v>
      </c>
      <c r="H6" s="214">
        <v>298.37</v>
      </c>
      <c r="I6" s="107" t="str">
        <f t="shared" si="0"/>
        <v>N</v>
      </c>
      <c r="J6" s="93"/>
      <c r="K6" s="110"/>
      <c r="L6" s="110"/>
      <c r="M6" s="110"/>
      <c r="N6" s="110"/>
      <c r="O6" s="110"/>
      <c r="P6" s="110"/>
      <c r="Q6" s="110"/>
      <c r="R6" s="110"/>
      <c r="S6" s="110"/>
      <c r="T6" s="110"/>
      <c r="U6" s="110"/>
      <c r="V6" s="110"/>
      <c r="W6" s="110"/>
      <c r="X6" s="110"/>
      <c r="Y6" s="110"/>
      <c r="Z6" s="110"/>
      <c r="AA6" s="110"/>
      <c r="AB6" s="110"/>
      <c r="AC6" s="110"/>
      <c r="AD6" s="110"/>
      <c r="AE6" s="110"/>
      <c r="AF6" s="110"/>
      <c r="AG6" s="110"/>
      <c r="AH6" s="110"/>
      <c r="AI6" s="110"/>
      <c r="AJ6" s="110"/>
      <c r="AK6" s="110"/>
      <c r="AL6" s="110"/>
      <c r="AM6" s="110"/>
      <c r="AN6" s="110"/>
      <c r="AO6" s="110"/>
      <c r="AP6" s="110"/>
      <c r="AQ6" s="110"/>
      <c r="AR6" s="110"/>
      <c r="AS6" s="110"/>
      <c r="AT6" s="110"/>
      <c r="AU6" s="110"/>
      <c r="AV6" s="110"/>
      <c r="AW6" s="110"/>
      <c r="AX6" s="110"/>
      <c r="AY6" s="110"/>
      <c r="AZ6" s="110"/>
      <c r="BA6" s="110"/>
      <c r="BB6" s="110"/>
      <c r="BC6" s="110"/>
      <c r="BD6" s="110"/>
      <c r="BE6" s="110"/>
      <c r="BF6" s="110"/>
      <c r="BG6" s="110"/>
      <c r="BH6" s="110"/>
      <c r="BI6" s="110"/>
      <c r="BJ6" s="110"/>
      <c r="BK6" s="110"/>
      <c r="BL6" s="110"/>
      <c r="BM6" s="110"/>
      <c r="BN6" s="110"/>
      <c r="BO6" s="110"/>
      <c r="BP6" s="110"/>
      <c r="BQ6" s="110"/>
      <c r="BR6" s="110"/>
      <c r="BS6" s="110"/>
      <c r="BT6" s="110"/>
      <c r="BU6" s="110"/>
      <c r="BV6" s="110"/>
      <c r="BW6" s="110"/>
      <c r="BX6" s="110"/>
      <c r="BY6" s="110"/>
      <c r="BZ6" s="110"/>
      <c r="CA6" s="110"/>
      <c r="CB6" s="110"/>
      <c r="CC6" s="110"/>
      <c r="CD6" s="110"/>
      <c r="CE6" s="110"/>
      <c r="CF6" s="110"/>
      <c r="CG6" s="110"/>
      <c r="CH6" s="110"/>
      <c r="CI6" s="110"/>
      <c r="CJ6" s="110"/>
      <c r="CK6" s="110"/>
      <c r="CL6" s="110"/>
      <c r="CM6" s="110"/>
      <c r="CN6" s="110"/>
      <c r="CO6" s="110"/>
      <c r="CP6" s="110"/>
      <c r="CQ6" s="110"/>
      <c r="CR6" s="110"/>
      <c r="CS6" s="110"/>
      <c r="CT6" s="110"/>
      <c r="CU6" s="110"/>
      <c r="CV6" s="110"/>
      <c r="CW6" s="110"/>
      <c r="CX6" s="110"/>
      <c r="CY6" s="110"/>
      <c r="CZ6" s="110"/>
      <c r="DA6" s="110"/>
      <c r="DB6" s="110"/>
      <c r="DC6" s="110"/>
      <c r="DD6" s="110"/>
      <c r="DE6" s="110"/>
      <c r="DF6" s="110"/>
      <c r="DG6" s="110"/>
      <c r="DH6" s="110"/>
      <c r="DI6" s="110"/>
      <c r="DJ6" s="110"/>
      <c r="DK6" s="110"/>
      <c r="DL6" s="110"/>
      <c r="DM6" s="110"/>
      <c r="DN6" s="110"/>
      <c r="DO6" s="110"/>
      <c r="DP6" s="110"/>
      <c r="DQ6" s="110"/>
      <c r="DR6" s="110"/>
      <c r="DS6" s="110"/>
      <c r="DT6" s="110"/>
      <c r="DU6" s="110"/>
      <c r="DV6" s="110"/>
      <c r="DW6" s="110"/>
      <c r="DX6" s="110"/>
      <c r="DY6" s="110"/>
      <c r="DZ6" s="110"/>
      <c r="EA6" s="110"/>
      <c r="EB6" s="110"/>
      <c r="EC6" s="110"/>
      <c r="ED6" s="110"/>
      <c r="EE6" s="110"/>
      <c r="EF6" s="110"/>
      <c r="EG6" s="110"/>
      <c r="EH6" s="110"/>
      <c r="EI6" s="110"/>
      <c r="EJ6" s="110"/>
      <c r="EK6" s="110"/>
      <c r="EL6" s="110"/>
      <c r="EM6" s="110"/>
      <c r="EN6" s="110"/>
      <c r="EO6" s="110"/>
      <c r="EP6" s="110"/>
      <c r="EQ6" s="110"/>
      <c r="ER6" s="110"/>
      <c r="ES6" s="110"/>
      <c r="ET6" s="110"/>
      <c r="EU6" s="110"/>
    </row>
    <row r="7" spans="1:151" x14ac:dyDescent="0.2">
      <c r="A7" s="107" t="s">
        <v>59</v>
      </c>
      <c r="B7" s="297"/>
      <c r="C7" s="108" t="s">
        <v>44</v>
      </c>
      <c r="D7" s="298"/>
      <c r="E7" s="109">
        <v>52.25</v>
      </c>
      <c r="F7" s="109">
        <v>52.25</v>
      </c>
      <c r="G7" s="109">
        <v>63.87</v>
      </c>
      <c r="H7" s="214">
        <v>81.14</v>
      </c>
      <c r="I7" s="107" t="str">
        <f t="shared" si="0"/>
        <v>N</v>
      </c>
      <c r="J7" s="93"/>
      <c r="K7" s="110"/>
      <c r="L7" s="110"/>
      <c r="M7" s="110"/>
      <c r="N7" s="110"/>
      <c r="O7" s="110"/>
      <c r="P7" s="110"/>
      <c r="Q7" s="110"/>
      <c r="R7" s="110"/>
      <c r="S7" s="110"/>
      <c r="T7" s="110"/>
      <c r="U7" s="110"/>
      <c r="V7" s="110"/>
      <c r="W7" s="110"/>
      <c r="X7" s="110"/>
      <c r="Y7" s="110"/>
      <c r="Z7" s="110"/>
      <c r="AA7" s="110"/>
      <c r="AB7" s="110"/>
      <c r="AC7" s="110"/>
      <c r="AD7" s="110"/>
      <c r="AE7" s="110"/>
      <c r="AF7" s="110"/>
      <c r="AG7" s="110"/>
      <c r="AH7" s="110"/>
      <c r="AI7" s="110"/>
      <c r="AJ7" s="110"/>
      <c r="AK7" s="110"/>
      <c r="AL7" s="110"/>
      <c r="AM7" s="110"/>
      <c r="AN7" s="110"/>
      <c r="AO7" s="110"/>
      <c r="AP7" s="110"/>
      <c r="AQ7" s="110"/>
      <c r="AR7" s="110"/>
      <c r="AS7" s="110"/>
      <c r="AT7" s="110"/>
      <c r="AU7" s="110"/>
      <c r="AV7" s="110"/>
      <c r="AW7" s="110"/>
      <c r="AX7" s="110"/>
      <c r="AY7" s="110"/>
      <c r="AZ7" s="110"/>
      <c r="BA7" s="110"/>
      <c r="BB7" s="110"/>
      <c r="BC7" s="110"/>
      <c r="BD7" s="110"/>
      <c r="BE7" s="110"/>
      <c r="BF7" s="110"/>
      <c r="BG7" s="110"/>
      <c r="BH7" s="110"/>
      <c r="BI7" s="110"/>
      <c r="BJ7" s="110"/>
      <c r="BK7" s="110"/>
      <c r="BL7" s="110"/>
      <c r="BM7" s="110"/>
      <c r="BN7" s="110"/>
      <c r="BO7" s="110"/>
      <c r="BP7" s="110"/>
      <c r="BQ7" s="110"/>
      <c r="BR7" s="110"/>
      <c r="BS7" s="110"/>
      <c r="BT7" s="110"/>
      <c r="BU7" s="110"/>
      <c r="BV7" s="110"/>
      <c r="BW7" s="110"/>
      <c r="BX7" s="110"/>
      <c r="BY7" s="110"/>
      <c r="BZ7" s="110"/>
      <c r="CA7" s="110"/>
      <c r="CB7" s="110"/>
      <c r="CC7" s="110"/>
      <c r="CD7" s="110"/>
      <c r="CE7" s="110"/>
      <c r="CF7" s="110"/>
      <c r="CG7" s="110"/>
      <c r="CH7" s="110"/>
      <c r="CI7" s="110"/>
      <c r="CJ7" s="110"/>
      <c r="CK7" s="110"/>
      <c r="CL7" s="110"/>
      <c r="CM7" s="110"/>
      <c r="CN7" s="110"/>
      <c r="CO7" s="110"/>
      <c r="CP7" s="110"/>
      <c r="CQ7" s="110"/>
      <c r="CR7" s="110"/>
      <c r="CS7" s="110"/>
      <c r="CT7" s="110"/>
      <c r="CU7" s="110"/>
      <c r="CV7" s="110"/>
      <c r="CW7" s="110"/>
      <c r="CX7" s="110"/>
      <c r="CY7" s="110"/>
      <c r="CZ7" s="110"/>
      <c r="DA7" s="110"/>
      <c r="DB7" s="110"/>
      <c r="DC7" s="110"/>
      <c r="DD7" s="110"/>
      <c r="DE7" s="110"/>
      <c r="DF7" s="110"/>
      <c r="DG7" s="110"/>
      <c r="DH7" s="110"/>
      <c r="DI7" s="110"/>
      <c r="DJ7" s="110"/>
      <c r="DK7" s="110"/>
      <c r="DL7" s="110"/>
      <c r="DM7" s="110"/>
      <c r="DN7" s="110"/>
      <c r="DO7" s="110"/>
      <c r="DP7" s="110"/>
      <c r="DQ7" s="110"/>
      <c r="DR7" s="110"/>
      <c r="DS7" s="110"/>
      <c r="DT7" s="110"/>
      <c r="DU7" s="110"/>
      <c r="DV7" s="110"/>
      <c r="DW7" s="110"/>
      <c r="DX7" s="110"/>
      <c r="DY7" s="110"/>
      <c r="DZ7" s="110"/>
      <c r="EA7" s="110"/>
      <c r="EB7" s="110"/>
      <c r="EC7" s="110"/>
      <c r="ED7" s="110"/>
      <c r="EE7" s="110"/>
      <c r="EF7" s="110"/>
      <c r="EG7" s="110"/>
      <c r="EH7" s="110"/>
      <c r="EI7" s="110"/>
      <c r="EJ7" s="110"/>
      <c r="EK7" s="110"/>
      <c r="EL7" s="110"/>
      <c r="EM7" s="110"/>
      <c r="EN7" s="110"/>
      <c r="EO7" s="110"/>
      <c r="EP7" s="110"/>
      <c r="EQ7" s="110"/>
      <c r="ER7" s="110"/>
      <c r="ES7" s="110"/>
      <c r="ET7" s="110"/>
      <c r="EU7" s="110"/>
    </row>
    <row r="8" spans="1:151" x14ac:dyDescent="0.2">
      <c r="A8" s="107" t="s">
        <v>60</v>
      </c>
      <c r="B8" s="297"/>
      <c r="C8" s="108" t="s">
        <v>45</v>
      </c>
      <c r="D8" s="298"/>
      <c r="E8" s="109">
        <v>67.28</v>
      </c>
      <c r="F8" s="109">
        <v>67.28</v>
      </c>
      <c r="G8" s="109">
        <v>82.24</v>
      </c>
      <c r="H8" s="214">
        <v>86.57</v>
      </c>
      <c r="I8" s="107" t="str">
        <f t="shared" si="0"/>
        <v>N</v>
      </c>
      <c r="J8" s="93"/>
      <c r="K8" s="110"/>
      <c r="L8" s="110"/>
      <c r="M8" s="110"/>
      <c r="N8" s="110"/>
      <c r="O8" s="110"/>
      <c r="P8" s="110"/>
      <c r="Q8" s="110"/>
      <c r="R8" s="110"/>
      <c r="S8" s="110"/>
      <c r="T8" s="110"/>
      <c r="U8" s="110"/>
      <c r="V8" s="110"/>
      <c r="W8" s="110"/>
      <c r="X8" s="110"/>
      <c r="Y8" s="110"/>
      <c r="Z8" s="110"/>
      <c r="AA8" s="110"/>
      <c r="AB8" s="110"/>
      <c r="AC8" s="110"/>
      <c r="AD8" s="110"/>
      <c r="AE8" s="110"/>
      <c r="AF8" s="110"/>
      <c r="AG8" s="110"/>
      <c r="AH8" s="110"/>
      <c r="AI8" s="110"/>
      <c r="AJ8" s="110"/>
      <c r="AK8" s="110"/>
      <c r="AL8" s="110"/>
      <c r="AM8" s="110"/>
      <c r="AN8" s="110"/>
      <c r="AO8" s="110"/>
      <c r="AP8" s="110"/>
      <c r="AQ8" s="110"/>
      <c r="AR8" s="110"/>
      <c r="AS8" s="110"/>
      <c r="AT8" s="110"/>
      <c r="AU8" s="110"/>
      <c r="AV8" s="110"/>
      <c r="AW8" s="110"/>
      <c r="AX8" s="110"/>
      <c r="AY8" s="110"/>
      <c r="AZ8" s="110"/>
      <c r="BA8" s="110"/>
      <c r="BB8" s="110"/>
      <c r="BC8" s="110"/>
      <c r="BD8" s="110"/>
      <c r="BE8" s="110"/>
      <c r="BF8" s="110"/>
      <c r="BG8" s="110"/>
      <c r="BH8" s="110"/>
      <c r="BI8" s="110"/>
      <c r="BJ8" s="110"/>
      <c r="BK8" s="110"/>
      <c r="BL8" s="110"/>
      <c r="BM8" s="110"/>
      <c r="BN8" s="110"/>
      <c r="BO8" s="110"/>
      <c r="BP8" s="110"/>
      <c r="BQ8" s="110"/>
      <c r="BR8" s="110"/>
      <c r="BS8" s="110"/>
      <c r="BT8" s="110"/>
      <c r="BU8" s="110"/>
      <c r="BV8" s="110"/>
      <c r="BW8" s="110"/>
      <c r="BX8" s="110"/>
      <c r="BY8" s="110"/>
      <c r="BZ8" s="110"/>
      <c r="CA8" s="110"/>
      <c r="CB8" s="110"/>
      <c r="CC8" s="110"/>
      <c r="CD8" s="110"/>
      <c r="CE8" s="110"/>
      <c r="CF8" s="110"/>
      <c r="CG8" s="110"/>
      <c r="CH8" s="110"/>
      <c r="CI8" s="110"/>
      <c r="CJ8" s="110"/>
      <c r="CK8" s="110"/>
      <c r="CL8" s="110"/>
      <c r="CM8" s="110"/>
      <c r="CN8" s="110"/>
      <c r="CO8" s="110"/>
      <c r="CP8" s="110"/>
      <c r="CQ8" s="110"/>
      <c r="CR8" s="110"/>
      <c r="CS8" s="110"/>
      <c r="CT8" s="110"/>
      <c r="CU8" s="110"/>
      <c r="CV8" s="110"/>
      <c r="CW8" s="110"/>
      <c r="CX8" s="110"/>
      <c r="CY8" s="110"/>
      <c r="CZ8" s="110"/>
      <c r="DA8" s="110"/>
      <c r="DB8" s="110"/>
      <c r="DC8" s="110"/>
      <c r="DD8" s="110"/>
      <c r="DE8" s="110"/>
      <c r="DF8" s="110"/>
      <c r="DG8" s="110"/>
      <c r="DH8" s="110"/>
      <c r="DI8" s="110"/>
      <c r="DJ8" s="110"/>
      <c r="DK8" s="110"/>
      <c r="DL8" s="110"/>
      <c r="DM8" s="110"/>
      <c r="DN8" s="110"/>
      <c r="DO8" s="110"/>
      <c r="DP8" s="110"/>
      <c r="DQ8" s="110"/>
      <c r="DR8" s="110"/>
      <c r="DS8" s="110"/>
      <c r="DT8" s="110"/>
      <c r="DU8" s="110"/>
      <c r="DV8" s="110"/>
      <c r="DW8" s="110"/>
      <c r="DX8" s="110"/>
      <c r="DY8" s="110"/>
      <c r="DZ8" s="110"/>
      <c r="EA8" s="110"/>
      <c r="EB8" s="110"/>
      <c r="EC8" s="110"/>
      <c r="ED8" s="110"/>
      <c r="EE8" s="110"/>
      <c r="EF8" s="110"/>
      <c r="EG8" s="110"/>
      <c r="EH8" s="110"/>
      <c r="EI8" s="110"/>
      <c r="EJ8" s="110"/>
      <c r="EK8" s="110"/>
      <c r="EL8" s="110"/>
      <c r="EM8" s="110"/>
      <c r="EN8" s="110"/>
      <c r="EO8" s="110"/>
      <c r="EP8" s="110"/>
      <c r="EQ8" s="110"/>
      <c r="ER8" s="110"/>
      <c r="ES8" s="110"/>
      <c r="ET8" s="110"/>
      <c r="EU8" s="110"/>
    </row>
    <row r="9" spans="1:151" x14ac:dyDescent="0.2">
      <c r="A9" s="107" t="s">
        <v>61</v>
      </c>
      <c r="B9" s="297"/>
      <c r="C9" s="108" t="s">
        <v>46</v>
      </c>
      <c r="D9" s="298"/>
      <c r="E9" s="109">
        <v>133.68</v>
      </c>
      <c r="F9" s="109">
        <v>133.68</v>
      </c>
      <c r="G9" s="109">
        <v>163.38</v>
      </c>
      <c r="H9" s="214">
        <v>153.47999999999999</v>
      </c>
      <c r="I9" s="107" t="str">
        <f t="shared" si="0"/>
        <v>Y</v>
      </c>
      <c r="J9" s="93"/>
      <c r="K9" s="110"/>
      <c r="L9" s="110"/>
      <c r="M9" s="110"/>
      <c r="N9" s="110"/>
      <c r="O9" s="110"/>
      <c r="P9" s="110"/>
      <c r="Q9" s="110"/>
      <c r="R9" s="110"/>
      <c r="S9" s="110"/>
      <c r="T9" s="110"/>
      <c r="U9" s="110"/>
      <c r="V9" s="110"/>
      <c r="W9" s="110"/>
      <c r="X9" s="110"/>
      <c r="Y9" s="110"/>
      <c r="Z9" s="110"/>
      <c r="AA9" s="110"/>
      <c r="AB9" s="110"/>
      <c r="AC9" s="110"/>
      <c r="AD9" s="110"/>
      <c r="AE9" s="110"/>
      <c r="AF9" s="110"/>
      <c r="AG9" s="110"/>
      <c r="AH9" s="110"/>
      <c r="AI9" s="110"/>
      <c r="AJ9" s="110"/>
      <c r="AK9" s="110"/>
      <c r="AL9" s="110"/>
      <c r="AM9" s="110"/>
      <c r="AN9" s="110"/>
      <c r="AO9" s="110"/>
      <c r="AP9" s="110"/>
      <c r="AQ9" s="110"/>
      <c r="AR9" s="110"/>
      <c r="AS9" s="110"/>
      <c r="AT9" s="110"/>
      <c r="AU9" s="110"/>
      <c r="AV9" s="110"/>
      <c r="AW9" s="110"/>
      <c r="AX9" s="110"/>
      <c r="AY9" s="110"/>
      <c r="AZ9" s="110"/>
      <c r="BA9" s="110"/>
      <c r="BB9" s="110"/>
      <c r="BC9" s="110"/>
      <c r="BD9" s="110"/>
      <c r="BE9" s="110"/>
      <c r="BF9" s="110"/>
      <c r="BG9" s="110"/>
      <c r="BH9" s="110"/>
      <c r="BI9" s="110"/>
      <c r="BJ9" s="110"/>
      <c r="BK9" s="110"/>
      <c r="BL9" s="110"/>
      <c r="BM9" s="110"/>
      <c r="BN9" s="110"/>
      <c r="BO9" s="110"/>
      <c r="BP9" s="110"/>
      <c r="BQ9" s="110"/>
      <c r="BR9" s="110"/>
      <c r="BS9" s="110"/>
      <c r="BT9" s="110"/>
      <c r="BU9" s="110"/>
      <c r="BV9" s="110"/>
      <c r="BW9" s="110"/>
      <c r="BX9" s="110"/>
      <c r="BY9" s="110"/>
      <c r="BZ9" s="110"/>
      <c r="CA9" s="110"/>
      <c r="CB9" s="110"/>
      <c r="CC9" s="110"/>
      <c r="CD9" s="110"/>
      <c r="CE9" s="110"/>
      <c r="CF9" s="110"/>
      <c r="CG9" s="110"/>
      <c r="CH9" s="110"/>
      <c r="CI9" s="110"/>
      <c r="CJ9" s="110"/>
      <c r="CK9" s="110"/>
      <c r="CL9" s="110"/>
      <c r="CM9" s="110"/>
      <c r="CN9" s="110"/>
      <c r="CO9" s="110"/>
      <c r="CP9" s="110"/>
      <c r="CQ9" s="110"/>
      <c r="CR9" s="110"/>
      <c r="CS9" s="110"/>
      <c r="CT9" s="110"/>
      <c r="CU9" s="110"/>
      <c r="CV9" s="110"/>
      <c r="CW9" s="110"/>
      <c r="CX9" s="110"/>
      <c r="CY9" s="110"/>
      <c r="CZ9" s="110"/>
      <c r="DA9" s="110"/>
      <c r="DB9" s="110"/>
      <c r="DC9" s="110"/>
      <c r="DD9" s="110"/>
      <c r="DE9" s="110"/>
      <c r="DF9" s="110"/>
      <c r="DG9" s="110"/>
      <c r="DH9" s="110"/>
      <c r="DI9" s="110"/>
      <c r="DJ9" s="110"/>
      <c r="DK9" s="110"/>
      <c r="DL9" s="110"/>
      <c r="DM9" s="110"/>
      <c r="DN9" s="110"/>
      <c r="DO9" s="110"/>
      <c r="DP9" s="110"/>
      <c r="DQ9" s="110"/>
      <c r="DR9" s="110"/>
      <c r="DS9" s="110"/>
      <c r="DT9" s="110"/>
      <c r="DU9" s="110"/>
      <c r="DV9" s="110"/>
      <c r="DW9" s="110"/>
      <c r="DX9" s="110"/>
      <c r="DY9" s="110"/>
      <c r="DZ9" s="110"/>
      <c r="EA9" s="110"/>
      <c r="EB9" s="110"/>
      <c r="EC9" s="110"/>
      <c r="ED9" s="110"/>
      <c r="EE9" s="110"/>
      <c r="EF9" s="110"/>
      <c r="EG9" s="110"/>
      <c r="EH9" s="110"/>
      <c r="EI9" s="110"/>
      <c r="EJ9" s="110"/>
      <c r="EK9" s="110"/>
      <c r="EL9" s="110"/>
      <c r="EM9" s="110"/>
      <c r="EN9" s="110"/>
      <c r="EO9" s="110"/>
      <c r="EP9" s="110"/>
      <c r="EQ9" s="110"/>
      <c r="ER9" s="110"/>
      <c r="ES9" s="110"/>
      <c r="ET9" s="110"/>
      <c r="EU9" s="110"/>
    </row>
    <row r="10" spans="1:151" x14ac:dyDescent="0.2">
      <c r="A10" s="107" t="s">
        <v>62</v>
      </c>
      <c r="B10" s="297"/>
      <c r="C10" s="108" t="s">
        <v>47</v>
      </c>
      <c r="D10" s="298"/>
      <c r="E10" s="109">
        <v>25.6</v>
      </c>
      <c r="F10" s="109">
        <v>25.6</v>
      </c>
      <c r="G10" s="109">
        <v>31.28</v>
      </c>
      <c r="H10" s="214">
        <v>58.32</v>
      </c>
      <c r="I10" s="107" t="str">
        <f t="shared" si="0"/>
        <v>N</v>
      </c>
      <c r="J10" s="93"/>
      <c r="K10" s="110"/>
      <c r="L10" s="110"/>
      <c r="M10" s="110"/>
      <c r="N10" s="110"/>
      <c r="O10" s="110"/>
      <c r="P10" s="110"/>
      <c r="Q10" s="110"/>
      <c r="R10" s="110"/>
      <c r="S10" s="110"/>
      <c r="T10" s="110"/>
      <c r="U10" s="110"/>
      <c r="V10" s="110"/>
      <c r="W10" s="110"/>
      <c r="X10" s="110"/>
      <c r="Y10" s="110"/>
      <c r="Z10" s="110"/>
      <c r="AA10" s="110"/>
      <c r="AB10" s="110"/>
      <c r="AC10" s="110"/>
      <c r="AD10" s="110"/>
      <c r="AE10" s="110"/>
      <c r="AF10" s="110"/>
      <c r="AG10" s="110"/>
      <c r="AH10" s="110"/>
      <c r="AI10" s="110"/>
      <c r="AJ10" s="110"/>
      <c r="AK10" s="110"/>
      <c r="AL10" s="110"/>
      <c r="AM10" s="110"/>
      <c r="AN10" s="110"/>
      <c r="AO10" s="110"/>
      <c r="AP10" s="110"/>
      <c r="AQ10" s="110"/>
      <c r="AR10" s="110"/>
      <c r="AS10" s="110"/>
      <c r="AT10" s="110"/>
      <c r="AU10" s="110"/>
      <c r="AV10" s="110"/>
      <c r="AW10" s="110"/>
      <c r="AX10" s="110"/>
      <c r="AY10" s="110"/>
      <c r="AZ10" s="110"/>
      <c r="BA10" s="110"/>
      <c r="BB10" s="110"/>
      <c r="BC10" s="110"/>
      <c r="BD10" s="110"/>
      <c r="BE10" s="110"/>
      <c r="BF10" s="110"/>
      <c r="BG10" s="110"/>
      <c r="BH10" s="110"/>
      <c r="BI10" s="110"/>
      <c r="BJ10" s="110"/>
      <c r="BK10" s="110"/>
      <c r="BL10" s="110"/>
      <c r="BM10" s="110"/>
      <c r="BN10" s="110"/>
      <c r="BO10" s="110"/>
      <c r="BP10" s="110"/>
      <c r="BQ10" s="110"/>
      <c r="BR10" s="110"/>
      <c r="BS10" s="110"/>
      <c r="BT10" s="110"/>
      <c r="BU10" s="110"/>
      <c r="BV10" s="110"/>
      <c r="BW10" s="110"/>
      <c r="BX10" s="110"/>
      <c r="BY10" s="110"/>
      <c r="BZ10" s="110"/>
      <c r="CA10" s="110"/>
      <c r="CB10" s="110"/>
      <c r="CC10" s="110"/>
      <c r="CD10" s="110"/>
      <c r="CE10" s="110"/>
      <c r="CF10" s="110"/>
      <c r="CG10" s="110"/>
      <c r="CH10" s="110"/>
      <c r="CI10" s="110"/>
      <c r="CJ10" s="110"/>
      <c r="CK10" s="110"/>
      <c r="CL10" s="110"/>
      <c r="CM10" s="110"/>
      <c r="CN10" s="110"/>
      <c r="CO10" s="110"/>
      <c r="CP10" s="110"/>
      <c r="CQ10" s="110"/>
      <c r="CR10" s="110"/>
      <c r="CS10" s="110"/>
      <c r="CT10" s="110"/>
      <c r="CU10" s="110"/>
      <c r="CV10" s="110"/>
      <c r="CW10" s="110"/>
      <c r="CX10" s="110"/>
      <c r="CY10" s="110"/>
      <c r="CZ10" s="110"/>
      <c r="DA10" s="110"/>
      <c r="DB10" s="110"/>
      <c r="DC10" s="110"/>
      <c r="DD10" s="110"/>
      <c r="DE10" s="110"/>
      <c r="DF10" s="110"/>
      <c r="DG10" s="110"/>
      <c r="DH10" s="110"/>
      <c r="DI10" s="110"/>
      <c r="DJ10" s="110"/>
      <c r="DK10" s="110"/>
      <c r="DL10" s="110"/>
      <c r="DM10" s="110"/>
      <c r="DN10" s="110"/>
      <c r="DO10" s="110"/>
      <c r="DP10" s="110"/>
      <c r="DQ10" s="110"/>
      <c r="DR10" s="110"/>
      <c r="DS10" s="110"/>
      <c r="DT10" s="110"/>
      <c r="DU10" s="110"/>
      <c r="DV10" s="110"/>
      <c r="DW10" s="110"/>
      <c r="DX10" s="110"/>
      <c r="DY10" s="110"/>
      <c r="DZ10" s="110"/>
      <c r="EA10" s="110"/>
      <c r="EB10" s="110"/>
      <c r="EC10" s="110"/>
      <c r="ED10" s="110"/>
      <c r="EE10" s="110"/>
      <c r="EF10" s="110"/>
      <c r="EG10" s="110"/>
      <c r="EH10" s="110"/>
      <c r="EI10" s="110"/>
      <c r="EJ10" s="110"/>
      <c r="EK10" s="110"/>
      <c r="EL10" s="110"/>
      <c r="EM10" s="110"/>
      <c r="EN10" s="110"/>
      <c r="EO10" s="110"/>
      <c r="EP10" s="110"/>
      <c r="EQ10" s="110"/>
      <c r="ER10" s="110"/>
      <c r="ES10" s="110"/>
      <c r="ET10" s="110"/>
      <c r="EU10" s="110"/>
    </row>
    <row r="11" spans="1:151" x14ac:dyDescent="0.2">
      <c r="A11" s="107" t="s">
        <v>63</v>
      </c>
      <c r="B11" s="296" t="s">
        <v>1312</v>
      </c>
      <c r="C11" s="108" t="s">
        <v>48</v>
      </c>
      <c r="D11" s="298" t="s">
        <v>49</v>
      </c>
      <c r="E11" s="109">
        <v>191.79</v>
      </c>
      <c r="F11" s="109">
        <v>191.79</v>
      </c>
      <c r="G11" s="109">
        <v>234.41</v>
      </c>
      <c r="H11" s="214">
        <v>216.92</v>
      </c>
      <c r="I11" s="107" t="str">
        <f t="shared" si="0"/>
        <v>Y</v>
      </c>
      <c r="J11" s="93"/>
      <c r="K11" s="110"/>
      <c r="L11" s="110"/>
      <c r="M11" s="110"/>
      <c r="N11" s="110"/>
      <c r="O11" s="110"/>
      <c r="P11" s="110"/>
      <c r="Q11" s="110"/>
      <c r="R11" s="110"/>
      <c r="S11" s="110"/>
      <c r="T11" s="110"/>
      <c r="U11" s="110"/>
      <c r="V11" s="110"/>
      <c r="W11" s="110"/>
      <c r="X11" s="110"/>
      <c r="Y11" s="110"/>
      <c r="Z11" s="110"/>
      <c r="AA11" s="110"/>
      <c r="AB11" s="110"/>
      <c r="AC11" s="110"/>
      <c r="AD11" s="110"/>
      <c r="AE11" s="110"/>
      <c r="AF11" s="110"/>
      <c r="AG11" s="110"/>
      <c r="AH11" s="110"/>
      <c r="AI11" s="110"/>
      <c r="AJ11" s="110"/>
      <c r="AK11" s="110"/>
      <c r="AL11" s="110"/>
      <c r="AM11" s="110"/>
      <c r="AN11" s="110"/>
      <c r="AO11" s="110"/>
      <c r="AP11" s="110"/>
      <c r="AQ11" s="110"/>
      <c r="AR11" s="110"/>
      <c r="AS11" s="110"/>
      <c r="AT11" s="110"/>
      <c r="AU11" s="110"/>
      <c r="AV11" s="110"/>
      <c r="AW11" s="110"/>
      <c r="AX11" s="110"/>
      <c r="AY11" s="110"/>
      <c r="AZ11" s="110"/>
      <c r="BA11" s="110"/>
      <c r="BB11" s="110"/>
      <c r="BC11" s="110"/>
      <c r="BD11" s="110"/>
      <c r="BE11" s="110"/>
      <c r="BF11" s="110"/>
      <c r="BG11" s="110"/>
      <c r="BH11" s="110"/>
      <c r="BI11" s="110"/>
      <c r="BJ11" s="110"/>
      <c r="BK11" s="110"/>
      <c r="BL11" s="110"/>
      <c r="BM11" s="110"/>
      <c r="BN11" s="110"/>
      <c r="BO11" s="110"/>
      <c r="BP11" s="110"/>
      <c r="BQ11" s="110"/>
      <c r="BR11" s="110"/>
      <c r="BS11" s="110"/>
      <c r="BT11" s="110"/>
      <c r="BU11" s="110"/>
      <c r="BV11" s="110"/>
      <c r="BW11" s="110"/>
      <c r="BX11" s="110"/>
      <c r="BY11" s="110"/>
      <c r="BZ11" s="110"/>
      <c r="CA11" s="110"/>
      <c r="CB11" s="110"/>
      <c r="CC11" s="110"/>
      <c r="CD11" s="110"/>
      <c r="CE11" s="110"/>
      <c r="CF11" s="110"/>
      <c r="CG11" s="110"/>
      <c r="CH11" s="110"/>
      <c r="CI11" s="110"/>
      <c r="CJ11" s="110"/>
      <c r="CK11" s="110"/>
      <c r="CL11" s="110"/>
      <c r="CM11" s="110"/>
      <c r="CN11" s="110"/>
      <c r="CO11" s="110"/>
      <c r="CP11" s="110"/>
      <c r="CQ11" s="110"/>
      <c r="CR11" s="110"/>
      <c r="CS11" s="110"/>
      <c r="CT11" s="110"/>
      <c r="CU11" s="110"/>
      <c r="CV11" s="110"/>
      <c r="CW11" s="110"/>
      <c r="CX11" s="110"/>
      <c r="CY11" s="110"/>
      <c r="CZ11" s="110"/>
      <c r="DA11" s="110"/>
      <c r="DB11" s="110"/>
      <c r="DC11" s="110"/>
      <c r="DD11" s="110"/>
      <c r="DE11" s="110"/>
      <c r="DF11" s="110"/>
      <c r="DG11" s="110"/>
      <c r="DH11" s="110"/>
      <c r="DI11" s="110"/>
      <c r="DJ11" s="110"/>
      <c r="DK11" s="110"/>
      <c r="DL11" s="110"/>
      <c r="DM11" s="110"/>
      <c r="DN11" s="110"/>
      <c r="DO11" s="110"/>
      <c r="DP11" s="110"/>
      <c r="DQ11" s="110"/>
      <c r="DR11" s="110"/>
      <c r="DS11" s="110"/>
      <c r="DT11" s="110"/>
      <c r="DU11" s="110"/>
      <c r="DV11" s="110"/>
      <c r="DW11" s="110"/>
      <c r="DX11" s="110"/>
      <c r="DY11" s="110"/>
      <c r="DZ11" s="110"/>
      <c r="EA11" s="110"/>
      <c r="EB11" s="110"/>
      <c r="EC11" s="110"/>
      <c r="ED11" s="110"/>
      <c r="EE11" s="110"/>
      <c r="EF11" s="110"/>
      <c r="EG11" s="110"/>
      <c r="EH11" s="110"/>
      <c r="EI11" s="110"/>
      <c r="EJ11" s="110"/>
      <c r="EK11" s="110"/>
      <c r="EL11" s="110"/>
      <c r="EM11" s="110"/>
      <c r="EN11" s="110"/>
      <c r="EO11" s="110"/>
      <c r="EP11" s="110"/>
      <c r="EQ11" s="110"/>
      <c r="ER11" s="110"/>
      <c r="ES11" s="110"/>
      <c r="ET11" s="110"/>
      <c r="EU11" s="110"/>
    </row>
    <row r="12" spans="1:151" x14ac:dyDescent="0.2">
      <c r="A12" s="107" t="s">
        <v>64</v>
      </c>
      <c r="B12" s="297"/>
      <c r="C12" s="108" t="s">
        <v>50</v>
      </c>
      <c r="D12" s="298"/>
      <c r="E12" s="109">
        <v>51.21</v>
      </c>
      <c r="F12" s="109">
        <v>51.21</v>
      </c>
      <c r="G12" s="109">
        <v>62.59</v>
      </c>
      <c r="H12" s="214">
        <v>49.85</v>
      </c>
      <c r="I12" s="107" t="str">
        <f t="shared" si="0"/>
        <v>N</v>
      </c>
      <c r="J12" s="93"/>
      <c r="K12" s="110"/>
      <c r="L12" s="110"/>
      <c r="M12" s="110"/>
      <c r="N12" s="110"/>
      <c r="O12" s="110"/>
      <c r="P12" s="110"/>
      <c r="Q12" s="110"/>
      <c r="R12" s="110"/>
      <c r="S12" s="110"/>
      <c r="T12" s="110"/>
      <c r="U12" s="110"/>
      <c r="V12" s="110"/>
      <c r="W12" s="110"/>
      <c r="X12" s="110"/>
      <c r="Y12" s="110"/>
      <c r="Z12" s="110"/>
      <c r="AA12" s="110"/>
      <c r="AB12" s="110"/>
      <c r="AC12" s="110"/>
      <c r="AD12" s="110"/>
      <c r="AE12" s="110"/>
      <c r="AF12" s="110"/>
      <c r="AG12" s="110"/>
      <c r="AH12" s="110"/>
      <c r="AI12" s="110"/>
      <c r="AJ12" s="110"/>
      <c r="AK12" s="110"/>
      <c r="AL12" s="110"/>
      <c r="AM12" s="110"/>
      <c r="AN12" s="110"/>
      <c r="AO12" s="110"/>
      <c r="AP12" s="110"/>
      <c r="AQ12" s="110"/>
      <c r="AR12" s="110"/>
      <c r="AS12" s="110"/>
      <c r="AT12" s="110"/>
      <c r="AU12" s="110"/>
      <c r="AV12" s="110"/>
      <c r="AW12" s="110"/>
      <c r="AX12" s="110"/>
      <c r="AY12" s="110"/>
      <c r="AZ12" s="110"/>
      <c r="BA12" s="110"/>
      <c r="BB12" s="110"/>
      <c r="BC12" s="110"/>
      <c r="BD12" s="110"/>
      <c r="BE12" s="110"/>
      <c r="BF12" s="110"/>
      <c r="BG12" s="110"/>
      <c r="BH12" s="110"/>
      <c r="BI12" s="110"/>
      <c r="BJ12" s="110"/>
      <c r="BK12" s="110"/>
      <c r="BL12" s="110"/>
      <c r="BM12" s="110"/>
      <c r="BN12" s="110"/>
      <c r="BO12" s="110"/>
      <c r="BP12" s="110"/>
      <c r="BQ12" s="110"/>
      <c r="BR12" s="110"/>
      <c r="BS12" s="110"/>
      <c r="BT12" s="110"/>
      <c r="BU12" s="110"/>
      <c r="BV12" s="110"/>
      <c r="BW12" s="110"/>
      <c r="BX12" s="110"/>
      <c r="BY12" s="110"/>
      <c r="BZ12" s="110"/>
      <c r="CA12" s="110"/>
      <c r="CB12" s="110"/>
      <c r="CC12" s="110"/>
      <c r="CD12" s="110"/>
      <c r="CE12" s="110"/>
      <c r="CF12" s="110"/>
      <c r="CG12" s="110"/>
      <c r="CH12" s="110"/>
      <c r="CI12" s="110"/>
      <c r="CJ12" s="110"/>
      <c r="CK12" s="110"/>
      <c r="CL12" s="110"/>
      <c r="CM12" s="110"/>
      <c r="CN12" s="110"/>
      <c r="CO12" s="110"/>
      <c r="CP12" s="110"/>
      <c r="CQ12" s="110"/>
      <c r="CR12" s="110"/>
      <c r="CS12" s="110"/>
      <c r="CT12" s="110"/>
      <c r="CU12" s="110"/>
      <c r="CV12" s="110"/>
      <c r="CW12" s="110"/>
      <c r="CX12" s="110"/>
      <c r="CY12" s="110"/>
      <c r="CZ12" s="110"/>
      <c r="DA12" s="110"/>
      <c r="DB12" s="110"/>
      <c r="DC12" s="110"/>
      <c r="DD12" s="110"/>
      <c r="DE12" s="110"/>
      <c r="DF12" s="110"/>
      <c r="DG12" s="110"/>
      <c r="DH12" s="110"/>
      <c r="DI12" s="110"/>
      <c r="DJ12" s="110"/>
      <c r="DK12" s="110"/>
      <c r="DL12" s="110"/>
      <c r="DM12" s="110"/>
      <c r="DN12" s="110"/>
      <c r="DO12" s="110"/>
      <c r="DP12" s="110"/>
      <c r="DQ12" s="110"/>
      <c r="DR12" s="110"/>
      <c r="DS12" s="110"/>
      <c r="DT12" s="110"/>
      <c r="DU12" s="110"/>
      <c r="DV12" s="110"/>
      <c r="DW12" s="110"/>
      <c r="DX12" s="110"/>
      <c r="DY12" s="110"/>
      <c r="DZ12" s="110"/>
      <c r="EA12" s="110"/>
      <c r="EB12" s="110"/>
      <c r="EC12" s="110"/>
      <c r="ED12" s="110"/>
      <c r="EE12" s="110"/>
      <c r="EF12" s="110"/>
      <c r="EG12" s="110"/>
      <c r="EH12" s="110"/>
      <c r="EI12" s="110"/>
      <c r="EJ12" s="110"/>
      <c r="EK12" s="110"/>
      <c r="EL12" s="110"/>
      <c r="EM12" s="110"/>
      <c r="EN12" s="110"/>
      <c r="EO12" s="110"/>
      <c r="EP12" s="110"/>
      <c r="EQ12" s="110"/>
      <c r="ER12" s="110"/>
      <c r="ES12" s="110"/>
      <c r="ET12" s="110"/>
      <c r="EU12" s="110"/>
    </row>
    <row r="13" spans="1:151" x14ac:dyDescent="0.2">
      <c r="A13" s="107" t="s">
        <v>65</v>
      </c>
      <c r="B13" s="297"/>
      <c r="C13" s="108" t="s">
        <v>51</v>
      </c>
      <c r="D13" s="298"/>
      <c r="E13" s="109">
        <v>94.77</v>
      </c>
      <c r="F13" s="109">
        <v>94.77</v>
      </c>
      <c r="G13" s="109">
        <v>115.83</v>
      </c>
      <c r="H13" s="214">
        <v>90.27</v>
      </c>
      <c r="I13" s="107" t="str">
        <f t="shared" si="0"/>
        <v>N</v>
      </c>
      <c r="J13" s="215"/>
      <c r="K13" s="110"/>
      <c r="L13" s="110"/>
      <c r="M13" s="110"/>
      <c r="N13" s="110"/>
      <c r="O13" s="110"/>
      <c r="P13" s="110"/>
      <c r="Q13" s="110"/>
      <c r="R13" s="110"/>
      <c r="S13" s="110"/>
      <c r="T13" s="110"/>
      <c r="U13" s="110"/>
      <c r="V13" s="110"/>
      <c r="W13" s="110"/>
      <c r="X13" s="110"/>
      <c r="Y13" s="110"/>
      <c r="Z13" s="110"/>
      <c r="AA13" s="110"/>
      <c r="AB13" s="110"/>
      <c r="AC13" s="110"/>
      <c r="AD13" s="110"/>
      <c r="AE13" s="110"/>
      <c r="AF13" s="110"/>
      <c r="AG13" s="110"/>
      <c r="AH13" s="110"/>
      <c r="AI13" s="110"/>
      <c r="AJ13" s="110"/>
      <c r="AK13" s="110"/>
      <c r="AL13" s="110"/>
      <c r="AM13" s="110"/>
      <c r="AN13" s="110"/>
      <c r="AO13" s="110"/>
      <c r="AP13" s="110"/>
      <c r="AQ13" s="110"/>
      <c r="AR13" s="110"/>
      <c r="AS13" s="110"/>
      <c r="AT13" s="110"/>
      <c r="AU13" s="110"/>
      <c r="AV13" s="110"/>
      <c r="AW13" s="110"/>
      <c r="AX13" s="110"/>
      <c r="AY13" s="110"/>
      <c r="AZ13" s="110"/>
      <c r="BA13" s="110"/>
      <c r="BB13" s="110"/>
      <c r="BC13" s="110"/>
      <c r="BD13" s="110"/>
      <c r="BE13" s="110"/>
      <c r="BF13" s="110"/>
      <c r="BG13" s="110"/>
      <c r="BH13" s="110"/>
      <c r="BI13" s="110"/>
      <c r="BJ13" s="110"/>
      <c r="BK13" s="110"/>
      <c r="BL13" s="110"/>
      <c r="BM13" s="110"/>
      <c r="BN13" s="110"/>
      <c r="BO13" s="110"/>
      <c r="BP13" s="110"/>
      <c r="BQ13" s="110"/>
      <c r="BR13" s="110"/>
      <c r="BS13" s="110"/>
      <c r="BT13" s="110"/>
      <c r="BU13" s="110"/>
      <c r="BV13" s="110"/>
      <c r="BW13" s="110"/>
      <c r="BX13" s="110"/>
      <c r="BY13" s="110"/>
      <c r="BZ13" s="110"/>
      <c r="CA13" s="110"/>
      <c r="CB13" s="110"/>
      <c r="CC13" s="110"/>
      <c r="CD13" s="110"/>
      <c r="CE13" s="110"/>
      <c r="CF13" s="110"/>
      <c r="CG13" s="110"/>
      <c r="CH13" s="110"/>
      <c r="CI13" s="110"/>
      <c r="CJ13" s="110"/>
      <c r="CK13" s="110"/>
      <c r="CL13" s="110"/>
      <c r="CM13" s="110"/>
      <c r="CN13" s="110"/>
      <c r="CO13" s="110"/>
      <c r="CP13" s="110"/>
      <c r="CQ13" s="110"/>
      <c r="CR13" s="110"/>
      <c r="CS13" s="110"/>
      <c r="CT13" s="110"/>
      <c r="CU13" s="110"/>
      <c r="CV13" s="110"/>
      <c r="CW13" s="110"/>
      <c r="CX13" s="110"/>
      <c r="CY13" s="110"/>
      <c r="CZ13" s="110"/>
      <c r="DA13" s="110"/>
      <c r="DB13" s="110"/>
      <c r="DC13" s="110"/>
      <c r="DD13" s="110"/>
      <c r="DE13" s="110"/>
      <c r="DF13" s="110"/>
      <c r="DG13" s="110"/>
      <c r="DH13" s="110"/>
      <c r="DI13" s="110"/>
      <c r="DJ13" s="110"/>
      <c r="DK13" s="110"/>
      <c r="DL13" s="110"/>
      <c r="DM13" s="110"/>
      <c r="DN13" s="110"/>
      <c r="DO13" s="110"/>
      <c r="DP13" s="110"/>
      <c r="DQ13" s="110"/>
      <c r="DR13" s="110"/>
      <c r="DS13" s="110"/>
      <c r="DT13" s="110"/>
      <c r="DU13" s="110"/>
      <c r="DV13" s="110"/>
      <c r="DW13" s="110"/>
      <c r="DX13" s="110"/>
      <c r="DY13" s="110"/>
      <c r="DZ13" s="110"/>
      <c r="EA13" s="110"/>
      <c r="EB13" s="110"/>
      <c r="EC13" s="110"/>
      <c r="ED13" s="110"/>
      <c r="EE13" s="110"/>
      <c r="EF13" s="110"/>
      <c r="EG13" s="110"/>
      <c r="EH13" s="110"/>
      <c r="EI13" s="110"/>
      <c r="EJ13" s="110"/>
      <c r="EK13" s="110"/>
      <c r="EL13" s="110"/>
      <c r="EM13" s="110"/>
      <c r="EN13" s="110"/>
      <c r="EO13" s="110"/>
      <c r="EP13" s="110"/>
      <c r="EQ13" s="110"/>
      <c r="ER13" s="110"/>
      <c r="ES13" s="110"/>
      <c r="ET13" s="110"/>
      <c r="EU13" s="110"/>
    </row>
    <row r="14" spans="1:151" x14ac:dyDescent="0.2">
      <c r="A14" s="107" t="s">
        <v>66</v>
      </c>
      <c r="B14" s="297"/>
      <c r="C14" s="108" t="s">
        <v>52</v>
      </c>
      <c r="D14" s="298"/>
      <c r="E14" s="109">
        <v>89.1</v>
      </c>
      <c r="F14" s="109">
        <v>89.1</v>
      </c>
      <c r="G14" s="109">
        <v>108.9</v>
      </c>
      <c r="H14" s="214">
        <v>118.83</v>
      </c>
      <c r="I14" s="107" t="str">
        <f t="shared" si="0"/>
        <v>N</v>
      </c>
      <c r="J14" s="93"/>
      <c r="K14" s="110"/>
      <c r="L14" s="110"/>
      <c r="M14" s="110"/>
      <c r="N14" s="110"/>
      <c r="O14" s="110"/>
      <c r="P14" s="110"/>
      <c r="Q14" s="110"/>
      <c r="R14" s="110"/>
      <c r="S14" s="110"/>
      <c r="T14" s="110"/>
      <c r="U14" s="110"/>
      <c r="V14" s="110"/>
      <c r="W14" s="110"/>
      <c r="X14" s="110"/>
      <c r="Y14" s="110"/>
      <c r="Z14" s="110"/>
      <c r="AA14" s="110"/>
      <c r="AB14" s="110"/>
      <c r="AC14" s="110"/>
      <c r="AD14" s="110"/>
      <c r="AE14" s="110"/>
      <c r="AF14" s="110"/>
      <c r="AG14" s="110"/>
      <c r="AH14" s="110"/>
      <c r="AI14" s="110"/>
      <c r="AJ14" s="110"/>
      <c r="AK14" s="110"/>
      <c r="AL14" s="110"/>
      <c r="AM14" s="110"/>
      <c r="AN14" s="110"/>
      <c r="AO14" s="110"/>
      <c r="AP14" s="110"/>
      <c r="AQ14" s="110"/>
      <c r="AR14" s="110"/>
      <c r="AS14" s="110"/>
      <c r="AT14" s="110"/>
      <c r="AU14" s="110"/>
      <c r="AV14" s="110"/>
      <c r="AW14" s="110"/>
      <c r="AX14" s="110"/>
      <c r="AY14" s="110"/>
      <c r="AZ14" s="110"/>
      <c r="BA14" s="110"/>
      <c r="BB14" s="110"/>
      <c r="BC14" s="110"/>
      <c r="BD14" s="110"/>
      <c r="BE14" s="110"/>
      <c r="BF14" s="110"/>
      <c r="BG14" s="110"/>
      <c r="BH14" s="110"/>
      <c r="BI14" s="110"/>
      <c r="BJ14" s="110"/>
      <c r="BK14" s="110"/>
      <c r="BL14" s="110"/>
      <c r="BM14" s="110"/>
      <c r="BN14" s="110"/>
      <c r="BO14" s="110"/>
      <c r="BP14" s="110"/>
      <c r="BQ14" s="110"/>
      <c r="BR14" s="110"/>
      <c r="BS14" s="110"/>
      <c r="BT14" s="110"/>
      <c r="BU14" s="110"/>
      <c r="BV14" s="110"/>
      <c r="BW14" s="110"/>
      <c r="BX14" s="110"/>
      <c r="BY14" s="110"/>
      <c r="BZ14" s="110"/>
      <c r="CA14" s="110"/>
      <c r="CB14" s="110"/>
      <c r="CC14" s="110"/>
      <c r="CD14" s="110"/>
      <c r="CE14" s="110"/>
      <c r="CF14" s="110"/>
      <c r="CG14" s="110"/>
      <c r="CH14" s="110"/>
      <c r="CI14" s="110"/>
      <c r="CJ14" s="110"/>
      <c r="CK14" s="110"/>
      <c r="CL14" s="110"/>
      <c r="CM14" s="110"/>
      <c r="CN14" s="110"/>
      <c r="CO14" s="110"/>
      <c r="CP14" s="110"/>
      <c r="CQ14" s="110"/>
      <c r="CR14" s="110"/>
      <c r="CS14" s="110"/>
      <c r="CT14" s="110"/>
      <c r="CU14" s="110"/>
      <c r="CV14" s="110"/>
      <c r="CW14" s="110"/>
      <c r="CX14" s="110"/>
      <c r="CY14" s="110"/>
      <c r="CZ14" s="110"/>
      <c r="DA14" s="110"/>
      <c r="DB14" s="110"/>
      <c r="DC14" s="110"/>
      <c r="DD14" s="110"/>
      <c r="DE14" s="110"/>
      <c r="DF14" s="110"/>
      <c r="DG14" s="110"/>
      <c r="DH14" s="110"/>
      <c r="DI14" s="110"/>
      <c r="DJ14" s="110"/>
      <c r="DK14" s="110"/>
      <c r="DL14" s="110"/>
      <c r="DM14" s="110"/>
      <c r="DN14" s="110"/>
      <c r="DO14" s="110"/>
      <c r="DP14" s="110"/>
      <c r="DQ14" s="110"/>
      <c r="DR14" s="110"/>
      <c r="DS14" s="110"/>
      <c r="DT14" s="110"/>
      <c r="DU14" s="110"/>
      <c r="DV14" s="110"/>
      <c r="DW14" s="110"/>
      <c r="DX14" s="110"/>
      <c r="DY14" s="110"/>
      <c r="DZ14" s="110"/>
      <c r="EA14" s="110"/>
      <c r="EB14" s="110"/>
      <c r="EC14" s="110"/>
      <c r="ED14" s="110"/>
      <c r="EE14" s="110"/>
      <c r="EF14" s="110"/>
      <c r="EG14" s="110"/>
      <c r="EH14" s="110"/>
      <c r="EI14" s="110"/>
      <c r="EJ14" s="110"/>
      <c r="EK14" s="110"/>
      <c r="EL14" s="110"/>
      <c r="EM14" s="110"/>
      <c r="EN14" s="110"/>
      <c r="EO14" s="110"/>
      <c r="EP14" s="110"/>
      <c r="EQ14" s="110"/>
      <c r="ER14" s="110"/>
      <c r="ES14" s="110"/>
      <c r="ET14" s="110"/>
      <c r="EU14" s="110"/>
    </row>
    <row r="15" spans="1:151" x14ac:dyDescent="0.2">
      <c r="A15" s="107" t="s">
        <v>67</v>
      </c>
      <c r="B15" s="297"/>
      <c r="C15" s="108" t="s">
        <v>53</v>
      </c>
      <c r="D15" s="298"/>
      <c r="E15" s="109">
        <v>191.34</v>
      </c>
      <c r="F15" s="109">
        <v>191.34</v>
      </c>
      <c r="G15" s="109">
        <v>233.86</v>
      </c>
      <c r="H15" s="214">
        <v>255.45</v>
      </c>
      <c r="I15" s="107" t="str">
        <f t="shared" si="0"/>
        <v>N</v>
      </c>
      <c r="J15" s="93"/>
      <c r="K15" s="110"/>
      <c r="L15" s="110"/>
      <c r="M15" s="110"/>
      <c r="N15" s="110"/>
      <c r="O15" s="110"/>
      <c r="P15" s="110"/>
      <c r="Q15" s="110"/>
      <c r="R15" s="110"/>
      <c r="S15" s="110"/>
      <c r="T15" s="110"/>
      <c r="U15" s="110"/>
      <c r="V15" s="110"/>
      <c r="W15" s="110"/>
      <c r="X15" s="110"/>
      <c r="Y15" s="110"/>
      <c r="Z15" s="110"/>
      <c r="AA15" s="110"/>
      <c r="AB15" s="110"/>
      <c r="AC15" s="110"/>
      <c r="AD15" s="110"/>
      <c r="AE15" s="110"/>
      <c r="AF15" s="110"/>
      <c r="AG15" s="110"/>
      <c r="AH15" s="110"/>
      <c r="AI15" s="110"/>
      <c r="AJ15" s="110"/>
      <c r="AK15" s="110"/>
      <c r="AL15" s="110"/>
      <c r="AM15" s="110"/>
      <c r="AN15" s="110"/>
      <c r="AO15" s="110"/>
      <c r="AP15" s="110"/>
      <c r="AQ15" s="110"/>
      <c r="AR15" s="110"/>
      <c r="AS15" s="110"/>
      <c r="AT15" s="110"/>
      <c r="AU15" s="110"/>
      <c r="AV15" s="110"/>
      <c r="AW15" s="110"/>
      <c r="AX15" s="110"/>
      <c r="AY15" s="110"/>
      <c r="AZ15" s="110"/>
      <c r="BA15" s="110"/>
      <c r="BB15" s="110"/>
      <c r="BC15" s="110"/>
      <c r="BD15" s="110"/>
      <c r="BE15" s="110"/>
      <c r="BF15" s="110"/>
      <c r="BG15" s="110"/>
      <c r="BH15" s="110"/>
      <c r="BI15" s="110"/>
      <c r="BJ15" s="110"/>
      <c r="BK15" s="110"/>
      <c r="BL15" s="110"/>
      <c r="BM15" s="110"/>
      <c r="BN15" s="110"/>
      <c r="BO15" s="110"/>
      <c r="BP15" s="110"/>
      <c r="BQ15" s="110"/>
      <c r="BR15" s="110"/>
      <c r="BS15" s="110"/>
      <c r="BT15" s="110"/>
      <c r="BU15" s="110"/>
      <c r="BV15" s="110"/>
      <c r="BW15" s="110"/>
      <c r="BX15" s="110"/>
      <c r="BY15" s="110"/>
      <c r="BZ15" s="110"/>
      <c r="CA15" s="110"/>
      <c r="CB15" s="110"/>
      <c r="CC15" s="110"/>
      <c r="CD15" s="110"/>
      <c r="CE15" s="110"/>
      <c r="CF15" s="110"/>
      <c r="CG15" s="110"/>
      <c r="CH15" s="110"/>
      <c r="CI15" s="110"/>
      <c r="CJ15" s="110"/>
      <c r="CK15" s="110"/>
      <c r="CL15" s="110"/>
      <c r="CM15" s="110"/>
      <c r="CN15" s="110"/>
      <c r="CO15" s="110"/>
      <c r="CP15" s="110"/>
      <c r="CQ15" s="110"/>
      <c r="CR15" s="110"/>
      <c r="CS15" s="110"/>
      <c r="CT15" s="110"/>
      <c r="CU15" s="110"/>
      <c r="CV15" s="110"/>
      <c r="CW15" s="110"/>
      <c r="CX15" s="110"/>
      <c r="CY15" s="110"/>
      <c r="CZ15" s="110"/>
      <c r="DA15" s="110"/>
      <c r="DB15" s="110"/>
      <c r="DC15" s="110"/>
      <c r="DD15" s="110"/>
      <c r="DE15" s="110"/>
      <c r="DF15" s="110"/>
      <c r="DG15" s="110"/>
      <c r="DH15" s="110"/>
      <c r="DI15" s="110"/>
      <c r="DJ15" s="110"/>
      <c r="DK15" s="110"/>
      <c r="DL15" s="110"/>
      <c r="DM15" s="110"/>
      <c r="DN15" s="110"/>
      <c r="DO15" s="110"/>
      <c r="DP15" s="110"/>
      <c r="DQ15" s="110"/>
      <c r="DR15" s="110"/>
      <c r="DS15" s="110"/>
      <c r="DT15" s="110"/>
      <c r="DU15" s="110"/>
      <c r="DV15" s="110"/>
      <c r="DW15" s="110"/>
      <c r="DX15" s="110"/>
      <c r="DY15" s="110"/>
      <c r="DZ15" s="110"/>
      <c r="EA15" s="110"/>
      <c r="EB15" s="110"/>
      <c r="EC15" s="110"/>
      <c r="ED15" s="110"/>
      <c r="EE15" s="110"/>
      <c r="EF15" s="110"/>
      <c r="EG15" s="110"/>
      <c r="EH15" s="110"/>
      <c r="EI15" s="110"/>
      <c r="EJ15" s="110"/>
      <c r="EK15" s="110"/>
      <c r="EL15" s="110"/>
      <c r="EM15" s="110"/>
      <c r="EN15" s="110"/>
      <c r="EO15" s="110"/>
      <c r="EP15" s="110"/>
      <c r="EQ15" s="110"/>
      <c r="ER15" s="110"/>
      <c r="ES15" s="110"/>
      <c r="ET15" s="110"/>
      <c r="EU15" s="110"/>
    </row>
    <row r="16" spans="1:151" x14ac:dyDescent="0.2">
      <c r="A16" s="107" t="s">
        <v>68</v>
      </c>
      <c r="B16" s="297"/>
      <c r="C16" s="108" t="s">
        <v>71</v>
      </c>
      <c r="D16" s="298"/>
      <c r="E16" s="109">
        <v>8091.53</v>
      </c>
      <c r="F16" s="109">
        <v>8091.53</v>
      </c>
      <c r="G16" s="109">
        <v>9889.65</v>
      </c>
      <c r="H16" s="214">
        <v>7571.1</v>
      </c>
      <c r="I16" s="107" t="str">
        <f t="shared" si="0"/>
        <v>N</v>
      </c>
      <c r="J16" s="93"/>
      <c r="K16" s="110"/>
      <c r="L16" s="110"/>
      <c r="M16" s="110"/>
      <c r="N16" s="110"/>
      <c r="O16" s="110"/>
      <c r="P16" s="110"/>
      <c r="Q16" s="110"/>
      <c r="R16" s="110"/>
      <c r="S16" s="110"/>
      <c r="T16" s="110"/>
      <c r="U16" s="110"/>
      <c r="V16" s="110"/>
      <c r="W16" s="110"/>
      <c r="X16" s="110"/>
      <c r="Y16" s="110"/>
      <c r="Z16" s="110"/>
      <c r="AA16" s="110"/>
      <c r="AB16" s="110"/>
      <c r="AC16" s="110"/>
      <c r="AD16" s="110"/>
      <c r="AE16" s="110"/>
      <c r="AF16" s="110"/>
      <c r="AG16" s="110"/>
      <c r="AH16" s="110"/>
      <c r="AI16" s="110"/>
      <c r="AJ16" s="110"/>
      <c r="AK16" s="110"/>
      <c r="AL16" s="110"/>
      <c r="AM16" s="110"/>
      <c r="AN16" s="110"/>
      <c r="AO16" s="110"/>
      <c r="AP16" s="110"/>
      <c r="AQ16" s="110"/>
      <c r="AR16" s="110"/>
      <c r="AS16" s="110"/>
      <c r="AT16" s="110"/>
      <c r="AU16" s="110"/>
      <c r="AV16" s="110"/>
      <c r="AW16" s="110"/>
      <c r="AX16" s="110"/>
      <c r="AY16" s="110"/>
      <c r="AZ16" s="110"/>
      <c r="BA16" s="110"/>
      <c r="BB16" s="110"/>
      <c r="BC16" s="110"/>
      <c r="BD16" s="110"/>
      <c r="BE16" s="110"/>
      <c r="BF16" s="110"/>
      <c r="BG16" s="110"/>
      <c r="BH16" s="110"/>
      <c r="BI16" s="110"/>
      <c r="BJ16" s="110"/>
      <c r="BK16" s="110"/>
      <c r="BL16" s="110"/>
      <c r="BM16" s="110"/>
      <c r="BN16" s="110"/>
      <c r="BO16" s="110"/>
      <c r="BP16" s="110"/>
      <c r="BQ16" s="110"/>
      <c r="BR16" s="110"/>
      <c r="BS16" s="110"/>
      <c r="BT16" s="110"/>
      <c r="BU16" s="110"/>
      <c r="BV16" s="110"/>
      <c r="BW16" s="110"/>
      <c r="BX16" s="110"/>
      <c r="BY16" s="110"/>
      <c r="BZ16" s="110"/>
      <c r="CA16" s="110"/>
      <c r="CB16" s="110"/>
      <c r="CC16" s="110"/>
      <c r="CD16" s="110"/>
      <c r="CE16" s="110"/>
      <c r="CF16" s="110"/>
      <c r="CG16" s="110"/>
      <c r="CH16" s="110"/>
      <c r="CI16" s="110"/>
      <c r="CJ16" s="110"/>
      <c r="CK16" s="110"/>
      <c r="CL16" s="110"/>
      <c r="CM16" s="110"/>
      <c r="CN16" s="110"/>
      <c r="CO16" s="110"/>
      <c r="CP16" s="110"/>
      <c r="CQ16" s="110"/>
      <c r="CR16" s="110"/>
      <c r="CS16" s="110"/>
      <c r="CT16" s="110"/>
      <c r="CU16" s="110"/>
      <c r="CV16" s="110"/>
      <c r="CW16" s="110"/>
      <c r="CX16" s="110"/>
      <c r="CY16" s="110"/>
      <c r="CZ16" s="110"/>
      <c r="DA16" s="110"/>
      <c r="DB16" s="110"/>
      <c r="DC16" s="110"/>
      <c r="DD16" s="110"/>
      <c r="DE16" s="110"/>
      <c r="DF16" s="110"/>
      <c r="DG16" s="110"/>
      <c r="DH16" s="110"/>
      <c r="DI16" s="110"/>
      <c r="DJ16" s="110"/>
      <c r="DK16" s="110"/>
      <c r="DL16" s="110"/>
      <c r="DM16" s="110"/>
      <c r="DN16" s="110"/>
      <c r="DO16" s="110"/>
      <c r="DP16" s="110"/>
      <c r="DQ16" s="110"/>
      <c r="DR16" s="110"/>
      <c r="DS16" s="110"/>
      <c r="DT16" s="110"/>
      <c r="DU16" s="110"/>
      <c r="DV16" s="110"/>
      <c r="DW16" s="110"/>
      <c r="DX16" s="110"/>
      <c r="DY16" s="110"/>
      <c r="DZ16" s="110"/>
      <c r="EA16" s="110"/>
      <c r="EB16" s="110"/>
      <c r="EC16" s="110"/>
      <c r="ED16" s="110"/>
      <c r="EE16" s="110"/>
      <c r="EF16" s="110"/>
      <c r="EG16" s="110"/>
      <c r="EH16" s="110"/>
      <c r="EI16" s="110"/>
      <c r="EJ16" s="110"/>
      <c r="EK16" s="110"/>
      <c r="EL16" s="110"/>
      <c r="EM16" s="110"/>
      <c r="EN16" s="110"/>
      <c r="EO16" s="110"/>
      <c r="EP16" s="110"/>
      <c r="EQ16" s="110"/>
      <c r="ER16" s="110"/>
      <c r="ES16" s="110"/>
      <c r="ET16" s="110"/>
      <c r="EU16" s="110"/>
    </row>
    <row r="17" spans="1:151" x14ac:dyDescent="0.2">
      <c r="A17" s="107" t="s">
        <v>69</v>
      </c>
      <c r="B17" s="299"/>
      <c r="C17" s="108" t="s">
        <v>54</v>
      </c>
      <c r="D17" s="170" t="s">
        <v>55</v>
      </c>
      <c r="E17" s="109">
        <v>3.42</v>
      </c>
      <c r="F17" s="109">
        <v>3.42</v>
      </c>
      <c r="G17" s="109">
        <v>4.18</v>
      </c>
      <c r="H17" s="214">
        <v>5.12</v>
      </c>
      <c r="I17" s="107" t="str">
        <f t="shared" si="0"/>
        <v>N</v>
      </c>
      <c r="J17" s="93"/>
      <c r="K17" s="110"/>
      <c r="L17" s="110"/>
      <c r="M17" s="110"/>
      <c r="N17" s="110"/>
      <c r="O17" s="110"/>
      <c r="P17" s="110"/>
      <c r="Q17" s="110"/>
      <c r="R17" s="110"/>
      <c r="S17" s="110"/>
      <c r="T17" s="110"/>
      <c r="U17" s="110"/>
      <c r="V17" s="110"/>
      <c r="W17" s="110"/>
      <c r="X17" s="110"/>
      <c r="Y17" s="110"/>
      <c r="Z17" s="110"/>
      <c r="AA17" s="110"/>
      <c r="AB17" s="110"/>
      <c r="AC17" s="110"/>
      <c r="AD17" s="110"/>
      <c r="AE17" s="110"/>
      <c r="AF17" s="110"/>
      <c r="AG17" s="110"/>
      <c r="AH17" s="110"/>
      <c r="AI17" s="110"/>
      <c r="AJ17" s="110"/>
      <c r="AK17" s="110"/>
      <c r="AL17" s="110"/>
      <c r="AM17" s="110"/>
      <c r="AN17" s="110"/>
      <c r="AO17" s="110"/>
      <c r="AP17" s="110"/>
      <c r="AQ17" s="110"/>
      <c r="AR17" s="110"/>
      <c r="AS17" s="110"/>
      <c r="AT17" s="110"/>
      <c r="AU17" s="110"/>
      <c r="AV17" s="110"/>
      <c r="AW17" s="110"/>
      <c r="AX17" s="110"/>
      <c r="AY17" s="110"/>
      <c r="AZ17" s="110"/>
      <c r="BA17" s="110"/>
      <c r="BB17" s="110"/>
      <c r="BC17" s="110"/>
      <c r="BD17" s="110"/>
      <c r="BE17" s="110"/>
      <c r="BF17" s="110"/>
      <c r="BG17" s="110"/>
      <c r="BH17" s="110"/>
      <c r="BI17" s="110"/>
      <c r="BJ17" s="110"/>
      <c r="BK17" s="110"/>
      <c r="BL17" s="110"/>
      <c r="BM17" s="110"/>
      <c r="BN17" s="110"/>
      <c r="BO17" s="110"/>
      <c r="BP17" s="110"/>
      <c r="BQ17" s="110"/>
      <c r="BR17" s="110"/>
      <c r="BS17" s="110"/>
      <c r="BT17" s="110"/>
      <c r="BU17" s="110"/>
      <c r="BV17" s="110"/>
      <c r="BW17" s="110"/>
      <c r="BX17" s="110"/>
      <c r="BY17" s="110"/>
      <c r="BZ17" s="110"/>
      <c r="CA17" s="110"/>
      <c r="CB17" s="110"/>
      <c r="CC17" s="110"/>
      <c r="CD17" s="110"/>
      <c r="CE17" s="110"/>
      <c r="CF17" s="110"/>
      <c r="CG17" s="110"/>
      <c r="CH17" s="110"/>
      <c r="CI17" s="110"/>
      <c r="CJ17" s="110"/>
      <c r="CK17" s="110"/>
      <c r="CL17" s="110"/>
      <c r="CM17" s="110"/>
      <c r="CN17" s="110"/>
      <c r="CO17" s="110"/>
      <c r="CP17" s="110"/>
      <c r="CQ17" s="110"/>
      <c r="CR17" s="110"/>
      <c r="CS17" s="110"/>
      <c r="CT17" s="110"/>
      <c r="CU17" s="110"/>
      <c r="CV17" s="110"/>
      <c r="CW17" s="110"/>
      <c r="CX17" s="110"/>
      <c r="CY17" s="110"/>
      <c r="CZ17" s="110"/>
      <c r="DA17" s="110"/>
      <c r="DB17" s="110"/>
      <c r="DC17" s="110"/>
      <c r="DD17" s="110"/>
      <c r="DE17" s="110"/>
      <c r="DF17" s="110"/>
      <c r="DG17" s="110"/>
      <c r="DH17" s="110"/>
      <c r="DI17" s="110"/>
      <c r="DJ17" s="110"/>
      <c r="DK17" s="110"/>
      <c r="DL17" s="110"/>
      <c r="DM17" s="110"/>
      <c r="DN17" s="110"/>
      <c r="DO17" s="110"/>
      <c r="DP17" s="110"/>
      <c r="DQ17" s="110"/>
      <c r="DR17" s="110"/>
      <c r="DS17" s="110"/>
      <c r="DT17" s="110"/>
      <c r="DU17" s="110"/>
      <c r="DV17" s="110"/>
      <c r="DW17" s="110"/>
      <c r="DX17" s="110"/>
      <c r="DY17" s="110"/>
      <c r="DZ17" s="110"/>
      <c r="EA17" s="110"/>
      <c r="EB17" s="110"/>
      <c r="EC17" s="110"/>
      <c r="ED17" s="110"/>
      <c r="EE17" s="110"/>
      <c r="EF17" s="110"/>
      <c r="EG17" s="110"/>
      <c r="EH17" s="110"/>
      <c r="EI17" s="110"/>
      <c r="EJ17" s="110"/>
      <c r="EK17" s="110"/>
      <c r="EL17" s="110"/>
      <c r="EM17" s="110"/>
      <c r="EN17" s="110"/>
      <c r="EO17" s="110"/>
      <c r="EP17" s="110"/>
      <c r="EQ17" s="110"/>
      <c r="ER17" s="110"/>
      <c r="ES17" s="110"/>
      <c r="ET17" s="110"/>
      <c r="EU17" s="110"/>
    </row>
    <row r="19" spans="1:151" x14ac:dyDescent="0.25">
      <c r="A19" s="300" t="s">
        <v>1286</v>
      </c>
      <c r="B19" s="300"/>
      <c r="C19" s="300"/>
      <c r="D19" s="300"/>
      <c r="E19" s="300"/>
      <c r="F19" s="300"/>
      <c r="G19" s="300"/>
      <c r="H19" s="300"/>
      <c r="I19" s="300"/>
    </row>
    <row r="20" spans="1:151" x14ac:dyDescent="0.2">
      <c r="A20" s="56"/>
      <c r="B20" s="56"/>
      <c r="C20" s="57"/>
      <c r="D20" s="58"/>
      <c r="E20" s="55"/>
      <c r="F20" s="55"/>
      <c r="G20" s="55"/>
      <c r="H20" s="55"/>
      <c r="I20" s="55"/>
    </row>
    <row r="21" spans="1:151" x14ac:dyDescent="0.2">
      <c r="A21" s="59"/>
      <c r="B21" s="59" t="s">
        <v>0</v>
      </c>
      <c r="C21" s="60" t="s">
        <v>20</v>
      </c>
      <c r="D21" s="61" t="s">
        <v>23</v>
      </c>
      <c r="E21" s="62"/>
      <c r="F21" s="63" t="s">
        <v>6</v>
      </c>
      <c r="G21" s="63" t="s">
        <v>1</v>
      </c>
      <c r="H21" s="213" t="s">
        <v>17</v>
      </c>
      <c r="I21" s="63" t="s">
        <v>2</v>
      </c>
    </row>
    <row r="22" spans="1:151" ht="25.5" x14ac:dyDescent="0.25">
      <c r="A22" s="199" t="s">
        <v>215</v>
      </c>
      <c r="B22" s="261" t="s">
        <v>18</v>
      </c>
      <c r="C22" s="261" t="s">
        <v>333</v>
      </c>
      <c r="D22" s="65" t="s">
        <v>413</v>
      </c>
      <c r="E22" s="65"/>
      <c r="F22" s="66" t="s">
        <v>334</v>
      </c>
      <c r="G22" s="66" t="s">
        <v>414</v>
      </c>
      <c r="H22" s="67" t="s">
        <v>385</v>
      </c>
      <c r="I22" s="68"/>
    </row>
    <row r="23" spans="1:151" x14ac:dyDescent="0.25">
      <c r="A23" s="199" t="s">
        <v>217</v>
      </c>
      <c r="B23" s="262"/>
      <c r="C23" s="262"/>
      <c r="D23" s="65" t="s">
        <v>415</v>
      </c>
      <c r="E23" s="65"/>
      <c r="F23" s="66"/>
      <c r="G23" s="66" t="s">
        <v>416</v>
      </c>
      <c r="H23" s="67" t="s">
        <v>3</v>
      </c>
      <c r="I23" s="68"/>
    </row>
    <row r="24" spans="1:151" ht="51" x14ac:dyDescent="0.25">
      <c r="A24" s="199" t="s">
        <v>218</v>
      </c>
      <c r="B24" s="262"/>
      <c r="C24" s="262"/>
      <c r="D24" s="64" t="s">
        <v>417</v>
      </c>
      <c r="E24" s="65"/>
      <c r="F24" s="66" t="s">
        <v>35</v>
      </c>
      <c r="G24" s="66" t="s">
        <v>418</v>
      </c>
      <c r="H24" s="67" t="s">
        <v>3</v>
      </c>
      <c r="I24" s="68"/>
    </row>
    <row r="25" spans="1:151" ht="25.5" x14ac:dyDescent="0.25">
      <c r="A25" s="199" t="s">
        <v>219</v>
      </c>
      <c r="B25" s="262"/>
      <c r="C25" s="262"/>
      <c r="D25" s="168" t="s">
        <v>27</v>
      </c>
      <c r="E25" s="258"/>
      <c r="F25" s="66"/>
      <c r="G25" s="66" t="s">
        <v>419</v>
      </c>
      <c r="H25" s="67" t="s">
        <v>3</v>
      </c>
      <c r="I25" s="68"/>
    </row>
    <row r="26" spans="1:151" ht="51" x14ac:dyDescent="0.25">
      <c r="A26" s="199" t="s">
        <v>1285</v>
      </c>
      <c r="B26" s="263"/>
      <c r="C26" s="263"/>
      <c r="D26" s="69"/>
      <c r="E26" s="260"/>
      <c r="F26" s="66" t="s">
        <v>24</v>
      </c>
      <c r="G26" s="66" t="s">
        <v>420</v>
      </c>
      <c r="H26" s="67" t="s">
        <v>3</v>
      </c>
      <c r="I26" s="68"/>
    </row>
    <row r="27" spans="1:151" ht="408" x14ac:dyDescent="0.25">
      <c r="A27" s="199" t="s">
        <v>1284</v>
      </c>
      <c r="B27" s="261" t="s">
        <v>19</v>
      </c>
      <c r="C27" s="261" t="s">
        <v>19</v>
      </c>
      <c r="D27" s="65" t="s">
        <v>421</v>
      </c>
      <c r="E27" s="65"/>
      <c r="F27" s="212" t="s">
        <v>21</v>
      </c>
      <c r="G27" s="68" t="s">
        <v>422</v>
      </c>
      <c r="H27" s="67" t="s">
        <v>3</v>
      </c>
      <c r="I27" s="68"/>
    </row>
    <row r="28" spans="1:151" ht="25.5" x14ac:dyDescent="0.25">
      <c r="A28" s="199" t="s">
        <v>1283</v>
      </c>
      <c r="B28" s="262"/>
      <c r="C28" s="262"/>
      <c r="D28" s="70" t="s">
        <v>423</v>
      </c>
      <c r="E28" s="258"/>
      <c r="F28" s="161"/>
      <c r="G28" s="165" t="s">
        <v>424</v>
      </c>
      <c r="H28" s="67" t="s">
        <v>3</v>
      </c>
      <c r="I28" s="68"/>
    </row>
    <row r="29" spans="1:151" s="210" customFormat="1" ht="25.5" x14ac:dyDescent="0.25">
      <c r="A29" s="199" t="s">
        <v>1282</v>
      </c>
      <c r="B29" s="71"/>
      <c r="C29" s="262"/>
      <c r="D29" s="72"/>
      <c r="E29" s="259"/>
      <c r="F29" s="211"/>
      <c r="G29" s="73" t="s">
        <v>425</v>
      </c>
      <c r="H29" s="67" t="s">
        <v>3</v>
      </c>
      <c r="I29" s="74"/>
    </row>
    <row r="30" spans="1:151" s="210" customFormat="1" ht="25.5" x14ac:dyDescent="0.25">
      <c r="A30" s="199" t="s">
        <v>1281</v>
      </c>
      <c r="B30" s="71"/>
      <c r="C30" s="262"/>
      <c r="D30" s="72"/>
      <c r="E30" s="259"/>
      <c r="F30" s="211"/>
      <c r="G30" s="73" t="s">
        <v>426</v>
      </c>
      <c r="H30" s="67" t="s">
        <v>3</v>
      </c>
      <c r="I30" s="74"/>
    </row>
    <row r="31" spans="1:151" s="210" customFormat="1" x14ac:dyDescent="0.25">
      <c r="A31" s="199" t="s">
        <v>1280</v>
      </c>
      <c r="B31" s="71"/>
      <c r="C31" s="263"/>
      <c r="D31" s="75"/>
      <c r="E31" s="260"/>
      <c r="F31" s="211"/>
      <c r="G31" s="73" t="s">
        <v>427</v>
      </c>
      <c r="H31" s="67" t="s">
        <v>3</v>
      </c>
      <c r="I31" s="74" t="s">
        <v>1279</v>
      </c>
    </row>
    <row r="32" spans="1:151" ht="25.5" x14ac:dyDescent="0.25">
      <c r="A32" s="199" t="s">
        <v>1278</v>
      </c>
      <c r="B32" s="276" t="s">
        <v>428</v>
      </c>
      <c r="C32" s="270" t="s">
        <v>429</v>
      </c>
      <c r="D32" s="76" t="s">
        <v>327</v>
      </c>
      <c r="E32" s="76"/>
      <c r="F32" s="166" t="s">
        <v>328</v>
      </c>
      <c r="G32" s="68" t="s">
        <v>430</v>
      </c>
      <c r="H32" s="67" t="s">
        <v>3</v>
      </c>
      <c r="I32" s="68"/>
    </row>
    <row r="33" spans="1:9" x14ac:dyDescent="0.25">
      <c r="A33" s="199" t="s">
        <v>1277</v>
      </c>
      <c r="B33" s="277"/>
      <c r="C33" s="271"/>
      <c r="D33" s="77"/>
      <c r="E33" s="78"/>
      <c r="F33" s="166"/>
      <c r="G33" s="68" t="s">
        <v>431</v>
      </c>
      <c r="H33" s="67" t="s">
        <v>3</v>
      </c>
      <c r="I33" s="68"/>
    </row>
    <row r="34" spans="1:9" ht="76.5" x14ac:dyDescent="0.25">
      <c r="A34" s="199" t="s">
        <v>1276</v>
      </c>
      <c r="B34" s="277"/>
      <c r="C34" s="271"/>
      <c r="D34" s="77"/>
      <c r="E34" s="77"/>
      <c r="F34" s="68" t="s">
        <v>82</v>
      </c>
      <c r="G34" s="68" t="s">
        <v>432</v>
      </c>
      <c r="H34" s="67" t="s">
        <v>3</v>
      </c>
      <c r="I34" s="68"/>
    </row>
    <row r="35" spans="1:9" ht="25.5" x14ac:dyDescent="0.25">
      <c r="A35" s="199" t="s">
        <v>1275</v>
      </c>
      <c r="B35" s="277"/>
      <c r="C35" s="271"/>
      <c r="D35" s="77"/>
      <c r="E35" s="77"/>
      <c r="F35" s="68"/>
      <c r="G35" s="68" t="s">
        <v>433</v>
      </c>
      <c r="H35" s="67" t="s">
        <v>3</v>
      </c>
      <c r="I35" s="68"/>
    </row>
    <row r="36" spans="1:9" x14ac:dyDescent="0.25">
      <c r="A36" s="199" t="s">
        <v>1274</v>
      </c>
      <c r="B36" s="277"/>
      <c r="C36" s="271"/>
      <c r="D36" s="78"/>
      <c r="E36" s="78"/>
      <c r="F36" s="68"/>
      <c r="G36" s="68" t="s">
        <v>434</v>
      </c>
      <c r="H36" s="67" t="s">
        <v>3</v>
      </c>
      <c r="I36" s="68" t="s">
        <v>1273</v>
      </c>
    </row>
    <row r="37" spans="1:9" ht="38.25" x14ac:dyDescent="0.25">
      <c r="A37" s="199" t="s">
        <v>1272</v>
      </c>
      <c r="B37" s="277"/>
      <c r="C37" s="271"/>
      <c r="D37" s="76" t="s">
        <v>435</v>
      </c>
      <c r="E37" s="273"/>
      <c r="F37" s="68" t="s">
        <v>329</v>
      </c>
      <c r="G37" s="68" t="s">
        <v>436</v>
      </c>
      <c r="H37" s="67" t="s">
        <v>3</v>
      </c>
      <c r="I37" s="68"/>
    </row>
    <row r="38" spans="1:9" ht="76.5" x14ac:dyDescent="0.25">
      <c r="A38" s="199" t="s">
        <v>1271</v>
      </c>
      <c r="B38" s="277"/>
      <c r="C38" s="271"/>
      <c r="D38" s="77"/>
      <c r="E38" s="274"/>
      <c r="F38" s="68"/>
      <c r="G38" s="68" t="s">
        <v>437</v>
      </c>
      <c r="H38" s="67" t="s">
        <v>3</v>
      </c>
      <c r="I38" s="68"/>
    </row>
    <row r="39" spans="1:9" ht="25.5" x14ac:dyDescent="0.25">
      <c r="A39" s="199" t="s">
        <v>1270</v>
      </c>
      <c r="B39" s="277"/>
      <c r="C39" s="271"/>
      <c r="D39" s="78"/>
      <c r="E39" s="275"/>
      <c r="F39" s="68"/>
      <c r="G39" s="68" t="s">
        <v>438</v>
      </c>
      <c r="H39" s="67" t="s">
        <v>3</v>
      </c>
      <c r="I39" s="68"/>
    </row>
    <row r="40" spans="1:9" x14ac:dyDescent="0.25">
      <c r="A40" s="199" t="s">
        <v>1269</v>
      </c>
      <c r="B40" s="277"/>
      <c r="C40" s="271"/>
      <c r="D40" s="77"/>
      <c r="E40" s="162"/>
      <c r="F40" s="68"/>
      <c r="G40" s="68" t="s">
        <v>1111</v>
      </c>
      <c r="H40" s="67" t="s">
        <v>3</v>
      </c>
      <c r="I40" s="68" t="s">
        <v>1010</v>
      </c>
    </row>
    <row r="41" spans="1:9" ht="51" x14ac:dyDescent="0.25">
      <c r="A41" s="199" t="s">
        <v>1268</v>
      </c>
      <c r="B41" s="277"/>
      <c r="C41" s="271"/>
      <c r="D41" s="70" t="s">
        <v>439</v>
      </c>
      <c r="E41" s="258"/>
      <c r="F41" s="68" t="s">
        <v>83</v>
      </c>
      <c r="G41" s="68" t="s">
        <v>440</v>
      </c>
      <c r="H41" s="67" t="s">
        <v>3</v>
      </c>
      <c r="I41" s="68"/>
    </row>
    <row r="42" spans="1:9" ht="25.5" x14ac:dyDescent="0.25">
      <c r="A42" s="199" t="s">
        <v>1267</v>
      </c>
      <c r="B42" s="277"/>
      <c r="C42" s="271"/>
      <c r="D42" s="72"/>
      <c r="E42" s="259"/>
      <c r="F42" s="68"/>
      <c r="G42" s="68" t="s">
        <v>441</v>
      </c>
      <c r="H42" s="67" t="s">
        <v>3</v>
      </c>
      <c r="I42" s="68"/>
    </row>
    <row r="43" spans="1:9" x14ac:dyDescent="0.25">
      <c r="A43" s="199" t="s">
        <v>1266</v>
      </c>
      <c r="B43" s="277"/>
      <c r="C43" s="271"/>
      <c r="D43" s="72"/>
      <c r="E43" s="259"/>
      <c r="F43" s="68"/>
      <c r="G43" s="68" t="s">
        <v>442</v>
      </c>
      <c r="H43" s="67" t="s">
        <v>3</v>
      </c>
      <c r="I43" s="68"/>
    </row>
    <row r="44" spans="1:9" ht="25.5" x14ac:dyDescent="0.25">
      <c r="A44" s="199" t="s">
        <v>1265</v>
      </c>
      <c r="B44" s="277"/>
      <c r="C44" s="271"/>
      <c r="D44" s="72"/>
      <c r="E44" s="259"/>
      <c r="F44" s="68"/>
      <c r="G44" s="68" t="s">
        <v>1264</v>
      </c>
      <c r="H44" s="67" t="s">
        <v>3</v>
      </c>
      <c r="I44" s="68"/>
    </row>
    <row r="45" spans="1:9" x14ac:dyDescent="0.25">
      <c r="A45" s="199" t="s">
        <v>1263</v>
      </c>
      <c r="B45" s="277"/>
      <c r="C45" s="271"/>
      <c r="D45" s="72"/>
      <c r="E45" s="259"/>
      <c r="F45" s="68"/>
      <c r="G45" s="68" t="s">
        <v>1262</v>
      </c>
      <c r="H45" s="67" t="s">
        <v>3</v>
      </c>
      <c r="I45" s="68" t="s">
        <v>896</v>
      </c>
    </row>
    <row r="46" spans="1:9" x14ac:dyDescent="0.25">
      <c r="A46" s="199" t="s">
        <v>1261</v>
      </c>
      <c r="B46" s="277"/>
      <c r="C46" s="271"/>
      <c r="D46" s="72"/>
      <c r="E46" s="259"/>
      <c r="F46" s="68"/>
      <c r="G46" s="68" t="s">
        <v>443</v>
      </c>
      <c r="H46" s="67" t="s">
        <v>3</v>
      </c>
      <c r="I46" s="68"/>
    </row>
    <row r="47" spans="1:9" ht="25.5" x14ac:dyDescent="0.25">
      <c r="A47" s="199" t="s">
        <v>1260</v>
      </c>
      <c r="B47" s="277"/>
      <c r="C47" s="271"/>
      <c r="D47" s="72"/>
      <c r="E47" s="259"/>
      <c r="F47" s="68"/>
      <c r="G47" s="68" t="s">
        <v>444</v>
      </c>
      <c r="H47" s="67" t="s">
        <v>3</v>
      </c>
      <c r="I47" s="68"/>
    </row>
    <row r="48" spans="1:9" x14ac:dyDescent="0.25">
      <c r="A48" s="199" t="s">
        <v>1259</v>
      </c>
      <c r="B48" s="277"/>
      <c r="C48" s="271"/>
      <c r="D48" s="72"/>
      <c r="E48" s="259"/>
      <c r="F48" s="68"/>
      <c r="G48" s="68" t="s">
        <v>445</v>
      </c>
      <c r="H48" s="67" t="s">
        <v>3</v>
      </c>
      <c r="I48" s="68"/>
    </row>
    <row r="49" spans="1:9" ht="25.5" x14ac:dyDescent="0.25">
      <c r="A49" s="199" t="s">
        <v>1258</v>
      </c>
      <c r="B49" s="277"/>
      <c r="C49" s="271"/>
      <c r="D49" s="75"/>
      <c r="E49" s="260"/>
      <c r="F49" s="68"/>
      <c r="G49" s="68" t="s">
        <v>446</v>
      </c>
      <c r="H49" s="67" t="s">
        <v>3</v>
      </c>
      <c r="I49" s="68"/>
    </row>
    <row r="50" spans="1:9" x14ac:dyDescent="0.25">
      <c r="A50" s="199" t="s">
        <v>1257</v>
      </c>
      <c r="B50" s="277"/>
      <c r="C50" s="271"/>
      <c r="D50" s="77"/>
      <c r="E50" s="162"/>
      <c r="F50" s="68"/>
      <c r="G50" s="68" t="s">
        <v>1116</v>
      </c>
      <c r="H50" s="67" t="s">
        <v>3</v>
      </c>
      <c r="I50" s="68" t="s">
        <v>1010</v>
      </c>
    </row>
    <row r="51" spans="1:9" ht="51" x14ac:dyDescent="0.25">
      <c r="A51" s="199" t="s">
        <v>1256</v>
      </c>
      <c r="B51" s="277"/>
      <c r="C51" s="271"/>
      <c r="D51" s="70" t="s">
        <v>447</v>
      </c>
      <c r="E51" s="258"/>
      <c r="F51" s="68" t="s">
        <v>448</v>
      </c>
      <c r="G51" s="68" t="s">
        <v>449</v>
      </c>
      <c r="H51" s="67" t="s">
        <v>3</v>
      </c>
      <c r="I51" s="68"/>
    </row>
    <row r="52" spans="1:9" x14ac:dyDescent="0.25">
      <c r="A52" s="199" t="s">
        <v>1255</v>
      </c>
      <c r="B52" s="277"/>
      <c r="C52" s="271"/>
      <c r="D52" s="72"/>
      <c r="E52" s="259"/>
      <c r="F52" s="68"/>
      <c r="G52" s="68"/>
      <c r="H52" s="67" t="s">
        <v>3</v>
      </c>
      <c r="I52" s="68"/>
    </row>
    <row r="53" spans="1:9" ht="25.5" x14ac:dyDescent="0.25">
      <c r="A53" s="199" t="s">
        <v>1254</v>
      </c>
      <c r="B53" s="277"/>
      <c r="C53" s="271"/>
      <c r="D53" s="72"/>
      <c r="E53" s="259"/>
      <c r="F53" s="68"/>
      <c r="G53" s="68" t="s">
        <v>441</v>
      </c>
      <c r="H53" s="67" t="s">
        <v>3</v>
      </c>
      <c r="I53" s="68"/>
    </row>
    <row r="54" spans="1:9" x14ac:dyDescent="0.25">
      <c r="A54" s="199" t="s">
        <v>1253</v>
      </c>
      <c r="B54" s="277"/>
      <c r="C54" s="271"/>
      <c r="D54" s="72"/>
      <c r="E54" s="259"/>
      <c r="F54" s="68"/>
      <c r="G54" s="68" t="s">
        <v>442</v>
      </c>
      <c r="H54" s="67" t="s">
        <v>3</v>
      </c>
      <c r="I54" s="68"/>
    </row>
    <row r="55" spans="1:9" ht="25.5" x14ac:dyDescent="0.25">
      <c r="A55" s="199" t="s">
        <v>1252</v>
      </c>
      <c r="B55" s="277"/>
      <c r="C55" s="271"/>
      <c r="D55" s="72"/>
      <c r="E55" s="259"/>
      <c r="F55" s="68"/>
      <c r="G55" s="68" t="s">
        <v>450</v>
      </c>
      <c r="H55" s="67" t="s">
        <v>3</v>
      </c>
      <c r="I55" s="68"/>
    </row>
    <row r="56" spans="1:9" ht="38.25" x14ac:dyDescent="0.25">
      <c r="A56" s="199" t="s">
        <v>1251</v>
      </c>
      <c r="B56" s="277"/>
      <c r="C56" s="271"/>
      <c r="D56" s="72"/>
      <c r="E56" s="259"/>
      <c r="F56" s="68"/>
      <c r="G56" s="68" t="s">
        <v>451</v>
      </c>
      <c r="H56" s="67" t="s">
        <v>3</v>
      </c>
      <c r="I56" s="68"/>
    </row>
    <row r="57" spans="1:9" x14ac:dyDescent="0.25">
      <c r="A57" s="199" t="s">
        <v>1250</v>
      </c>
      <c r="B57" s="277"/>
      <c r="C57" s="271"/>
      <c r="D57" s="72"/>
      <c r="E57" s="259"/>
      <c r="F57" s="68"/>
      <c r="G57" s="68" t="s">
        <v>1249</v>
      </c>
      <c r="H57" s="67" t="s">
        <v>3</v>
      </c>
      <c r="I57" s="68" t="s">
        <v>896</v>
      </c>
    </row>
    <row r="58" spans="1:9" x14ac:dyDescent="0.25">
      <c r="A58" s="199" t="s">
        <v>1248</v>
      </c>
      <c r="B58" s="277"/>
      <c r="C58" s="271"/>
      <c r="D58" s="72"/>
      <c r="E58" s="259"/>
      <c r="F58" s="68"/>
      <c r="G58" s="68" t="s">
        <v>1247</v>
      </c>
      <c r="H58" s="67" t="s">
        <v>3</v>
      </c>
      <c r="I58" s="68"/>
    </row>
    <row r="59" spans="1:9" ht="25.5" x14ac:dyDescent="0.25">
      <c r="A59" s="199" t="s">
        <v>1246</v>
      </c>
      <c r="B59" s="277"/>
      <c r="C59" s="271"/>
      <c r="D59" s="72"/>
      <c r="E59" s="259"/>
      <c r="F59" s="68"/>
      <c r="G59" s="68" t="s">
        <v>1245</v>
      </c>
      <c r="H59" s="67" t="s">
        <v>3</v>
      </c>
      <c r="I59" s="68"/>
    </row>
    <row r="60" spans="1:9" x14ac:dyDescent="0.25">
      <c r="A60" s="199" t="s">
        <v>1244</v>
      </c>
      <c r="B60" s="277"/>
      <c r="C60" s="271"/>
      <c r="D60" s="72"/>
      <c r="E60" s="259"/>
      <c r="F60" s="68"/>
      <c r="G60" s="68" t="s">
        <v>1243</v>
      </c>
      <c r="H60" s="67" t="s">
        <v>3</v>
      </c>
      <c r="I60" s="68"/>
    </row>
    <row r="61" spans="1:9" ht="25.5" x14ac:dyDescent="0.25">
      <c r="A61" s="199" t="s">
        <v>1242</v>
      </c>
      <c r="B61" s="277"/>
      <c r="C61" s="271"/>
      <c r="D61" s="72"/>
      <c r="E61" s="259"/>
      <c r="F61" s="68"/>
      <c r="G61" s="68" t="s">
        <v>1241</v>
      </c>
      <c r="H61" s="67" t="s">
        <v>3</v>
      </c>
      <c r="I61" s="68" t="s">
        <v>1240</v>
      </c>
    </row>
    <row r="62" spans="1:9" ht="25.5" x14ac:dyDescent="0.25">
      <c r="A62" s="199" t="s">
        <v>1239</v>
      </c>
      <c r="B62" s="277"/>
      <c r="C62" s="271"/>
      <c r="D62" s="75"/>
      <c r="E62" s="260"/>
      <c r="F62" s="68"/>
      <c r="G62" s="68" t="s">
        <v>1238</v>
      </c>
      <c r="H62" s="67" t="s">
        <v>3</v>
      </c>
      <c r="I62" s="68"/>
    </row>
    <row r="63" spans="1:9" x14ac:dyDescent="0.25">
      <c r="A63" s="199" t="s">
        <v>1237</v>
      </c>
      <c r="B63" s="277"/>
      <c r="C63" s="271"/>
      <c r="D63" s="77"/>
      <c r="E63" s="162"/>
      <c r="F63" s="68"/>
      <c r="G63" s="68" t="s">
        <v>1236</v>
      </c>
      <c r="H63" s="67" t="s">
        <v>3</v>
      </c>
      <c r="I63" s="68" t="s">
        <v>1010</v>
      </c>
    </row>
    <row r="64" spans="1:9" ht="25.5" x14ac:dyDescent="0.25">
      <c r="A64" s="199" t="s">
        <v>1235</v>
      </c>
      <c r="B64" s="277"/>
      <c r="C64" s="271"/>
      <c r="D64" s="70" t="s">
        <v>1234</v>
      </c>
      <c r="E64" s="258"/>
      <c r="F64" s="68" t="s">
        <v>1233</v>
      </c>
      <c r="G64" s="68" t="s">
        <v>338</v>
      </c>
      <c r="H64" s="67" t="s">
        <v>3</v>
      </c>
      <c r="I64" s="68"/>
    </row>
    <row r="65" spans="1:9" ht="51" x14ac:dyDescent="0.25">
      <c r="A65" s="199" t="s">
        <v>1232</v>
      </c>
      <c r="B65" s="277"/>
      <c r="C65" s="271"/>
      <c r="D65" s="72"/>
      <c r="E65" s="259"/>
      <c r="F65" s="68"/>
      <c r="G65" s="68" t="s">
        <v>452</v>
      </c>
      <c r="H65" s="67" t="s">
        <v>3</v>
      </c>
      <c r="I65" s="68"/>
    </row>
    <row r="66" spans="1:9" ht="25.5" x14ac:dyDescent="0.25">
      <c r="A66" s="199" t="s">
        <v>1231</v>
      </c>
      <c r="B66" s="277"/>
      <c r="C66" s="271"/>
      <c r="D66" s="72"/>
      <c r="E66" s="259"/>
      <c r="F66" s="68"/>
      <c r="G66" s="68" t="s">
        <v>453</v>
      </c>
      <c r="H66" s="67" t="s">
        <v>3</v>
      </c>
      <c r="I66" s="68"/>
    </row>
    <row r="67" spans="1:9" ht="25.5" x14ac:dyDescent="0.25">
      <c r="A67" s="199" t="s">
        <v>1230</v>
      </c>
      <c r="B67" s="277"/>
      <c r="C67" s="271"/>
      <c r="D67" s="75"/>
      <c r="E67" s="260"/>
      <c r="F67" s="68"/>
      <c r="G67" s="68" t="s">
        <v>454</v>
      </c>
      <c r="H67" s="67" t="s">
        <v>3</v>
      </c>
      <c r="I67" s="68"/>
    </row>
    <row r="68" spans="1:9" x14ac:dyDescent="0.25">
      <c r="A68" s="199" t="s">
        <v>1229</v>
      </c>
      <c r="B68" s="277"/>
      <c r="C68" s="271"/>
      <c r="D68" s="77"/>
      <c r="E68" s="162"/>
      <c r="F68" s="68"/>
      <c r="G68" s="68" t="s">
        <v>1228</v>
      </c>
      <c r="H68" s="67" t="s">
        <v>3</v>
      </c>
      <c r="I68" s="68" t="s">
        <v>1010</v>
      </c>
    </row>
    <row r="69" spans="1:9" ht="63.75" x14ac:dyDescent="0.25">
      <c r="A69" s="199" t="s">
        <v>1227</v>
      </c>
      <c r="B69" s="277"/>
      <c r="C69" s="271"/>
      <c r="D69" s="258" t="s">
        <v>77</v>
      </c>
      <c r="E69" s="258"/>
      <c r="F69" s="68"/>
      <c r="G69" s="68" t="s">
        <v>455</v>
      </c>
      <c r="H69" s="67" t="s">
        <v>3</v>
      </c>
      <c r="I69" s="68"/>
    </row>
    <row r="70" spans="1:9" x14ac:dyDescent="0.25">
      <c r="A70" s="199" t="s">
        <v>1226</v>
      </c>
      <c r="B70" s="277"/>
      <c r="C70" s="271"/>
      <c r="D70" s="259"/>
      <c r="E70" s="259"/>
      <c r="F70" s="68"/>
      <c r="G70" s="68" t="s">
        <v>456</v>
      </c>
      <c r="H70" s="67" t="s">
        <v>3</v>
      </c>
      <c r="I70" s="68"/>
    </row>
    <row r="71" spans="1:9" x14ac:dyDescent="0.25">
      <c r="A71" s="199" t="s">
        <v>1225</v>
      </c>
      <c r="B71" s="277"/>
      <c r="C71" s="271"/>
      <c r="D71" s="259"/>
      <c r="E71" s="259"/>
      <c r="F71" s="68"/>
      <c r="G71" s="68" t="s">
        <v>457</v>
      </c>
      <c r="H71" s="67" t="s">
        <v>3</v>
      </c>
      <c r="I71" s="68"/>
    </row>
    <row r="72" spans="1:9" x14ac:dyDescent="0.25">
      <c r="A72" s="199" t="s">
        <v>1224</v>
      </c>
      <c r="B72" s="277"/>
      <c r="C72" s="271"/>
      <c r="D72" s="259"/>
      <c r="E72" s="259"/>
      <c r="F72" s="68"/>
      <c r="G72" s="68" t="s">
        <v>1223</v>
      </c>
      <c r="H72" s="67" t="s">
        <v>3</v>
      </c>
      <c r="I72" s="68"/>
    </row>
    <row r="73" spans="1:9" x14ac:dyDescent="0.25">
      <c r="A73" s="199" t="s">
        <v>1222</v>
      </c>
      <c r="B73" s="277"/>
      <c r="C73" s="271"/>
      <c r="D73" s="259"/>
      <c r="E73" s="259"/>
      <c r="F73" s="68"/>
      <c r="G73" s="68" t="s">
        <v>458</v>
      </c>
      <c r="H73" s="67" t="s">
        <v>3</v>
      </c>
      <c r="I73" s="68"/>
    </row>
    <row r="74" spans="1:9" ht="38.25" x14ac:dyDescent="0.25">
      <c r="A74" s="199" t="s">
        <v>1221</v>
      </c>
      <c r="B74" s="277"/>
      <c r="C74" s="271"/>
      <c r="D74" s="259"/>
      <c r="E74" s="259"/>
      <c r="F74" s="68"/>
      <c r="G74" s="68" t="s">
        <v>1220</v>
      </c>
      <c r="H74" s="67" t="s">
        <v>3</v>
      </c>
      <c r="I74" s="68"/>
    </row>
    <row r="75" spans="1:9" x14ac:dyDescent="0.25">
      <c r="A75" s="199" t="s">
        <v>1219</v>
      </c>
      <c r="B75" s="277"/>
      <c r="C75" s="271"/>
      <c r="D75" s="259"/>
      <c r="E75" s="259"/>
      <c r="F75" s="68"/>
      <c r="G75" s="68" t="s">
        <v>1079</v>
      </c>
      <c r="H75" s="67" t="s">
        <v>3</v>
      </c>
      <c r="I75" s="68" t="s">
        <v>1010</v>
      </c>
    </row>
    <row r="76" spans="1:9" x14ac:dyDescent="0.25">
      <c r="A76" s="199" t="s">
        <v>1218</v>
      </c>
      <c r="B76" s="277"/>
      <c r="C76" s="271"/>
      <c r="D76" s="260"/>
      <c r="E76" s="260"/>
      <c r="F76" s="68"/>
      <c r="G76" s="68" t="s">
        <v>1217</v>
      </c>
      <c r="H76" s="67" t="s">
        <v>3</v>
      </c>
      <c r="I76" s="68"/>
    </row>
    <row r="77" spans="1:9" ht="51" x14ac:dyDescent="0.25">
      <c r="A77" s="199" t="s">
        <v>1216</v>
      </c>
      <c r="B77" s="277"/>
      <c r="C77" s="271"/>
      <c r="D77" s="76" t="s">
        <v>28</v>
      </c>
      <c r="E77" s="273"/>
      <c r="F77" s="68" t="s">
        <v>29</v>
      </c>
      <c r="G77" s="68" t="s">
        <v>459</v>
      </c>
      <c r="H77" s="67" t="s">
        <v>3</v>
      </c>
      <c r="I77" s="68"/>
    </row>
    <row r="78" spans="1:9" ht="25.5" x14ac:dyDescent="0.25">
      <c r="A78" s="199" t="s">
        <v>1215</v>
      </c>
      <c r="B78" s="277"/>
      <c r="C78" s="271"/>
      <c r="D78" s="77"/>
      <c r="E78" s="274"/>
      <c r="F78" s="68"/>
      <c r="G78" s="68" t="s">
        <v>460</v>
      </c>
      <c r="H78" s="67" t="s">
        <v>3</v>
      </c>
      <c r="I78" s="68"/>
    </row>
    <row r="79" spans="1:9" x14ac:dyDescent="0.25">
      <c r="A79" s="199" t="s">
        <v>1214</v>
      </c>
      <c r="B79" s="277"/>
      <c r="C79" s="271"/>
      <c r="D79" s="77"/>
      <c r="E79" s="274"/>
      <c r="F79" s="68"/>
      <c r="G79" s="68" t="s">
        <v>461</v>
      </c>
      <c r="H79" s="67" t="s">
        <v>3</v>
      </c>
      <c r="I79" s="68"/>
    </row>
    <row r="80" spans="1:9" ht="89.25" x14ac:dyDescent="0.25">
      <c r="A80" s="199" t="s">
        <v>1213</v>
      </c>
      <c r="B80" s="277"/>
      <c r="C80" s="271"/>
      <c r="D80" s="77"/>
      <c r="E80" s="274"/>
      <c r="F80" s="68"/>
      <c r="G80" s="68" t="s">
        <v>462</v>
      </c>
      <c r="H80" s="67" t="s">
        <v>3</v>
      </c>
      <c r="I80" s="68"/>
    </row>
    <row r="81" spans="1:9" x14ac:dyDescent="0.25">
      <c r="A81" s="199" t="s">
        <v>1212</v>
      </c>
      <c r="B81" s="277"/>
      <c r="C81" s="271"/>
      <c r="D81" s="77"/>
      <c r="E81" s="274"/>
      <c r="F81" s="68"/>
      <c r="G81" s="68" t="s">
        <v>463</v>
      </c>
      <c r="H81" s="67" t="s">
        <v>3</v>
      </c>
      <c r="I81" s="68"/>
    </row>
    <row r="82" spans="1:9" ht="25.5" x14ac:dyDescent="0.25">
      <c r="A82" s="199" t="s">
        <v>1211</v>
      </c>
      <c r="B82" s="277"/>
      <c r="C82" s="271"/>
      <c r="D82" s="78"/>
      <c r="E82" s="275"/>
      <c r="F82" s="68"/>
      <c r="G82" s="68" t="s">
        <v>464</v>
      </c>
      <c r="H82" s="67" t="s">
        <v>3</v>
      </c>
      <c r="I82" s="68"/>
    </row>
    <row r="83" spans="1:9" x14ac:dyDescent="0.25">
      <c r="A83" s="199" t="s">
        <v>1210</v>
      </c>
      <c r="B83" s="277"/>
      <c r="C83" s="271"/>
      <c r="D83" s="77"/>
      <c r="E83" s="162"/>
      <c r="F83" s="68"/>
      <c r="G83" s="68" t="s">
        <v>1079</v>
      </c>
      <c r="H83" s="67" t="s">
        <v>3</v>
      </c>
      <c r="I83" s="68" t="s">
        <v>1010</v>
      </c>
    </row>
    <row r="84" spans="1:9" ht="25.5" x14ac:dyDescent="0.25">
      <c r="A84" s="199" t="s">
        <v>1209</v>
      </c>
      <c r="B84" s="277"/>
      <c r="C84" s="271"/>
      <c r="D84" s="209" t="s">
        <v>30</v>
      </c>
      <c r="E84" s="258" t="s">
        <v>465</v>
      </c>
      <c r="F84" s="68" t="s">
        <v>369</v>
      </c>
      <c r="G84" s="68" t="s">
        <v>466</v>
      </c>
      <c r="H84" s="67" t="s">
        <v>3</v>
      </c>
      <c r="I84" s="68"/>
    </row>
    <row r="85" spans="1:9" x14ac:dyDescent="0.25">
      <c r="A85" s="199" t="s">
        <v>1208</v>
      </c>
      <c r="B85" s="277"/>
      <c r="C85" s="271"/>
      <c r="D85" s="206"/>
      <c r="E85" s="259"/>
      <c r="F85" s="68"/>
      <c r="G85" s="68" t="s">
        <v>467</v>
      </c>
      <c r="H85" s="67" t="s">
        <v>3</v>
      </c>
      <c r="I85" s="68"/>
    </row>
    <row r="86" spans="1:9" ht="38.25" x14ac:dyDescent="0.25">
      <c r="A86" s="199" t="s">
        <v>1207</v>
      </c>
      <c r="B86" s="277"/>
      <c r="C86" s="271"/>
      <c r="D86" s="206"/>
      <c r="E86" s="259"/>
      <c r="F86" s="68"/>
      <c r="G86" s="68" t="s">
        <v>468</v>
      </c>
      <c r="H86" s="67" t="s">
        <v>3</v>
      </c>
      <c r="I86" s="68"/>
    </row>
    <row r="87" spans="1:9" ht="25.5" x14ac:dyDescent="0.25">
      <c r="A87" s="199" t="s">
        <v>1206</v>
      </c>
      <c r="B87" s="277"/>
      <c r="C87" s="271"/>
      <c r="D87" s="206"/>
      <c r="E87" s="259"/>
      <c r="F87" s="68"/>
      <c r="G87" s="68" t="s">
        <v>469</v>
      </c>
      <c r="H87" s="67" t="s">
        <v>3</v>
      </c>
      <c r="I87" s="68"/>
    </row>
    <row r="88" spans="1:9" ht="25.5" x14ac:dyDescent="0.25">
      <c r="A88" s="199" t="s">
        <v>1205</v>
      </c>
      <c r="B88" s="277"/>
      <c r="C88" s="271"/>
      <c r="D88" s="206"/>
      <c r="E88" s="259"/>
      <c r="F88" s="68"/>
      <c r="G88" s="68" t="s">
        <v>470</v>
      </c>
      <c r="H88" s="67" t="s">
        <v>3</v>
      </c>
      <c r="I88" s="68"/>
    </row>
    <row r="89" spans="1:9" ht="25.5" x14ac:dyDescent="0.25">
      <c r="A89" s="199" t="s">
        <v>1204</v>
      </c>
      <c r="B89" s="277"/>
      <c r="C89" s="271"/>
      <c r="D89" s="206"/>
      <c r="E89" s="260"/>
      <c r="F89" s="68"/>
      <c r="G89" s="68" t="s">
        <v>464</v>
      </c>
      <c r="H89" s="67" t="s">
        <v>3</v>
      </c>
      <c r="I89" s="68"/>
    </row>
    <row r="90" spans="1:9" x14ac:dyDescent="0.25">
      <c r="A90" s="199" t="s">
        <v>1203</v>
      </c>
      <c r="B90" s="277"/>
      <c r="C90" s="271"/>
      <c r="D90" s="77"/>
      <c r="E90" s="162"/>
      <c r="F90" s="68"/>
      <c r="G90" s="68" t="s">
        <v>1079</v>
      </c>
      <c r="H90" s="67" t="s">
        <v>3</v>
      </c>
      <c r="I90" s="68" t="s">
        <v>1010</v>
      </c>
    </row>
    <row r="91" spans="1:9" x14ac:dyDescent="0.25">
      <c r="A91" s="199" t="s">
        <v>1202</v>
      </c>
      <c r="B91" s="277"/>
      <c r="C91" s="271"/>
      <c r="D91" s="206"/>
      <c r="E91" s="258" t="s">
        <v>471</v>
      </c>
      <c r="F91" s="68" t="s">
        <v>73</v>
      </c>
      <c r="G91" s="74" t="s">
        <v>472</v>
      </c>
      <c r="H91" s="67" t="s">
        <v>3</v>
      </c>
      <c r="I91" s="68"/>
    </row>
    <row r="92" spans="1:9" ht="51" x14ac:dyDescent="0.25">
      <c r="A92" s="199" t="s">
        <v>1201</v>
      </c>
      <c r="B92" s="277"/>
      <c r="C92" s="271"/>
      <c r="D92" s="206"/>
      <c r="E92" s="259"/>
      <c r="F92" s="68"/>
      <c r="G92" s="68" t="s">
        <v>473</v>
      </c>
      <c r="H92" s="67" t="s">
        <v>3</v>
      </c>
      <c r="I92" s="68"/>
    </row>
    <row r="93" spans="1:9" ht="25.5" x14ac:dyDescent="0.25">
      <c r="A93" s="199" t="s">
        <v>1200</v>
      </c>
      <c r="B93" s="277"/>
      <c r="C93" s="271"/>
      <c r="D93" s="206"/>
      <c r="E93" s="259"/>
      <c r="F93" s="68"/>
      <c r="G93" s="68" t="s">
        <v>474</v>
      </c>
      <c r="H93" s="67" t="s">
        <v>3</v>
      </c>
      <c r="I93" s="68"/>
    </row>
    <row r="94" spans="1:9" ht="25.5" x14ac:dyDescent="0.25">
      <c r="A94" s="199" t="s">
        <v>1199</v>
      </c>
      <c r="B94" s="277"/>
      <c r="C94" s="271"/>
      <c r="D94" s="206"/>
      <c r="E94" s="259"/>
      <c r="F94" s="68"/>
      <c r="G94" s="68" t="s">
        <v>475</v>
      </c>
      <c r="H94" s="67" t="s">
        <v>3</v>
      </c>
      <c r="I94" s="68"/>
    </row>
    <row r="95" spans="1:9" ht="25.5" x14ac:dyDescent="0.25">
      <c r="A95" s="199" t="s">
        <v>1198</v>
      </c>
      <c r="B95" s="277"/>
      <c r="C95" s="271"/>
      <c r="D95" s="206"/>
      <c r="E95" s="260"/>
      <c r="F95" s="68"/>
      <c r="G95" s="68" t="s">
        <v>476</v>
      </c>
      <c r="H95" s="67" t="s">
        <v>3</v>
      </c>
      <c r="I95" s="68"/>
    </row>
    <row r="96" spans="1:9" x14ac:dyDescent="0.25">
      <c r="A96" s="199" t="s">
        <v>1197</v>
      </c>
      <c r="B96" s="277"/>
      <c r="C96" s="271"/>
      <c r="D96" s="77"/>
      <c r="E96" s="162"/>
      <c r="F96" s="68"/>
      <c r="G96" s="68" t="s">
        <v>1046</v>
      </c>
      <c r="H96" s="67" t="s">
        <v>3</v>
      </c>
      <c r="I96" s="68" t="s">
        <v>1010</v>
      </c>
    </row>
    <row r="97" spans="1:9" ht="38.25" x14ac:dyDescent="0.25">
      <c r="A97" s="199" t="s">
        <v>1196</v>
      </c>
      <c r="B97" s="277"/>
      <c r="C97" s="271"/>
      <c r="D97" s="206"/>
      <c r="E97" s="258" t="s">
        <v>477</v>
      </c>
      <c r="F97" s="68" t="s">
        <v>320</v>
      </c>
      <c r="G97" s="68" t="s">
        <v>478</v>
      </c>
      <c r="H97" s="67" t="s">
        <v>3</v>
      </c>
      <c r="I97" s="68"/>
    </row>
    <row r="98" spans="1:9" ht="38.25" x14ac:dyDescent="0.25">
      <c r="A98" s="199" t="s">
        <v>1195</v>
      </c>
      <c r="B98" s="277"/>
      <c r="C98" s="271"/>
      <c r="D98" s="206"/>
      <c r="E98" s="259"/>
      <c r="F98" s="68"/>
      <c r="G98" s="68" t="s">
        <v>479</v>
      </c>
      <c r="H98" s="67" t="s">
        <v>3</v>
      </c>
      <c r="I98" s="68"/>
    </row>
    <row r="99" spans="1:9" ht="25.5" x14ac:dyDescent="0.25">
      <c r="A99" s="199" t="s">
        <v>1194</v>
      </c>
      <c r="B99" s="277"/>
      <c r="C99" s="271"/>
      <c r="D99" s="206"/>
      <c r="E99" s="259"/>
      <c r="F99" s="68"/>
      <c r="G99" s="68" t="s">
        <v>480</v>
      </c>
      <c r="H99" s="67" t="s">
        <v>3</v>
      </c>
      <c r="I99" s="68"/>
    </row>
    <row r="100" spans="1:9" ht="25.5" x14ac:dyDescent="0.25">
      <c r="A100" s="199" t="s">
        <v>1193</v>
      </c>
      <c r="B100" s="277"/>
      <c r="C100" s="271"/>
      <c r="D100" s="206"/>
      <c r="E100" s="259"/>
      <c r="F100" s="68"/>
      <c r="G100" s="68" t="s">
        <v>475</v>
      </c>
      <c r="H100" s="67" t="s">
        <v>3</v>
      </c>
      <c r="I100" s="68"/>
    </row>
    <row r="101" spans="1:9" ht="25.5" x14ac:dyDescent="0.25">
      <c r="A101" s="199" t="s">
        <v>1192</v>
      </c>
      <c r="B101" s="277"/>
      <c r="C101" s="271"/>
      <c r="D101" s="206"/>
      <c r="E101" s="260"/>
      <c r="F101" s="68"/>
      <c r="G101" s="68" t="s">
        <v>476</v>
      </c>
      <c r="H101" s="67" t="s">
        <v>3</v>
      </c>
      <c r="I101" s="68"/>
    </row>
    <row r="102" spans="1:9" x14ac:dyDescent="0.25">
      <c r="A102" s="199" t="s">
        <v>1191</v>
      </c>
      <c r="B102" s="277"/>
      <c r="C102" s="271"/>
      <c r="D102" s="77"/>
      <c r="E102" s="162"/>
      <c r="F102" s="68"/>
      <c r="G102" s="68" t="s">
        <v>1046</v>
      </c>
      <c r="H102" s="67" t="s">
        <v>3</v>
      </c>
      <c r="I102" s="68" t="s">
        <v>1305</v>
      </c>
    </row>
    <row r="103" spans="1:9" ht="63.75" x14ac:dyDescent="0.2">
      <c r="A103" s="199" t="s">
        <v>1190</v>
      </c>
      <c r="B103" s="277"/>
      <c r="C103" s="271"/>
      <c r="D103" s="206"/>
      <c r="E103" s="208" t="s">
        <v>481</v>
      </c>
      <c r="F103" s="207" t="s">
        <v>321</v>
      </c>
      <c r="G103" s="68" t="s">
        <v>482</v>
      </c>
      <c r="H103" s="67" t="s">
        <v>3</v>
      </c>
      <c r="I103" s="68"/>
    </row>
    <row r="104" spans="1:9" ht="51" x14ac:dyDescent="0.2">
      <c r="A104" s="199" t="s">
        <v>1189</v>
      </c>
      <c r="B104" s="277"/>
      <c r="C104" s="271"/>
      <c r="D104" s="206"/>
      <c r="E104" s="208"/>
      <c r="F104" s="207"/>
      <c r="G104" s="68" t="s">
        <v>483</v>
      </c>
      <c r="H104" s="67" t="s">
        <v>3</v>
      </c>
      <c r="I104" s="68"/>
    </row>
    <row r="105" spans="1:9" ht="25.5" x14ac:dyDescent="0.2">
      <c r="A105" s="199" t="s">
        <v>1188</v>
      </c>
      <c r="B105" s="277"/>
      <c r="C105" s="271"/>
      <c r="D105" s="206"/>
      <c r="E105" s="208"/>
      <c r="F105" s="207"/>
      <c r="G105" s="68" t="s">
        <v>484</v>
      </c>
      <c r="H105" s="67" t="s">
        <v>3</v>
      </c>
      <c r="I105" s="68"/>
    </row>
    <row r="106" spans="1:9" ht="25.5" x14ac:dyDescent="0.2">
      <c r="A106" s="199" t="s">
        <v>1187</v>
      </c>
      <c r="B106" s="277"/>
      <c r="C106" s="271"/>
      <c r="D106" s="206"/>
      <c r="E106" s="208"/>
      <c r="F106" s="207"/>
      <c r="G106" s="68" t="s">
        <v>475</v>
      </c>
      <c r="H106" s="67" t="s">
        <v>3</v>
      </c>
      <c r="I106" s="68"/>
    </row>
    <row r="107" spans="1:9" ht="25.5" x14ac:dyDescent="0.2">
      <c r="A107" s="199" t="s">
        <v>1186</v>
      </c>
      <c r="B107" s="277"/>
      <c r="C107" s="271"/>
      <c r="D107" s="206"/>
      <c r="E107" s="208"/>
      <c r="F107" s="207"/>
      <c r="G107" s="68" t="s">
        <v>476</v>
      </c>
      <c r="H107" s="67" t="s">
        <v>3</v>
      </c>
      <c r="I107" s="68"/>
    </row>
    <row r="108" spans="1:9" x14ac:dyDescent="0.25">
      <c r="A108" s="199" t="s">
        <v>1185</v>
      </c>
      <c r="B108" s="277"/>
      <c r="C108" s="271"/>
      <c r="D108" s="77"/>
      <c r="E108" s="162"/>
      <c r="F108" s="68"/>
      <c r="G108" s="68" t="s">
        <v>1046</v>
      </c>
      <c r="H108" s="67" t="s">
        <v>3</v>
      </c>
      <c r="I108" s="68" t="s">
        <v>1010</v>
      </c>
    </row>
    <row r="109" spans="1:9" ht="38.25" x14ac:dyDescent="0.25">
      <c r="A109" s="199" t="s">
        <v>1184</v>
      </c>
      <c r="B109" s="277"/>
      <c r="C109" s="271"/>
      <c r="D109" s="206"/>
      <c r="E109" s="258" t="s">
        <v>485</v>
      </c>
      <c r="F109" s="68" t="s">
        <v>74</v>
      </c>
      <c r="G109" s="68" t="s">
        <v>486</v>
      </c>
      <c r="H109" s="67" t="s">
        <v>3</v>
      </c>
      <c r="I109" s="68"/>
    </row>
    <row r="110" spans="1:9" ht="51" x14ac:dyDescent="0.25">
      <c r="A110" s="199" t="s">
        <v>1183</v>
      </c>
      <c r="B110" s="277"/>
      <c r="C110" s="271"/>
      <c r="D110" s="206"/>
      <c r="E110" s="259"/>
      <c r="F110" s="68"/>
      <c r="G110" s="68" t="s">
        <v>487</v>
      </c>
      <c r="H110" s="67" t="s">
        <v>3</v>
      </c>
      <c r="I110" s="68"/>
    </row>
    <row r="111" spans="1:9" ht="38.25" x14ac:dyDescent="0.25">
      <c r="A111" s="199" t="s">
        <v>1182</v>
      </c>
      <c r="B111" s="277"/>
      <c r="C111" s="271"/>
      <c r="D111" s="206"/>
      <c r="E111" s="259"/>
      <c r="F111" s="68"/>
      <c r="G111" s="68" t="s">
        <v>488</v>
      </c>
      <c r="H111" s="67" t="s">
        <v>3</v>
      </c>
      <c r="I111" s="68"/>
    </row>
    <row r="112" spans="1:9" ht="25.5" x14ac:dyDescent="0.25">
      <c r="A112" s="199" t="s">
        <v>1181</v>
      </c>
      <c r="B112" s="277"/>
      <c r="C112" s="271"/>
      <c r="D112" s="206"/>
      <c r="E112" s="259"/>
      <c r="F112" s="68"/>
      <c r="G112" s="68" t="s">
        <v>475</v>
      </c>
      <c r="H112" s="67" t="s">
        <v>3</v>
      </c>
      <c r="I112" s="68"/>
    </row>
    <row r="113" spans="1:9" ht="25.5" x14ac:dyDescent="0.25">
      <c r="A113" s="199" t="s">
        <v>1180</v>
      </c>
      <c r="B113" s="277"/>
      <c r="C113" s="271"/>
      <c r="D113" s="206"/>
      <c r="E113" s="260"/>
      <c r="F113" s="68"/>
      <c r="G113" s="68" t="s">
        <v>476</v>
      </c>
      <c r="H113" s="67" t="s">
        <v>3</v>
      </c>
      <c r="I113" s="68"/>
    </row>
    <row r="114" spans="1:9" x14ac:dyDescent="0.25">
      <c r="A114" s="199" t="s">
        <v>1179</v>
      </c>
      <c r="B114" s="277"/>
      <c r="C114" s="271"/>
      <c r="D114" s="77"/>
      <c r="E114" s="162"/>
      <c r="F114" s="68"/>
      <c r="G114" s="68" t="s">
        <v>1046</v>
      </c>
      <c r="H114" s="67" t="s">
        <v>3</v>
      </c>
      <c r="I114" s="68" t="s">
        <v>1010</v>
      </c>
    </row>
    <row r="115" spans="1:9" ht="51" x14ac:dyDescent="0.25">
      <c r="A115" s="199" t="s">
        <v>1178</v>
      </c>
      <c r="B115" s="277"/>
      <c r="C115" s="271"/>
      <c r="D115" s="206"/>
      <c r="E115" s="258" t="s">
        <v>277</v>
      </c>
      <c r="F115" s="68" t="s">
        <v>72</v>
      </c>
      <c r="G115" s="68" t="s">
        <v>489</v>
      </c>
      <c r="H115" s="67" t="s">
        <v>3</v>
      </c>
      <c r="I115" s="68"/>
    </row>
    <row r="116" spans="1:9" ht="38.25" x14ac:dyDescent="0.25">
      <c r="A116" s="199" t="s">
        <v>1177</v>
      </c>
      <c r="B116" s="277"/>
      <c r="C116" s="271"/>
      <c r="D116" s="206"/>
      <c r="E116" s="259"/>
      <c r="F116" s="68"/>
      <c r="G116" s="68" t="s">
        <v>490</v>
      </c>
      <c r="H116" s="67" t="s">
        <v>3</v>
      </c>
      <c r="I116" s="68"/>
    </row>
    <row r="117" spans="1:9" ht="25.5" x14ac:dyDescent="0.25">
      <c r="A117" s="199" t="s">
        <v>1176</v>
      </c>
      <c r="B117" s="277"/>
      <c r="C117" s="271"/>
      <c r="D117" s="206"/>
      <c r="E117" s="259"/>
      <c r="F117" s="68"/>
      <c r="G117" s="68" t="s">
        <v>491</v>
      </c>
      <c r="H117" s="67" t="s">
        <v>3</v>
      </c>
      <c r="I117" s="68" t="s">
        <v>1175</v>
      </c>
    </row>
    <row r="118" spans="1:9" ht="25.5" x14ac:dyDescent="0.25">
      <c r="A118" s="199" t="s">
        <v>1174</v>
      </c>
      <c r="B118" s="277"/>
      <c r="C118" s="271"/>
      <c r="D118" s="206"/>
      <c r="E118" s="259"/>
      <c r="F118" s="68"/>
      <c r="G118" s="68" t="s">
        <v>475</v>
      </c>
      <c r="H118" s="67" t="s">
        <v>3</v>
      </c>
      <c r="I118" s="68"/>
    </row>
    <row r="119" spans="1:9" ht="25.5" x14ac:dyDescent="0.25">
      <c r="A119" s="199" t="s">
        <v>1173</v>
      </c>
      <c r="B119" s="277"/>
      <c r="C119" s="271"/>
      <c r="D119" s="206"/>
      <c r="E119" s="260"/>
      <c r="F119" s="68"/>
      <c r="G119" s="68" t="s">
        <v>476</v>
      </c>
      <c r="H119" s="67" t="s">
        <v>3</v>
      </c>
      <c r="I119" s="68"/>
    </row>
    <row r="120" spans="1:9" x14ac:dyDescent="0.25">
      <c r="A120" s="199" t="s">
        <v>1172</v>
      </c>
      <c r="B120" s="277"/>
      <c r="C120" s="271"/>
      <c r="D120" s="77"/>
      <c r="E120" s="258" t="s">
        <v>492</v>
      </c>
      <c r="F120" s="68"/>
      <c r="G120" s="68" t="s">
        <v>1046</v>
      </c>
      <c r="H120" s="67" t="s">
        <v>3</v>
      </c>
      <c r="I120" s="68" t="s">
        <v>1010</v>
      </c>
    </row>
    <row r="121" spans="1:9" ht="51" x14ac:dyDescent="0.25">
      <c r="A121" s="199" t="s">
        <v>1171</v>
      </c>
      <c r="B121" s="277"/>
      <c r="C121" s="271"/>
      <c r="D121" s="169"/>
      <c r="E121" s="259"/>
      <c r="F121" s="68"/>
      <c r="G121" s="68" t="s">
        <v>493</v>
      </c>
      <c r="H121" s="67" t="s">
        <v>3</v>
      </c>
      <c r="I121" s="68"/>
    </row>
    <row r="122" spans="1:9" ht="25.5" x14ac:dyDescent="0.25">
      <c r="A122" s="199" t="s">
        <v>1170</v>
      </c>
      <c r="B122" s="277"/>
      <c r="C122" s="271"/>
      <c r="D122" s="169"/>
      <c r="E122" s="259"/>
      <c r="F122" s="68"/>
      <c r="G122" s="68" t="s">
        <v>1169</v>
      </c>
      <c r="H122" s="67" t="s">
        <v>3</v>
      </c>
      <c r="I122" s="68"/>
    </row>
    <row r="123" spans="1:9" ht="25.5" x14ac:dyDescent="0.25">
      <c r="A123" s="199" t="s">
        <v>1168</v>
      </c>
      <c r="B123" s="277"/>
      <c r="C123" s="271"/>
      <c r="D123" s="169"/>
      <c r="E123" s="259"/>
      <c r="F123" s="68"/>
      <c r="G123" s="68" t="s">
        <v>475</v>
      </c>
      <c r="H123" s="67" t="s">
        <v>3</v>
      </c>
      <c r="I123" s="68"/>
    </row>
    <row r="124" spans="1:9" ht="25.5" x14ac:dyDescent="0.25">
      <c r="A124" s="199" t="s">
        <v>1167</v>
      </c>
      <c r="B124" s="277"/>
      <c r="C124" s="271"/>
      <c r="D124" s="169"/>
      <c r="E124" s="260"/>
      <c r="F124" s="68"/>
      <c r="G124" s="68" t="s">
        <v>476</v>
      </c>
      <c r="H124" s="67" t="s">
        <v>3</v>
      </c>
      <c r="I124" s="68"/>
    </row>
    <row r="125" spans="1:9" x14ac:dyDescent="0.25">
      <c r="A125" s="199" t="s">
        <v>1166</v>
      </c>
      <c r="B125" s="277"/>
      <c r="C125" s="271"/>
      <c r="D125" s="77"/>
      <c r="E125" s="164"/>
      <c r="F125" s="68"/>
      <c r="G125" s="68" t="s">
        <v>1046</v>
      </c>
      <c r="H125" s="67" t="s">
        <v>3</v>
      </c>
      <c r="I125" s="68" t="s">
        <v>1010</v>
      </c>
    </row>
    <row r="126" spans="1:9" ht="51" x14ac:dyDescent="0.2">
      <c r="A126" s="199" t="s">
        <v>1165</v>
      </c>
      <c r="B126" s="277"/>
      <c r="C126" s="271"/>
      <c r="D126" s="205"/>
      <c r="E126" s="258" t="s">
        <v>494</v>
      </c>
      <c r="F126" s="68"/>
      <c r="G126" s="68" t="s">
        <v>495</v>
      </c>
      <c r="H126" s="67" t="s">
        <v>385</v>
      </c>
      <c r="I126" s="68"/>
    </row>
    <row r="127" spans="1:9" ht="63.75" x14ac:dyDescent="0.2">
      <c r="A127" s="199" t="s">
        <v>1164</v>
      </c>
      <c r="B127" s="277"/>
      <c r="C127" s="271"/>
      <c r="D127" s="205"/>
      <c r="E127" s="259"/>
      <c r="F127" s="68"/>
      <c r="G127" s="68" t="s">
        <v>496</v>
      </c>
      <c r="H127" s="67" t="s">
        <v>385</v>
      </c>
      <c r="I127" s="68" t="s">
        <v>1163</v>
      </c>
    </row>
    <row r="128" spans="1:9" ht="25.5" x14ac:dyDescent="0.2">
      <c r="A128" s="199" t="s">
        <v>1162</v>
      </c>
      <c r="B128" s="277"/>
      <c r="C128" s="271"/>
      <c r="D128" s="205"/>
      <c r="E128" s="259"/>
      <c r="F128" s="68"/>
      <c r="G128" s="68" t="s">
        <v>497</v>
      </c>
      <c r="H128" s="67" t="s">
        <v>385</v>
      </c>
      <c r="I128" s="68"/>
    </row>
    <row r="129" spans="1:14" ht="25.5" x14ac:dyDescent="0.2">
      <c r="A129" s="199" t="s">
        <v>1161</v>
      </c>
      <c r="B129" s="277"/>
      <c r="C129" s="271"/>
      <c r="D129" s="205"/>
      <c r="E129" s="259"/>
      <c r="F129" s="68"/>
      <c r="G129" s="68" t="s">
        <v>1160</v>
      </c>
      <c r="H129" s="67" t="s">
        <v>385</v>
      </c>
      <c r="I129" s="68"/>
    </row>
    <row r="130" spans="1:14" ht="25.5" x14ac:dyDescent="0.2">
      <c r="A130" s="199" t="s">
        <v>1159</v>
      </c>
      <c r="B130" s="277"/>
      <c r="C130" s="271"/>
      <c r="D130" s="205"/>
      <c r="E130" s="260"/>
      <c r="F130" s="68"/>
      <c r="G130" s="68" t="s">
        <v>476</v>
      </c>
      <c r="H130" s="67" t="s">
        <v>385</v>
      </c>
      <c r="I130" s="68"/>
    </row>
    <row r="131" spans="1:14" x14ac:dyDescent="0.25">
      <c r="A131" s="199" t="s">
        <v>1158</v>
      </c>
      <c r="B131" s="277"/>
      <c r="C131" s="271"/>
      <c r="D131" s="77"/>
      <c r="E131" s="164"/>
      <c r="F131" s="68"/>
      <c r="G131" s="68" t="s">
        <v>1046</v>
      </c>
      <c r="H131" s="67" t="s">
        <v>385</v>
      </c>
      <c r="I131" s="68" t="s">
        <v>1010</v>
      </c>
    </row>
    <row r="132" spans="1:14" ht="102" x14ac:dyDescent="0.25">
      <c r="A132" s="199" t="s">
        <v>1157</v>
      </c>
      <c r="B132" s="277"/>
      <c r="C132" s="271"/>
      <c r="D132" s="76" t="s">
        <v>31</v>
      </c>
      <c r="E132" s="273"/>
      <c r="F132" s="68" t="s">
        <v>32</v>
      </c>
      <c r="G132" s="74" t="s">
        <v>498</v>
      </c>
      <c r="H132" s="67" t="s">
        <v>3</v>
      </c>
      <c r="I132" s="68"/>
      <c r="J132" s="111"/>
      <c r="K132" s="111"/>
      <c r="L132" s="111"/>
      <c r="M132" s="111"/>
      <c r="N132" s="111"/>
    </row>
    <row r="133" spans="1:14" x14ac:dyDescent="0.25">
      <c r="A133" s="199" t="s">
        <v>1156</v>
      </c>
      <c r="B133" s="277"/>
      <c r="C133" s="271"/>
      <c r="D133" s="77"/>
      <c r="E133" s="274"/>
      <c r="F133" s="68"/>
      <c r="G133" s="68" t="s">
        <v>499</v>
      </c>
      <c r="H133" s="67" t="s">
        <v>3</v>
      </c>
      <c r="I133" s="68"/>
      <c r="J133" s="111"/>
      <c r="K133" s="111"/>
      <c r="L133" s="111"/>
      <c r="M133" s="111"/>
      <c r="N133" s="111"/>
    </row>
    <row r="134" spans="1:14" ht="25.5" x14ac:dyDescent="0.25">
      <c r="A134" s="199" t="s">
        <v>1155</v>
      </c>
      <c r="B134" s="277"/>
      <c r="C134" s="271"/>
      <c r="D134" s="77"/>
      <c r="E134" s="274"/>
      <c r="F134" s="68"/>
      <c r="G134" s="68" t="s">
        <v>500</v>
      </c>
      <c r="H134" s="67" t="s">
        <v>3</v>
      </c>
      <c r="I134" s="68"/>
      <c r="J134" s="111"/>
      <c r="K134" s="111"/>
      <c r="L134" s="111"/>
      <c r="M134" s="111"/>
      <c r="N134" s="111"/>
    </row>
    <row r="135" spans="1:14" ht="25.5" x14ac:dyDescent="0.25">
      <c r="A135" s="199" t="s">
        <v>1154</v>
      </c>
      <c r="B135" s="277"/>
      <c r="C135" s="271"/>
      <c r="D135" s="77"/>
      <c r="E135" s="274"/>
      <c r="F135" s="68"/>
      <c r="G135" s="68" t="s">
        <v>501</v>
      </c>
      <c r="H135" s="67" t="s">
        <v>3</v>
      </c>
      <c r="I135" s="68"/>
      <c r="J135" s="111"/>
      <c r="K135" s="111"/>
      <c r="L135" s="111"/>
      <c r="M135" s="111"/>
      <c r="N135" s="111"/>
    </row>
    <row r="136" spans="1:14" x14ac:dyDescent="0.25">
      <c r="A136" s="199" t="s">
        <v>1153</v>
      </c>
      <c r="B136" s="277"/>
      <c r="C136" s="271"/>
      <c r="D136" s="77"/>
      <c r="E136" s="274"/>
      <c r="F136" s="68"/>
      <c r="G136" s="68" t="s">
        <v>502</v>
      </c>
      <c r="H136" s="67" t="s">
        <v>3</v>
      </c>
      <c r="I136" s="68"/>
      <c r="J136" s="111"/>
      <c r="K136" s="111"/>
      <c r="L136" s="111"/>
      <c r="M136" s="111"/>
      <c r="N136" s="111"/>
    </row>
    <row r="137" spans="1:14" ht="25.5" x14ac:dyDescent="0.25">
      <c r="A137" s="199" t="s">
        <v>1152</v>
      </c>
      <c r="B137" s="277"/>
      <c r="C137" s="271"/>
      <c r="D137" s="77"/>
      <c r="E137" s="274"/>
      <c r="F137" s="68"/>
      <c r="G137" s="68" t="s">
        <v>503</v>
      </c>
      <c r="H137" s="67" t="s">
        <v>385</v>
      </c>
      <c r="I137" s="68"/>
      <c r="J137" s="111"/>
      <c r="K137" s="111"/>
      <c r="L137" s="111"/>
      <c r="M137" s="111"/>
      <c r="N137" s="111"/>
    </row>
    <row r="138" spans="1:14" ht="102" x14ac:dyDescent="0.25">
      <c r="A138" s="199" t="s">
        <v>1151</v>
      </c>
      <c r="B138" s="277"/>
      <c r="C138" s="271"/>
      <c r="D138" s="77"/>
      <c r="E138" s="274"/>
      <c r="F138" s="68"/>
      <c r="G138" s="68" t="s">
        <v>1150</v>
      </c>
      <c r="H138" s="67" t="s">
        <v>385</v>
      </c>
      <c r="I138" s="68"/>
      <c r="J138" s="111"/>
      <c r="K138" s="111"/>
      <c r="L138" s="111"/>
      <c r="M138" s="111"/>
      <c r="N138" s="111"/>
    </row>
    <row r="139" spans="1:14" ht="25.5" x14ac:dyDescent="0.25">
      <c r="A139" s="199" t="s">
        <v>1149</v>
      </c>
      <c r="B139" s="277"/>
      <c r="C139" s="271"/>
      <c r="D139" s="78"/>
      <c r="E139" s="275"/>
      <c r="F139" s="68"/>
      <c r="G139" s="68" t="s">
        <v>1148</v>
      </c>
      <c r="H139" s="67" t="s">
        <v>385</v>
      </c>
      <c r="I139" s="68"/>
      <c r="J139" s="111"/>
      <c r="K139" s="111"/>
      <c r="L139" s="111"/>
      <c r="M139" s="111"/>
      <c r="N139" s="111"/>
    </row>
    <row r="140" spans="1:14" x14ac:dyDescent="0.25">
      <c r="A140" s="199" t="s">
        <v>1147</v>
      </c>
      <c r="B140" s="277"/>
      <c r="C140" s="271"/>
      <c r="D140" s="77"/>
      <c r="E140" s="164"/>
      <c r="F140" s="68"/>
      <c r="G140" s="68" t="s">
        <v>1146</v>
      </c>
      <c r="H140" s="67" t="s">
        <v>385</v>
      </c>
      <c r="I140" s="68" t="s">
        <v>1010</v>
      </c>
    </row>
    <row r="141" spans="1:14" ht="63.75" x14ac:dyDescent="0.25">
      <c r="A141" s="199" t="s">
        <v>1145</v>
      </c>
      <c r="B141" s="277"/>
      <c r="C141" s="271"/>
      <c r="D141" s="76" t="s">
        <v>1144</v>
      </c>
      <c r="E141" s="273" t="s">
        <v>504</v>
      </c>
      <c r="F141" s="68"/>
      <c r="G141" s="68" t="s">
        <v>1143</v>
      </c>
      <c r="H141" s="67" t="s">
        <v>3</v>
      </c>
      <c r="I141" s="68"/>
      <c r="J141" s="111"/>
      <c r="K141" s="111"/>
      <c r="L141" s="111"/>
      <c r="M141" s="111"/>
      <c r="N141" s="111"/>
    </row>
    <row r="142" spans="1:14" ht="25.5" x14ac:dyDescent="0.25">
      <c r="A142" s="199" t="s">
        <v>1142</v>
      </c>
      <c r="B142" s="277"/>
      <c r="C142" s="271"/>
      <c r="D142" s="77"/>
      <c r="E142" s="274"/>
      <c r="F142" s="68"/>
      <c r="G142" s="68" t="s">
        <v>1141</v>
      </c>
      <c r="H142" s="67" t="s">
        <v>3</v>
      </c>
      <c r="I142" s="68"/>
      <c r="J142" s="111"/>
      <c r="K142" s="111"/>
      <c r="L142" s="111"/>
      <c r="M142" s="111"/>
      <c r="N142" s="111"/>
    </row>
    <row r="143" spans="1:14" ht="38.25" x14ac:dyDescent="0.25">
      <c r="A143" s="199" t="s">
        <v>1140</v>
      </c>
      <c r="B143" s="277"/>
      <c r="C143" s="271"/>
      <c r="D143" s="77"/>
      <c r="E143" s="274"/>
      <c r="F143" s="68"/>
      <c r="G143" s="68" t="s">
        <v>1139</v>
      </c>
      <c r="H143" s="67" t="s">
        <v>3</v>
      </c>
      <c r="I143" s="68"/>
      <c r="J143" s="111"/>
      <c r="K143" s="111"/>
      <c r="L143" s="111"/>
      <c r="M143" s="111"/>
      <c r="N143" s="111"/>
    </row>
    <row r="144" spans="1:14" ht="25.5" x14ac:dyDescent="0.25">
      <c r="A144" s="199" t="s">
        <v>1138</v>
      </c>
      <c r="B144" s="277"/>
      <c r="C144" s="271"/>
      <c r="D144" s="77"/>
      <c r="E144" s="274"/>
      <c r="F144" s="68"/>
      <c r="G144" s="68" t="s">
        <v>1125</v>
      </c>
      <c r="H144" s="67" t="s">
        <v>3</v>
      </c>
      <c r="I144" s="68"/>
      <c r="J144" s="111"/>
      <c r="K144" s="111"/>
      <c r="L144" s="111"/>
      <c r="M144" s="111"/>
      <c r="N144" s="111"/>
    </row>
    <row r="145" spans="1:14" ht="38.25" x14ac:dyDescent="0.25">
      <c r="A145" s="199" t="s">
        <v>1137</v>
      </c>
      <c r="B145" s="277"/>
      <c r="C145" s="271"/>
      <c r="D145" s="77"/>
      <c r="E145" s="274"/>
      <c r="F145" s="68"/>
      <c r="G145" s="68" t="s">
        <v>1136</v>
      </c>
      <c r="H145" s="67" t="s">
        <v>3</v>
      </c>
      <c r="I145" s="68"/>
      <c r="J145" s="111"/>
      <c r="K145" s="111"/>
      <c r="L145" s="111"/>
      <c r="M145" s="111"/>
      <c r="N145" s="111"/>
    </row>
    <row r="146" spans="1:14" ht="25.5" x14ac:dyDescent="0.25">
      <c r="A146" s="199" t="s">
        <v>1135</v>
      </c>
      <c r="B146" s="277"/>
      <c r="C146" s="271"/>
      <c r="D146" s="77"/>
      <c r="E146" s="274"/>
      <c r="F146" s="68"/>
      <c r="G146" s="68" t="s">
        <v>1134</v>
      </c>
      <c r="H146" s="67" t="s">
        <v>3</v>
      </c>
      <c r="I146" s="68"/>
      <c r="J146" s="111"/>
      <c r="K146" s="111"/>
      <c r="L146" s="111"/>
      <c r="M146" s="111"/>
      <c r="N146" s="111"/>
    </row>
    <row r="147" spans="1:14" ht="25.5" x14ac:dyDescent="0.25">
      <c r="A147" s="199" t="s">
        <v>1133</v>
      </c>
      <c r="B147" s="277"/>
      <c r="C147" s="271"/>
      <c r="D147" s="77"/>
      <c r="E147" s="274"/>
      <c r="F147" s="68"/>
      <c r="G147" s="68" t="s">
        <v>1132</v>
      </c>
      <c r="H147" s="67" t="s">
        <v>3</v>
      </c>
      <c r="I147" s="68"/>
      <c r="J147" s="111"/>
      <c r="K147" s="111"/>
      <c r="L147" s="111"/>
      <c r="M147" s="111"/>
      <c r="N147" s="111"/>
    </row>
    <row r="148" spans="1:14" ht="25.5" x14ac:dyDescent="0.25">
      <c r="A148" s="199" t="s">
        <v>1131</v>
      </c>
      <c r="B148" s="277"/>
      <c r="C148" s="271"/>
      <c r="D148" s="77"/>
      <c r="E148" s="275"/>
      <c r="F148" s="68"/>
      <c r="G148" s="68" t="s">
        <v>446</v>
      </c>
      <c r="H148" s="67" t="s">
        <v>3</v>
      </c>
      <c r="I148" s="68"/>
      <c r="J148" s="111"/>
      <c r="K148" s="111"/>
      <c r="L148" s="111"/>
      <c r="M148" s="111"/>
      <c r="N148" s="111"/>
    </row>
    <row r="149" spans="1:14" x14ac:dyDescent="0.25">
      <c r="A149" s="199" t="s">
        <v>1130</v>
      </c>
      <c r="B149" s="277"/>
      <c r="C149" s="271"/>
      <c r="D149" s="77"/>
      <c r="E149" s="164"/>
      <c r="F149" s="68"/>
      <c r="G149" s="68" t="s">
        <v>1116</v>
      </c>
      <c r="H149" s="67" t="s">
        <v>3</v>
      </c>
      <c r="I149" s="68" t="s">
        <v>1010</v>
      </c>
    </row>
    <row r="150" spans="1:14" ht="63.75" x14ac:dyDescent="0.25">
      <c r="A150" s="199" t="s">
        <v>1129</v>
      </c>
      <c r="B150" s="277"/>
      <c r="C150" s="271"/>
      <c r="D150" s="77"/>
      <c r="E150" s="273" t="s">
        <v>84</v>
      </c>
      <c r="F150" s="68"/>
      <c r="G150" s="68" t="s">
        <v>505</v>
      </c>
      <c r="H150" s="67" t="s">
        <v>3</v>
      </c>
      <c r="I150" s="68"/>
      <c r="J150" s="111"/>
      <c r="K150" s="111"/>
      <c r="L150" s="111"/>
      <c r="M150" s="111"/>
      <c r="N150" s="111"/>
    </row>
    <row r="151" spans="1:14" x14ac:dyDescent="0.25">
      <c r="A151" s="199" t="s">
        <v>1128</v>
      </c>
      <c r="B151" s="277"/>
      <c r="C151" s="271"/>
      <c r="D151" s="77"/>
      <c r="E151" s="274"/>
      <c r="F151" s="68"/>
      <c r="G151" s="68" t="s">
        <v>506</v>
      </c>
      <c r="H151" s="67" t="s">
        <v>3</v>
      </c>
      <c r="I151" s="68"/>
      <c r="J151" s="111"/>
      <c r="K151" s="111"/>
      <c r="L151" s="111"/>
      <c r="M151" s="111"/>
      <c r="N151" s="111"/>
    </row>
    <row r="152" spans="1:14" ht="25.5" x14ac:dyDescent="0.25">
      <c r="A152" s="199" t="s">
        <v>1127</v>
      </c>
      <c r="B152" s="277"/>
      <c r="C152" s="271"/>
      <c r="D152" s="77"/>
      <c r="E152" s="274"/>
      <c r="F152" s="68"/>
      <c r="G152" s="68" t="s">
        <v>507</v>
      </c>
      <c r="H152" s="67" t="s">
        <v>3</v>
      </c>
      <c r="I152" s="68"/>
      <c r="J152" s="111"/>
      <c r="K152" s="111"/>
      <c r="L152" s="111"/>
      <c r="M152" s="111"/>
      <c r="N152" s="111"/>
    </row>
    <row r="153" spans="1:14" ht="25.5" x14ac:dyDescent="0.25">
      <c r="A153" s="199" t="s">
        <v>1126</v>
      </c>
      <c r="B153" s="277"/>
      <c r="C153" s="271"/>
      <c r="D153" s="77"/>
      <c r="E153" s="274"/>
      <c r="F153" s="68"/>
      <c r="G153" s="68" t="s">
        <v>1125</v>
      </c>
      <c r="H153" s="67" t="s">
        <v>3</v>
      </c>
      <c r="I153" s="68"/>
      <c r="J153" s="111"/>
      <c r="K153" s="111"/>
      <c r="L153" s="111"/>
      <c r="M153" s="111"/>
      <c r="N153" s="111"/>
    </row>
    <row r="154" spans="1:14" ht="25.5" x14ac:dyDescent="0.25">
      <c r="A154" s="199" t="s">
        <v>1124</v>
      </c>
      <c r="B154" s="277"/>
      <c r="C154" s="271"/>
      <c r="D154" s="77"/>
      <c r="E154" s="274"/>
      <c r="F154" s="68"/>
      <c r="G154" s="68" t="s">
        <v>1123</v>
      </c>
      <c r="H154" s="67" t="s">
        <v>3</v>
      </c>
      <c r="I154" s="68"/>
      <c r="J154" s="111"/>
      <c r="K154" s="111"/>
      <c r="L154" s="111"/>
      <c r="M154" s="111"/>
      <c r="N154" s="111"/>
    </row>
    <row r="155" spans="1:14" ht="38.25" x14ac:dyDescent="0.25">
      <c r="A155" s="199" t="s">
        <v>1122</v>
      </c>
      <c r="B155" s="277"/>
      <c r="C155" s="271"/>
      <c r="D155" s="77"/>
      <c r="E155" s="274"/>
      <c r="F155" s="68"/>
      <c r="G155" s="68" t="s">
        <v>1121</v>
      </c>
      <c r="H155" s="67" t="s">
        <v>3</v>
      </c>
      <c r="I155" s="68"/>
      <c r="J155" s="111"/>
      <c r="K155" s="111"/>
      <c r="L155" s="111"/>
      <c r="M155" s="111"/>
      <c r="N155" s="111"/>
    </row>
    <row r="156" spans="1:14" ht="25.5" x14ac:dyDescent="0.25">
      <c r="A156" s="199" t="s">
        <v>1120</v>
      </c>
      <c r="B156" s="277"/>
      <c r="C156" s="271"/>
      <c r="D156" s="77"/>
      <c r="E156" s="274"/>
      <c r="F156" s="68"/>
      <c r="G156" s="68" t="s">
        <v>1119</v>
      </c>
      <c r="H156" s="67" t="s">
        <v>3</v>
      </c>
      <c r="I156" s="68"/>
      <c r="J156" s="111"/>
      <c r="K156" s="111"/>
      <c r="L156" s="111"/>
      <c r="M156" s="111"/>
      <c r="N156" s="111"/>
    </row>
    <row r="157" spans="1:14" ht="25.5" x14ac:dyDescent="0.25">
      <c r="A157" s="199" t="s">
        <v>1118</v>
      </c>
      <c r="B157" s="277"/>
      <c r="C157" s="271"/>
      <c r="D157" s="78"/>
      <c r="E157" s="275"/>
      <c r="F157" s="68"/>
      <c r="G157" s="68" t="s">
        <v>446</v>
      </c>
      <c r="H157" s="67" t="s">
        <v>3</v>
      </c>
      <c r="I157" s="68"/>
      <c r="J157" s="111"/>
      <c r="K157" s="111"/>
      <c r="L157" s="111"/>
      <c r="M157" s="111"/>
      <c r="N157" s="111"/>
    </row>
    <row r="158" spans="1:14" x14ac:dyDescent="0.25">
      <c r="A158" s="199" t="s">
        <v>1117</v>
      </c>
      <c r="B158" s="277"/>
      <c r="C158" s="271"/>
      <c r="D158" s="77"/>
      <c r="E158" s="164"/>
      <c r="F158" s="68"/>
      <c r="G158" s="68" t="s">
        <v>1116</v>
      </c>
      <c r="H158" s="67" t="s">
        <v>3</v>
      </c>
      <c r="I158" s="68" t="s">
        <v>1010</v>
      </c>
    </row>
    <row r="159" spans="1:14" ht="38.25" x14ac:dyDescent="0.25">
      <c r="A159" s="199" t="s">
        <v>1115</v>
      </c>
      <c r="B159" s="277"/>
      <c r="C159" s="271"/>
      <c r="D159" s="76" t="s">
        <v>78</v>
      </c>
      <c r="E159" s="273"/>
      <c r="F159" s="68"/>
      <c r="G159" s="68" t="s">
        <v>508</v>
      </c>
      <c r="H159" s="67" t="s">
        <v>3</v>
      </c>
      <c r="I159" s="68"/>
      <c r="J159" s="111"/>
      <c r="K159" s="111"/>
      <c r="L159" s="111"/>
      <c r="M159" s="111"/>
      <c r="N159" s="111"/>
    </row>
    <row r="160" spans="1:14" ht="63.75" x14ac:dyDescent="0.25">
      <c r="A160" s="199" t="s">
        <v>1114</v>
      </c>
      <c r="B160" s="277"/>
      <c r="C160" s="271"/>
      <c r="D160" s="77"/>
      <c r="E160" s="274"/>
      <c r="F160" s="68"/>
      <c r="G160" s="68" t="s">
        <v>509</v>
      </c>
      <c r="H160" s="67" t="s">
        <v>3</v>
      </c>
      <c r="I160" s="68"/>
      <c r="J160" s="111"/>
      <c r="K160" s="111"/>
      <c r="L160" s="111"/>
      <c r="M160" s="111"/>
      <c r="N160" s="111"/>
    </row>
    <row r="161" spans="1:14" ht="25.5" x14ac:dyDescent="0.25">
      <c r="A161" s="199" t="s">
        <v>1113</v>
      </c>
      <c r="B161" s="277"/>
      <c r="C161" s="271"/>
      <c r="D161" s="78"/>
      <c r="E161" s="275"/>
      <c r="F161" s="68"/>
      <c r="G161" s="68" t="s">
        <v>438</v>
      </c>
      <c r="H161" s="67" t="s">
        <v>3</v>
      </c>
      <c r="I161" s="68"/>
      <c r="J161" s="111"/>
      <c r="K161" s="111"/>
      <c r="L161" s="111"/>
      <c r="M161" s="111"/>
      <c r="N161" s="111"/>
    </row>
    <row r="162" spans="1:14" x14ac:dyDescent="0.25">
      <c r="A162" s="199" t="s">
        <v>1112</v>
      </c>
      <c r="B162" s="277"/>
      <c r="C162" s="271"/>
      <c r="D162" s="77"/>
      <c r="E162" s="164"/>
      <c r="F162" s="68"/>
      <c r="G162" s="68" t="s">
        <v>1111</v>
      </c>
      <c r="H162" s="67" t="s">
        <v>3</v>
      </c>
      <c r="I162" s="68" t="s">
        <v>1010</v>
      </c>
    </row>
    <row r="163" spans="1:14" ht="51" x14ac:dyDescent="0.25">
      <c r="A163" s="199" t="s">
        <v>1110</v>
      </c>
      <c r="B163" s="277"/>
      <c r="C163" s="271"/>
      <c r="D163" s="273" t="s">
        <v>79</v>
      </c>
      <c r="E163" s="273"/>
      <c r="F163" s="68"/>
      <c r="G163" s="68" t="s">
        <v>510</v>
      </c>
      <c r="H163" s="67" t="s">
        <v>3</v>
      </c>
      <c r="I163" s="68"/>
      <c r="J163" s="111"/>
      <c r="K163" s="111"/>
      <c r="L163" s="111"/>
      <c r="M163" s="111"/>
      <c r="N163" s="111"/>
    </row>
    <row r="164" spans="1:14" ht="38.25" x14ac:dyDescent="0.25">
      <c r="A164" s="199" t="s">
        <v>1109</v>
      </c>
      <c r="B164" s="277"/>
      <c r="C164" s="271"/>
      <c r="D164" s="274"/>
      <c r="E164" s="274"/>
      <c r="F164" s="68"/>
      <c r="G164" s="68" t="s">
        <v>511</v>
      </c>
      <c r="H164" s="67" t="s">
        <v>3</v>
      </c>
      <c r="I164" s="68"/>
      <c r="J164" s="111"/>
      <c r="K164" s="111"/>
      <c r="L164" s="111"/>
      <c r="M164" s="111"/>
      <c r="N164" s="111"/>
    </row>
    <row r="165" spans="1:14" x14ac:dyDescent="0.25">
      <c r="A165" s="199" t="s">
        <v>1108</v>
      </c>
      <c r="B165" s="277"/>
      <c r="C165" s="271"/>
      <c r="D165" s="274"/>
      <c r="E165" s="274"/>
      <c r="F165" s="68"/>
      <c r="G165" s="68" t="s">
        <v>512</v>
      </c>
      <c r="H165" s="67" t="s">
        <v>3</v>
      </c>
      <c r="I165" s="68"/>
      <c r="J165" s="111"/>
      <c r="K165" s="111"/>
      <c r="L165" s="111"/>
      <c r="M165" s="111"/>
      <c r="N165" s="111"/>
    </row>
    <row r="166" spans="1:14" x14ac:dyDescent="0.25">
      <c r="A166" s="199" t="s">
        <v>1107</v>
      </c>
      <c r="B166" s="277"/>
      <c r="C166" s="271"/>
      <c r="D166" s="274"/>
      <c r="E166" s="274"/>
      <c r="F166" s="68"/>
      <c r="G166" s="68" t="s">
        <v>513</v>
      </c>
      <c r="H166" s="67" t="s">
        <v>3</v>
      </c>
      <c r="I166" s="68"/>
      <c r="J166" s="111"/>
      <c r="K166" s="111"/>
      <c r="L166" s="111"/>
      <c r="M166" s="111"/>
      <c r="N166" s="111"/>
    </row>
    <row r="167" spans="1:14" ht="25.5" x14ac:dyDescent="0.25">
      <c r="A167" s="199" t="s">
        <v>1106</v>
      </c>
      <c r="B167" s="277"/>
      <c r="C167" s="271"/>
      <c r="D167" s="274"/>
      <c r="E167" s="274"/>
      <c r="F167" s="68"/>
      <c r="G167" s="68" t="s">
        <v>514</v>
      </c>
      <c r="H167" s="67" t="s">
        <v>3</v>
      </c>
      <c r="I167" s="68"/>
      <c r="J167" s="111"/>
      <c r="K167" s="111"/>
      <c r="L167" s="111"/>
      <c r="M167" s="111"/>
      <c r="N167" s="111"/>
    </row>
    <row r="168" spans="1:14" ht="25.5" x14ac:dyDescent="0.25">
      <c r="A168" s="199" t="s">
        <v>1105</v>
      </c>
      <c r="B168" s="277"/>
      <c r="C168" s="271"/>
      <c r="D168" s="275"/>
      <c r="E168" s="275"/>
      <c r="F168" s="68"/>
      <c r="G168" s="68" t="s">
        <v>1104</v>
      </c>
      <c r="H168" s="67" t="s">
        <v>3</v>
      </c>
      <c r="I168" s="68" t="s">
        <v>1103</v>
      </c>
      <c r="J168" s="111"/>
      <c r="K168" s="111"/>
      <c r="L168" s="111"/>
      <c r="M168" s="111"/>
      <c r="N168" s="111"/>
    </row>
    <row r="169" spans="1:14" x14ac:dyDescent="0.25">
      <c r="A169" s="199" t="s">
        <v>1102</v>
      </c>
      <c r="B169" s="277"/>
      <c r="C169" s="271"/>
      <c r="D169" s="77"/>
      <c r="E169" s="164"/>
      <c r="F169" s="68"/>
      <c r="G169" s="68" t="s">
        <v>1079</v>
      </c>
      <c r="H169" s="67" t="s">
        <v>3</v>
      </c>
      <c r="I169" s="68" t="s">
        <v>1010</v>
      </c>
    </row>
    <row r="170" spans="1:14" ht="51" x14ac:dyDescent="0.25">
      <c r="A170" s="199" t="s">
        <v>1101</v>
      </c>
      <c r="B170" s="277"/>
      <c r="C170" s="271"/>
      <c r="D170" s="273" t="s">
        <v>33</v>
      </c>
      <c r="E170" s="273"/>
      <c r="F170" s="68"/>
      <c r="G170" s="68" t="s">
        <v>515</v>
      </c>
      <c r="H170" s="67" t="s">
        <v>3</v>
      </c>
      <c r="I170" s="68"/>
      <c r="J170" s="111"/>
      <c r="K170" s="111"/>
      <c r="L170" s="111"/>
      <c r="M170" s="111"/>
      <c r="N170" s="111"/>
    </row>
    <row r="171" spans="1:14" ht="25.5" x14ac:dyDescent="0.25">
      <c r="A171" s="199" t="s">
        <v>1100</v>
      </c>
      <c r="B171" s="277"/>
      <c r="C171" s="271"/>
      <c r="D171" s="274"/>
      <c r="E171" s="274"/>
      <c r="F171" s="68"/>
      <c r="G171" s="68" t="s">
        <v>516</v>
      </c>
      <c r="H171" s="67" t="s">
        <v>3</v>
      </c>
      <c r="I171" s="68"/>
      <c r="J171" s="111"/>
      <c r="K171" s="111"/>
      <c r="L171" s="111"/>
      <c r="M171" s="111"/>
      <c r="N171" s="111"/>
    </row>
    <row r="172" spans="1:14" x14ac:dyDescent="0.25">
      <c r="A172" s="199" t="s">
        <v>1099</v>
      </c>
      <c r="B172" s="277"/>
      <c r="C172" s="271"/>
      <c r="D172" s="274"/>
      <c r="E172" s="274"/>
      <c r="F172" s="68"/>
      <c r="G172" s="68" t="s">
        <v>517</v>
      </c>
      <c r="H172" s="67" t="s">
        <v>3</v>
      </c>
      <c r="I172" s="68"/>
      <c r="J172" s="111"/>
      <c r="K172" s="111"/>
      <c r="L172" s="111"/>
      <c r="M172" s="111"/>
      <c r="N172" s="111"/>
    </row>
    <row r="173" spans="1:14" ht="25.5" x14ac:dyDescent="0.25">
      <c r="A173" s="199" t="s">
        <v>1098</v>
      </c>
      <c r="B173" s="277"/>
      <c r="C173" s="271"/>
      <c r="D173" s="274"/>
      <c r="E173" s="274"/>
      <c r="F173" s="68"/>
      <c r="G173" s="68" t="s">
        <v>518</v>
      </c>
      <c r="H173" s="67" t="s">
        <v>3</v>
      </c>
      <c r="I173" s="68"/>
      <c r="J173" s="111"/>
      <c r="K173" s="111"/>
      <c r="L173" s="111"/>
      <c r="M173" s="111"/>
      <c r="N173" s="111"/>
    </row>
    <row r="174" spans="1:14" x14ac:dyDescent="0.25">
      <c r="A174" s="199" t="s">
        <v>1097</v>
      </c>
      <c r="B174" s="277"/>
      <c r="C174" s="271"/>
      <c r="D174" s="274"/>
      <c r="E174" s="274"/>
      <c r="F174" s="68"/>
      <c r="G174" s="68" t="s">
        <v>519</v>
      </c>
      <c r="H174" s="67" t="s">
        <v>3</v>
      </c>
      <c r="I174" s="68"/>
      <c r="J174" s="111"/>
      <c r="K174" s="111"/>
      <c r="L174" s="111"/>
      <c r="M174" s="111"/>
      <c r="N174" s="111"/>
    </row>
    <row r="175" spans="1:14" x14ac:dyDescent="0.25">
      <c r="A175" s="199" t="s">
        <v>1096</v>
      </c>
      <c r="B175" s="277"/>
      <c r="C175" s="271"/>
      <c r="D175" s="274"/>
      <c r="E175" s="274"/>
      <c r="F175" s="68"/>
      <c r="G175" s="68" t="s">
        <v>520</v>
      </c>
      <c r="H175" s="67" t="s">
        <v>3</v>
      </c>
      <c r="I175" s="68"/>
      <c r="J175" s="111"/>
      <c r="K175" s="111"/>
      <c r="L175" s="111"/>
      <c r="M175" s="111"/>
      <c r="N175" s="111"/>
    </row>
    <row r="176" spans="1:14" ht="25.5" x14ac:dyDescent="0.25">
      <c r="A176" s="199" t="s">
        <v>1095</v>
      </c>
      <c r="B176" s="277"/>
      <c r="C176" s="271"/>
      <c r="D176" s="275"/>
      <c r="E176" s="275"/>
      <c r="F176" s="68"/>
      <c r="G176" s="68" t="s">
        <v>521</v>
      </c>
      <c r="H176" s="67" t="s">
        <v>3</v>
      </c>
      <c r="I176" s="68"/>
      <c r="J176" s="111"/>
      <c r="K176" s="111"/>
      <c r="L176" s="111"/>
      <c r="M176" s="111"/>
      <c r="N176" s="111"/>
    </row>
    <row r="177" spans="1:14" x14ac:dyDescent="0.25">
      <c r="A177" s="199" t="s">
        <v>1094</v>
      </c>
      <c r="B177" s="277"/>
      <c r="C177" s="271"/>
      <c r="D177" s="77"/>
      <c r="E177" s="164"/>
      <c r="F177" s="68"/>
      <c r="G177" s="68" t="s">
        <v>1011</v>
      </c>
      <c r="H177" s="67" t="s">
        <v>3</v>
      </c>
      <c r="I177" s="68" t="s">
        <v>1010</v>
      </c>
    </row>
    <row r="178" spans="1:14" ht="51" x14ac:dyDescent="0.25">
      <c r="A178" s="199" t="s">
        <v>1093</v>
      </c>
      <c r="B178" s="277"/>
      <c r="C178" s="271"/>
      <c r="D178" s="273" t="s">
        <v>522</v>
      </c>
      <c r="E178" s="273" t="s">
        <v>523</v>
      </c>
      <c r="F178" s="68"/>
      <c r="G178" s="68" t="s">
        <v>524</v>
      </c>
      <c r="H178" s="67" t="s">
        <v>3</v>
      </c>
      <c r="I178" s="68"/>
      <c r="J178" s="111"/>
      <c r="K178" s="111"/>
      <c r="L178" s="111"/>
      <c r="M178" s="111"/>
      <c r="N178" s="111"/>
    </row>
    <row r="179" spans="1:14" ht="38.25" x14ac:dyDescent="0.25">
      <c r="A179" s="199" t="s">
        <v>1092</v>
      </c>
      <c r="B179" s="277"/>
      <c r="C179" s="271"/>
      <c r="D179" s="274"/>
      <c r="E179" s="274"/>
      <c r="F179" s="68"/>
      <c r="G179" s="68" t="s">
        <v>525</v>
      </c>
      <c r="H179" s="67" t="s">
        <v>3</v>
      </c>
      <c r="I179" s="68"/>
      <c r="J179" s="111"/>
      <c r="K179" s="111"/>
      <c r="L179" s="111"/>
      <c r="M179" s="111"/>
      <c r="N179" s="111"/>
    </row>
    <row r="180" spans="1:14" ht="38.25" x14ac:dyDescent="0.25">
      <c r="A180" s="199" t="s">
        <v>1091</v>
      </c>
      <c r="B180" s="277"/>
      <c r="C180" s="271"/>
      <c r="D180" s="274"/>
      <c r="E180" s="274"/>
      <c r="F180" s="68"/>
      <c r="G180" s="68" t="s">
        <v>526</v>
      </c>
      <c r="H180" s="67" t="s">
        <v>3</v>
      </c>
      <c r="I180" s="68"/>
      <c r="J180" s="111"/>
      <c r="K180" s="111"/>
      <c r="L180" s="111"/>
      <c r="M180" s="111"/>
      <c r="N180" s="111"/>
    </row>
    <row r="181" spans="1:14" x14ac:dyDescent="0.25">
      <c r="A181" s="199" t="s">
        <v>1090</v>
      </c>
      <c r="B181" s="277"/>
      <c r="C181" s="271"/>
      <c r="D181" s="274"/>
      <c r="E181" s="274"/>
      <c r="F181" s="68"/>
      <c r="G181" s="68" t="s">
        <v>527</v>
      </c>
      <c r="H181" s="67" t="s">
        <v>3</v>
      </c>
      <c r="I181" s="68"/>
      <c r="J181" s="111"/>
      <c r="K181" s="111"/>
      <c r="L181" s="111"/>
      <c r="M181" s="111"/>
      <c r="N181" s="111"/>
    </row>
    <row r="182" spans="1:14" ht="25.5" x14ac:dyDescent="0.25">
      <c r="A182" s="199" t="s">
        <v>1089</v>
      </c>
      <c r="B182" s="277"/>
      <c r="C182" s="271"/>
      <c r="D182" s="274"/>
      <c r="E182" s="274"/>
      <c r="F182" s="68"/>
      <c r="G182" s="68" t="s">
        <v>528</v>
      </c>
      <c r="H182" s="67" t="s">
        <v>3</v>
      </c>
      <c r="I182" s="68"/>
      <c r="J182" s="111"/>
      <c r="K182" s="111"/>
      <c r="L182" s="111"/>
      <c r="M182" s="111"/>
      <c r="N182" s="111"/>
    </row>
    <row r="183" spans="1:14" ht="38.25" x14ac:dyDescent="0.25">
      <c r="A183" s="199" t="s">
        <v>1088</v>
      </c>
      <c r="B183" s="277"/>
      <c r="C183" s="271"/>
      <c r="D183" s="274"/>
      <c r="E183" s="275"/>
      <c r="F183" s="68"/>
      <c r="G183" s="68" t="s">
        <v>529</v>
      </c>
      <c r="H183" s="67" t="s">
        <v>3</v>
      </c>
      <c r="I183" s="68"/>
      <c r="J183" s="111"/>
      <c r="K183" s="111"/>
      <c r="L183" s="111"/>
      <c r="M183" s="111"/>
      <c r="N183" s="111"/>
    </row>
    <row r="184" spans="1:14" x14ac:dyDescent="0.25">
      <c r="A184" s="199" t="s">
        <v>1087</v>
      </c>
      <c r="B184" s="277"/>
      <c r="C184" s="271"/>
      <c r="D184" s="274"/>
      <c r="E184" s="164"/>
      <c r="F184" s="68"/>
      <c r="G184" s="68" t="s">
        <v>1079</v>
      </c>
      <c r="H184" s="67" t="s">
        <v>3</v>
      </c>
      <c r="I184" s="68" t="s">
        <v>1010</v>
      </c>
    </row>
    <row r="185" spans="1:14" x14ac:dyDescent="0.25">
      <c r="A185" s="199" t="s">
        <v>1086</v>
      </c>
      <c r="B185" s="277"/>
      <c r="C185" s="271"/>
      <c r="D185" s="274"/>
      <c r="E185" s="273" t="s">
        <v>530</v>
      </c>
      <c r="F185" s="68"/>
      <c r="G185" s="68" t="s">
        <v>531</v>
      </c>
      <c r="H185" s="67" t="s">
        <v>3</v>
      </c>
      <c r="I185" s="68"/>
      <c r="J185" s="111"/>
      <c r="K185" s="111"/>
      <c r="L185" s="111"/>
      <c r="M185" s="111"/>
      <c r="N185" s="111"/>
    </row>
    <row r="186" spans="1:14" x14ac:dyDescent="0.25">
      <c r="A186" s="199" t="s">
        <v>1085</v>
      </c>
      <c r="B186" s="277"/>
      <c r="C186" s="271"/>
      <c r="D186" s="274"/>
      <c r="E186" s="274"/>
      <c r="F186" s="68"/>
      <c r="G186" s="68" t="s">
        <v>532</v>
      </c>
      <c r="H186" s="67" t="s">
        <v>3</v>
      </c>
      <c r="I186" s="68"/>
      <c r="J186" s="111"/>
      <c r="K186" s="111"/>
      <c r="L186" s="111"/>
      <c r="M186" s="111"/>
      <c r="N186" s="111"/>
    </row>
    <row r="187" spans="1:14" ht="38.25" x14ac:dyDescent="0.25">
      <c r="A187" s="199" t="s">
        <v>1084</v>
      </c>
      <c r="B187" s="277"/>
      <c r="C187" s="271"/>
      <c r="D187" s="274"/>
      <c r="E187" s="274"/>
      <c r="F187" s="68"/>
      <c r="G187" s="68" t="s">
        <v>526</v>
      </c>
      <c r="H187" s="67" t="s">
        <v>3</v>
      </c>
      <c r="I187" s="68"/>
      <c r="J187" s="111"/>
      <c r="K187" s="111"/>
      <c r="L187" s="111"/>
      <c r="M187" s="111"/>
      <c r="N187" s="111"/>
    </row>
    <row r="188" spans="1:14" x14ac:dyDescent="0.25">
      <c r="A188" s="199" t="s">
        <v>1083</v>
      </c>
      <c r="B188" s="277"/>
      <c r="C188" s="271"/>
      <c r="D188" s="274"/>
      <c r="E188" s="274"/>
      <c r="F188" s="68"/>
      <c r="G188" s="68" t="s">
        <v>527</v>
      </c>
      <c r="H188" s="67" t="s">
        <v>3</v>
      </c>
      <c r="I188" s="68"/>
      <c r="J188" s="111"/>
      <c r="K188" s="111"/>
      <c r="L188" s="111"/>
      <c r="M188" s="111"/>
      <c r="N188" s="111"/>
    </row>
    <row r="189" spans="1:14" ht="25.5" x14ac:dyDescent="0.25">
      <c r="A189" s="199" t="s">
        <v>1082</v>
      </c>
      <c r="B189" s="277"/>
      <c r="C189" s="271"/>
      <c r="D189" s="274"/>
      <c r="E189" s="274"/>
      <c r="F189" s="68"/>
      <c r="G189" s="68" t="s">
        <v>528</v>
      </c>
      <c r="H189" s="67" t="s">
        <v>3</v>
      </c>
      <c r="I189" s="68"/>
      <c r="J189" s="111"/>
      <c r="K189" s="111"/>
      <c r="L189" s="111"/>
      <c r="M189" s="111"/>
      <c r="N189" s="111"/>
    </row>
    <row r="190" spans="1:14" ht="38.25" x14ac:dyDescent="0.25">
      <c r="A190" s="199" t="s">
        <v>1081</v>
      </c>
      <c r="B190" s="277"/>
      <c r="C190" s="271"/>
      <c r="D190" s="274"/>
      <c r="E190" s="275"/>
      <c r="F190" s="68"/>
      <c r="G190" s="68" t="s">
        <v>529</v>
      </c>
      <c r="H190" s="67" t="s">
        <v>3</v>
      </c>
      <c r="I190" s="68"/>
      <c r="J190" s="111"/>
      <c r="K190" s="111"/>
      <c r="L190" s="111"/>
      <c r="M190" s="111"/>
      <c r="N190" s="111"/>
    </row>
    <row r="191" spans="1:14" x14ac:dyDescent="0.25">
      <c r="A191" s="199" t="s">
        <v>1080</v>
      </c>
      <c r="B191" s="277"/>
      <c r="C191" s="271"/>
      <c r="D191" s="162"/>
      <c r="E191" s="164"/>
      <c r="F191" s="68"/>
      <c r="G191" s="68" t="s">
        <v>1079</v>
      </c>
      <c r="H191" s="67" t="s">
        <v>3</v>
      </c>
      <c r="I191" s="68" t="s">
        <v>1010</v>
      </c>
    </row>
    <row r="192" spans="1:14" ht="25.5" x14ac:dyDescent="0.25">
      <c r="A192" s="199" t="s">
        <v>1078</v>
      </c>
      <c r="B192" s="277"/>
      <c r="C192" s="271"/>
      <c r="D192" s="258" t="s">
        <v>368</v>
      </c>
      <c r="E192" s="258"/>
      <c r="F192" s="79" t="s">
        <v>1077</v>
      </c>
      <c r="G192" s="68" t="s">
        <v>533</v>
      </c>
      <c r="H192" s="67" t="s">
        <v>3</v>
      </c>
      <c r="I192" s="68"/>
    </row>
    <row r="193" spans="1:9" x14ac:dyDescent="0.25">
      <c r="A193" s="199" t="s">
        <v>1076</v>
      </c>
      <c r="B193" s="277"/>
      <c r="C193" s="271"/>
      <c r="D193" s="260"/>
      <c r="E193" s="260"/>
      <c r="F193" s="79"/>
      <c r="G193" s="68" t="s">
        <v>534</v>
      </c>
      <c r="H193" s="67" t="s">
        <v>3</v>
      </c>
      <c r="I193" s="68"/>
    </row>
    <row r="194" spans="1:9" ht="51" x14ac:dyDescent="0.25">
      <c r="A194" s="199" t="s">
        <v>1075</v>
      </c>
      <c r="B194" s="277"/>
      <c r="C194" s="272"/>
      <c r="D194" s="258" t="s">
        <v>70</v>
      </c>
      <c r="E194" s="258"/>
      <c r="F194" s="79"/>
      <c r="G194" s="68" t="s">
        <v>535</v>
      </c>
      <c r="H194" s="67" t="s">
        <v>3</v>
      </c>
      <c r="I194" s="68"/>
    </row>
    <row r="195" spans="1:9" x14ac:dyDescent="0.25">
      <c r="A195" s="199" t="s">
        <v>1074</v>
      </c>
      <c r="B195" s="277"/>
      <c r="C195" s="167"/>
      <c r="D195" s="259"/>
      <c r="E195" s="259"/>
      <c r="F195" s="79"/>
      <c r="G195" s="68" t="s">
        <v>536</v>
      </c>
      <c r="H195" s="67" t="s">
        <v>3</v>
      </c>
      <c r="I195" s="68"/>
    </row>
    <row r="196" spans="1:9" x14ac:dyDescent="0.25">
      <c r="A196" s="199" t="s">
        <v>1073</v>
      </c>
      <c r="B196" s="277"/>
      <c r="C196" s="167"/>
      <c r="D196" s="259"/>
      <c r="E196" s="259"/>
      <c r="F196" s="79"/>
      <c r="G196" s="68" t="s">
        <v>537</v>
      </c>
      <c r="H196" s="67" t="s">
        <v>3</v>
      </c>
      <c r="I196" s="68"/>
    </row>
    <row r="197" spans="1:9" x14ac:dyDescent="0.25">
      <c r="A197" s="199" t="s">
        <v>1072</v>
      </c>
      <c r="B197" s="277"/>
      <c r="C197" s="167"/>
      <c r="D197" s="259"/>
      <c r="E197" s="259"/>
      <c r="F197" s="79"/>
      <c r="G197" s="68" t="s">
        <v>538</v>
      </c>
      <c r="H197" s="67" t="s">
        <v>3</v>
      </c>
      <c r="I197" s="68"/>
    </row>
    <row r="198" spans="1:9" x14ac:dyDescent="0.25">
      <c r="A198" s="199" t="s">
        <v>1071</v>
      </c>
      <c r="B198" s="277"/>
      <c r="C198" s="167"/>
      <c r="D198" s="259"/>
      <c r="E198" s="259"/>
      <c r="F198" s="79"/>
      <c r="G198" s="68" t="s">
        <v>539</v>
      </c>
      <c r="H198" s="67" t="s">
        <v>3</v>
      </c>
      <c r="I198" s="68"/>
    </row>
    <row r="199" spans="1:9" x14ac:dyDescent="0.25">
      <c r="A199" s="199" t="s">
        <v>1070</v>
      </c>
      <c r="B199" s="277"/>
      <c r="C199" s="167"/>
      <c r="D199" s="260"/>
      <c r="E199" s="260"/>
      <c r="F199" s="79"/>
      <c r="G199" s="68" t="s">
        <v>540</v>
      </c>
      <c r="H199" s="67" t="s">
        <v>3</v>
      </c>
      <c r="I199" s="68"/>
    </row>
    <row r="200" spans="1:9" ht="38.25" x14ac:dyDescent="0.25">
      <c r="A200" s="199" t="s">
        <v>1069</v>
      </c>
      <c r="B200" s="277"/>
      <c r="C200" s="285" t="s">
        <v>541</v>
      </c>
      <c r="D200" s="258" t="s">
        <v>542</v>
      </c>
      <c r="E200" s="70"/>
      <c r="F200" s="79"/>
      <c r="G200" s="68" t="s">
        <v>543</v>
      </c>
      <c r="H200" s="67" t="s">
        <v>3</v>
      </c>
      <c r="I200" s="68"/>
    </row>
    <row r="201" spans="1:9" x14ac:dyDescent="0.25">
      <c r="A201" s="199" t="s">
        <v>1068</v>
      </c>
      <c r="B201" s="277"/>
      <c r="C201" s="286"/>
      <c r="D201" s="259"/>
      <c r="E201" s="75"/>
      <c r="F201" s="79"/>
      <c r="G201" s="68" t="s">
        <v>431</v>
      </c>
      <c r="H201" s="67" t="s">
        <v>3</v>
      </c>
      <c r="I201" s="68"/>
    </row>
    <row r="202" spans="1:9" ht="51" x14ac:dyDescent="0.25">
      <c r="A202" s="199" t="s">
        <v>1067</v>
      </c>
      <c r="B202" s="277"/>
      <c r="C202" s="286"/>
      <c r="D202" s="259"/>
      <c r="E202" s="258"/>
      <c r="F202" s="79"/>
      <c r="G202" s="68" t="s">
        <v>544</v>
      </c>
      <c r="H202" s="67" t="s">
        <v>3</v>
      </c>
      <c r="I202" s="68"/>
    </row>
    <row r="203" spans="1:9" x14ac:dyDescent="0.25">
      <c r="A203" s="199" t="s">
        <v>1066</v>
      </c>
      <c r="B203" s="277"/>
      <c r="C203" s="286"/>
      <c r="D203" s="259"/>
      <c r="E203" s="259"/>
      <c r="F203" s="79"/>
      <c r="G203" s="68" t="s">
        <v>545</v>
      </c>
      <c r="H203" s="67" t="s">
        <v>3</v>
      </c>
      <c r="I203" s="68"/>
    </row>
    <row r="204" spans="1:9" x14ac:dyDescent="0.25">
      <c r="A204" s="199" t="s">
        <v>1065</v>
      </c>
      <c r="B204" s="277"/>
      <c r="C204" s="286"/>
      <c r="D204" s="260"/>
      <c r="E204" s="260"/>
      <c r="F204" s="79"/>
      <c r="G204" s="68" t="s">
        <v>546</v>
      </c>
      <c r="H204" s="67" t="s">
        <v>3</v>
      </c>
      <c r="I204" s="68"/>
    </row>
    <row r="205" spans="1:9" ht="25.5" x14ac:dyDescent="0.25">
      <c r="A205" s="199" t="s">
        <v>1064</v>
      </c>
      <c r="B205" s="277"/>
      <c r="C205" s="286"/>
      <c r="D205" s="258" t="s">
        <v>547</v>
      </c>
      <c r="E205" s="258"/>
      <c r="F205" s="79"/>
      <c r="G205" s="68" t="s">
        <v>548</v>
      </c>
      <c r="H205" s="67" t="s">
        <v>3</v>
      </c>
      <c r="I205" s="68"/>
    </row>
    <row r="206" spans="1:9" x14ac:dyDescent="0.25">
      <c r="A206" s="199" t="s">
        <v>1063</v>
      </c>
      <c r="B206" s="277"/>
      <c r="C206" s="286"/>
      <c r="D206" s="259"/>
      <c r="E206" s="259"/>
      <c r="F206" s="79"/>
      <c r="G206" s="68" t="s">
        <v>549</v>
      </c>
      <c r="H206" s="67" t="s">
        <v>3</v>
      </c>
      <c r="I206" s="68"/>
    </row>
    <row r="207" spans="1:9" ht="25.5" x14ac:dyDescent="0.25">
      <c r="A207" s="199" t="s">
        <v>1062</v>
      </c>
      <c r="B207" s="277"/>
      <c r="C207" s="286"/>
      <c r="D207" s="259"/>
      <c r="E207" s="259"/>
      <c r="F207" s="79"/>
      <c r="G207" s="68" t="s">
        <v>550</v>
      </c>
      <c r="H207" s="67" t="s">
        <v>3</v>
      </c>
      <c r="I207" s="68"/>
    </row>
    <row r="208" spans="1:9" ht="25.5" x14ac:dyDescent="0.25">
      <c r="A208" s="199" t="s">
        <v>1061</v>
      </c>
      <c r="B208" s="277"/>
      <c r="C208" s="286"/>
      <c r="D208" s="259"/>
      <c r="E208" s="259"/>
      <c r="F208" s="79"/>
      <c r="G208" s="68" t="s">
        <v>551</v>
      </c>
      <c r="H208" s="67" t="s">
        <v>3</v>
      </c>
      <c r="I208" s="68"/>
    </row>
    <row r="209" spans="1:9" ht="25.5" x14ac:dyDescent="0.25">
      <c r="A209" s="199" t="s">
        <v>1060</v>
      </c>
      <c r="B209" s="277"/>
      <c r="C209" s="286"/>
      <c r="D209" s="260"/>
      <c r="E209" s="260"/>
      <c r="F209" s="79"/>
      <c r="G209" s="68" t="s">
        <v>476</v>
      </c>
      <c r="H209" s="67" t="s">
        <v>3</v>
      </c>
      <c r="I209" s="68"/>
    </row>
    <row r="210" spans="1:9" x14ac:dyDescent="0.25">
      <c r="A210" s="199" t="s">
        <v>1059</v>
      </c>
      <c r="B210" s="277"/>
      <c r="C210" s="286"/>
      <c r="D210" s="162"/>
      <c r="E210" s="164"/>
      <c r="F210" s="68"/>
      <c r="G210" s="68" t="s">
        <v>1046</v>
      </c>
      <c r="H210" s="67" t="s">
        <v>3</v>
      </c>
      <c r="I210" s="68" t="s">
        <v>1010</v>
      </c>
    </row>
    <row r="211" spans="1:9" ht="25.5" x14ac:dyDescent="0.25">
      <c r="A211" s="199" t="s">
        <v>1058</v>
      </c>
      <c r="B211" s="277"/>
      <c r="C211" s="286"/>
      <c r="D211" s="258" t="s">
        <v>552</v>
      </c>
      <c r="E211" s="258"/>
      <c r="F211" s="79"/>
      <c r="G211" s="68" t="s">
        <v>553</v>
      </c>
      <c r="H211" s="67" t="s">
        <v>3</v>
      </c>
      <c r="I211" s="68"/>
    </row>
    <row r="212" spans="1:9" ht="25.5" x14ac:dyDescent="0.25">
      <c r="A212" s="199" t="s">
        <v>1057</v>
      </c>
      <c r="B212" s="277"/>
      <c r="C212" s="286"/>
      <c r="D212" s="259"/>
      <c r="E212" s="259"/>
      <c r="F212" s="79"/>
      <c r="G212" s="68" t="s">
        <v>554</v>
      </c>
      <c r="H212" s="67" t="s">
        <v>3</v>
      </c>
      <c r="I212" s="68"/>
    </row>
    <row r="213" spans="1:9" ht="38.25" x14ac:dyDescent="0.25">
      <c r="A213" s="199" t="s">
        <v>1056</v>
      </c>
      <c r="B213" s="277"/>
      <c r="C213" s="286"/>
      <c r="D213" s="259"/>
      <c r="E213" s="259"/>
      <c r="F213" s="79"/>
      <c r="G213" s="68" t="s">
        <v>555</v>
      </c>
      <c r="H213" s="67" t="s">
        <v>3</v>
      </c>
      <c r="I213" s="68"/>
    </row>
    <row r="214" spans="1:9" x14ac:dyDescent="0.25">
      <c r="A214" s="199" t="s">
        <v>1055</v>
      </c>
      <c r="B214" s="277"/>
      <c r="C214" s="286"/>
      <c r="D214" s="259"/>
      <c r="E214" s="259"/>
      <c r="F214" s="79"/>
      <c r="G214" s="68" t="s">
        <v>556</v>
      </c>
      <c r="H214" s="67" t="s">
        <v>3</v>
      </c>
      <c r="I214" s="68"/>
    </row>
    <row r="215" spans="1:9" ht="25.5" x14ac:dyDescent="0.25">
      <c r="A215" s="199" t="s">
        <v>1054</v>
      </c>
      <c r="B215" s="277"/>
      <c r="C215" s="286"/>
      <c r="D215" s="260"/>
      <c r="E215" s="260"/>
      <c r="F215" s="79"/>
      <c r="G215" s="68" t="s">
        <v>476</v>
      </c>
      <c r="H215" s="67" t="s">
        <v>3</v>
      </c>
      <c r="I215" s="68"/>
    </row>
    <row r="216" spans="1:9" x14ac:dyDescent="0.25">
      <c r="A216" s="199" t="s">
        <v>1053</v>
      </c>
      <c r="B216" s="277"/>
      <c r="C216" s="286"/>
      <c r="D216" s="162"/>
      <c r="E216" s="164"/>
      <c r="F216" s="68"/>
      <c r="G216" s="68" t="s">
        <v>1046</v>
      </c>
      <c r="H216" s="67" t="s">
        <v>3</v>
      </c>
      <c r="I216" s="68" t="s">
        <v>1010</v>
      </c>
    </row>
    <row r="217" spans="1:9" ht="25.5" x14ac:dyDescent="0.25">
      <c r="A217" s="199" t="s">
        <v>1052</v>
      </c>
      <c r="B217" s="277"/>
      <c r="C217" s="286"/>
      <c r="D217" s="258" t="s">
        <v>299</v>
      </c>
      <c r="E217" s="258"/>
      <c r="F217" s="79"/>
      <c r="G217" s="68" t="s">
        <v>557</v>
      </c>
      <c r="H217" s="67" t="s">
        <v>385</v>
      </c>
      <c r="I217" s="68"/>
    </row>
    <row r="218" spans="1:9" ht="38.25" x14ac:dyDescent="0.25">
      <c r="A218" s="199" t="s">
        <v>1051</v>
      </c>
      <c r="B218" s="277"/>
      <c r="C218" s="286"/>
      <c r="D218" s="259"/>
      <c r="E218" s="259"/>
      <c r="F218" s="79"/>
      <c r="G218" s="68" t="s">
        <v>558</v>
      </c>
      <c r="H218" s="67" t="s">
        <v>385</v>
      </c>
      <c r="I218" s="68"/>
    </row>
    <row r="219" spans="1:9" x14ac:dyDescent="0.25">
      <c r="A219" s="199" t="s">
        <v>1050</v>
      </c>
      <c r="B219" s="277"/>
      <c r="C219" s="286"/>
      <c r="D219" s="259"/>
      <c r="E219" s="259"/>
      <c r="F219" s="79"/>
      <c r="G219" s="68" t="s">
        <v>559</v>
      </c>
      <c r="H219" s="67" t="s">
        <v>385</v>
      </c>
      <c r="I219" s="68"/>
    </row>
    <row r="220" spans="1:9" ht="127.5" x14ac:dyDescent="0.25">
      <c r="A220" s="199" t="s">
        <v>1049</v>
      </c>
      <c r="B220" s="277"/>
      <c r="C220" s="286"/>
      <c r="D220" s="259"/>
      <c r="E220" s="259"/>
      <c r="F220" s="79"/>
      <c r="G220" s="68" t="s">
        <v>560</v>
      </c>
      <c r="H220" s="67" t="s">
        <v>385</v>
      </c>
      <c r="I220" s="68"/>
    </row>
    <row r="221" spans="1:9" ht="25.5" x14ac:dyDescent="0.25">
      <c r="A221" s="199" t="s">
        <v>1048</v>
      </c>
      <c r="B221" s="277"/>
      <c r="C221" s="286"/>
      <c r="D221" s="260"/>
      <c r="E221" s="260"/>
      <c r="F221" s="79"/>
      <c r="G221" s="68" t="s">
        <v>476</v>
      </c>
      <c r="H221" s="67" t="s">
        <v>385</v>
      </c>
      <c r="I221" s="68"/>
    </row>
    <row r="222" spans="1:9" x14ac:dyDescent="0.25">
      <c r="A222" s="199" t="s">
        <v>1047</v>
      </c>
      <c r="B222" s="277"/>
      <c r="C222" s="286"/>
      <c r="D222" s="162"/>
      <c r="E222" s="164"/>
      <c r="F222" s="68"/>
      <c r="G222" s="68" t="s">
        <v>1046</v>
      </c>
      <c r="H222" s="67" t="s">
        <v>385</v>
      </c>
      <c r="I222" s="68" t="s">
        <v>1010</v>
      </c>
    </row>
    <row r="223" spans="1:9" ht="76.5" x14ac:dyDescent="0.25">
      <c r="A223" s="199" t="s">
        <v>1045</v>
      </c>
      <c r="B223" s="277"/>
      <c r="C223" s="286"/>
      <c r="D223" s="273" t="s">
        <v>364</v>
      </c>
      <c r="E223" s="273"/>
      <c r="F223" s="68" t="s">
        <v>365</v>
      </c>
      <c r="G223" s="68" t="s">
        <v>561</v>
      </c>
      <c r="H223" s="67" t="s">
        <v>3</v>
      </c>
      <c r="I223" s="80"/>
    </row>
    <row r="224" spans="1:9" ht="38.25" x14ac:dyDescent="0.25">
      <c r="A224" s="199" t="s">
        <v>1044</v>
      </c>
      <c r="B224" s="277"/>
      <c r="C224" s="286"/>
      <c r="D224" s="274"/>
      <c r="E224" s="274"/>
      <c r="F224" s="68"/>
      <c r="G224" s="68" t="s">
        <v>562</v>
      </c>
      <c r="H224" s="67" t="s">
        <v>3</v>
      </c>
      <c r="I224" s="80"/>
    </row>
    <row r="225" spans="1:9" x14ac:dyDescent="0.25">
      <c r="A225" s="199" t="s">
        <v>1043</v>
      </c>
      <c r="B225" s="277"/>
      <c r="C225" s="286"/>
      <c r="D225" s="274"/>
      <c r="E225" s="274"/>
      <c r="F225" s="68"/>
      <c r="G225" s="68" t="s">
        <v>563</v>
      </c>
      <c r="H225" s="67" t="s">
        <v>3</v>
      </c>
      <c r="I225" s="80"/>
    </row>
    <row r="226" spans="1:9" ht="25.5" x14ac:dyDescent="0.25">
      <c r="A226" s="199" t="s">
        <v>1042</v>
      </c>
      <c r="B226" s="277"/>
      <c r="C226" s="286"/>
      <c r="D226" s="274"/>
      <c r="E226" s="274"/>
      <c r="F226" s="68"/>
      <c r="G226" s="68" t="s">
        <v>564</v>
      </c>
      <c r="H226" s="67" t="s">
        <v>3</v>
      </c>
      <c r="I226" s="80"/>
    </row>
    <row r="227" spans="1:9" ht="25.5" x14ac:dyDescent="0.25">
      <c r="A227" s="199" t="s">
        <v>1041</v>
      </c>
      <c r="B227" s="277"/>
      <c r="C227" s="286"/>
      <c r="D227" s="274"/>
      <c r="E227" s="274"/>
      <c r="F227" s="68"/>
      <c r="G227" s="68" t="s">
        <v>565</v>
      </c>
      <c r="H227" s="67" t="s">
        <v>3</v>
      </c>
      <c r="I227" s="80"/>
    </row>
    <row r="228" spans="1:9" ht="25.5" x14ac:dyDescent="0.25">
      <c r="A228" s="199" t="s">
        <v>1040</v>
      </c>
      <c r="B228" s="277"/>
      <c r="C228" s="286"/>
      <c r="D228" s="274"/>
      <c r="E228" s="274"/>
      <c r="F228" s="68"/>
      <c r="G228" s="68" t="s">
        <v>566</v>
      </c>
      <c r="H228" s="67" t="s">
        <v>3</v>
      </c>
      <c r="I228" s="80"/>
    </row>
    <row r="229" spans="1:9" x14ac:dyDescent="0.25">
      <c r="A229" s="199" t="s">
        <v>1039</v>
      </c>
      <c r="B229" s="277"/>
      <c r="C229" s="286"/>
      <c r="D229" s="274"/>
      <c r="E229" s="274"/>
      <c r="F229" s="68"/>
      <c r="G229" s="68" t="s">
        <v>567</v>
      </c>
      <c r="H229" s="67" t="s">
        <v>3</v>
      </c>
      <c r="I229" s="80"/>
    </row>
    <row r="230" spans="1:9" x14ac:dyDescent="0.25">
      <c r="A230" s="199" t="s">
        <v>1038</v>
      </c>
      <c r="B230" s="277"/>
      <c r="C230" s="286"/>
      <c r="D230" s="274"/>
      <c r="E230" s="274"/>
      <c r="F230" s="68"/>
      <c r="G230" s="68" t="s">
        <v>568</v>
      </c>
      <c r="H230" s="67" t="s">
        <v>3</v>
      </c>
      <c r="I230" s="80"/>
    </row>
    <row r="231" spans="1:9" ht="25.5" x14ac:dyDescent="0.25">
      <c r="A231" s="199" t="s">
        <v>1037</v>
      </c>
      <c r="B231" s="277"/>
      <c r="C231" s="286"/>
      <c r="D231" s="274"/>
      <c r="E231" s="274"/>
      <c r="F231" s="68"/>
      <c r="G231" s="68" t="s">
        <v>897</v>
      </c>
      <c r="H231" s="67" t="s">
        <v>3</v>
      </c>
      <c r="I231" s="68" t="s">
        <v>896</v>
      </c>
    </row>
    <row r="232" spans="1:9" ht="25.5" x14ac:dyDescent="0.25">
      <c r="A232" s="199" t="s">
        <v>1036</v>
      </c>
      <c r="B232" s="277"/>
      <c r="C232" s="286"/>
      <c r="D232" s="275"/>
      <c r="E232" s="275"/>
      <c r="F232" s="68"/>
      <c r="G232" s="68" t="s">
        <v>569</v>
      </c>
      <c r="H232" s="67" t="s">
        <v>3</v>
      </c>
      <c r="I232" s="80"/>
    </row>
    <row r="233" spans="1:9" x14ac:dyDescent="0.25">
      <c r="A233" s="199" t="s">
        <v>1035</v>
      </c>
      <c r="B233" s="277"/>
      <c r="C233" s="286"/>
      <c r="D233" s="162"/>
      <c r="E233" s="164"/>
      <c r="F233" s="68"/>
      <c r="G233" s="68" t="s">
        <v>1034</v>
      </c>
      <c r="H233" s="67" t="s">
        <v>3</v>
      </c>
      <c r="I233" s="68" t="s">
        <v>1010</v>
      </c>
    </row>
    <row r="234" spans="1:9" ht="51" x14ac:dyDescent="0.25">
      <c r="A234" s="199" t="s">
        <v>1033</v>
      </c>
      <c r="B234" s="277"/>
      <c r="C234" s="286"/>
      <c r="D234" s="273" t="s">
        <v>570</v>
      </c>
      <c r="E234" s="76" t="s">
        <v>1032</v>
      </c>
      <c r="F234" s="68"/>
      <c r="G234" s="68" t="s">
        <v>1031</v>
      </c>
      <c r="H234" s="67" t="s">
        <v>3</v>
      </c>
      <c r="I234" s="68"/>
    </row>
    <row r="235" spans="1:9" ht="25.5" x14ac:dyDescent="0.25">
      <c r="A235" s="199" t="s">
        <v>1030</v>
      </c>
      <c r="B235" s="277"/>
      <c r="C235" s="286"/>
      <c r="D235" s="274"/>
      <c r="E235" s="77"/>
      <c r="F235" s="68"/>
      <c r="G235" s="68" t="s">
        <v>571</v>
      </c>
      <c r="H235" s="67" t="s">
        <v>3</v>
      </c>
      <c r="I235" s="68"/>
    </row>
    <row r="236" spans="1:9" ht="38.25" x14ac:dyDescent="0.25">
      <c r="A236" s="199" t="s">
        <v>1029</v>
      </c>
      <c r="B236" s="277"/>
      <c r="C236" s="286"/>
      <c r="D236" s="274"/>
      <c r="E236" s="77"/>
      <c r="F236" s="68"/>
      <c r="G236" s="68" t="s">
        <v>572</v>
      </c>
      <c r="H236" s="67" t="s">
        <v>3</v>
      </c>
      <c r="I236" s="68"/>
    </row>
    <row r="237" spans="1:9" x14ac:dyDescent="0.25">
      <c r="A237" s="199" t="s">
        <v>1028</v>
      </c>
      <c r="B237" s="277"/>
      <c r="C237" s="286"/>
      <c r="D237" s="274"/>
      <c r="E237" s="77"/>
      <c r="F237" s="68"/>
      <c r="G237" s="68" t="s">
        <v>573</v>
      </c>
      <c r="H237" s="67" t="s">
        <v>3</v>
      </c>
      <c r="I237" s="68"/>
    </row>
    <row r="238" spans="1:9" ht="25.5" x14ac:dyDescent="0.25">
      <c r="A238" s="199" t="s">
        <v>1027</v>
      </c>
      <c r="B238" s="277"/>
      <c r="C238" s="286"/>
      <c r="D238" s="274"/>
      <c r="E238" s="77"/>
      <c r="F238" s="68"/>
      <c r="G238" s="68" t="s">
        <v>574</v>
      </c>
      <c r="H238" s="67" t="s">
        <v>3</v>
      </c>
      <c r="I238" s="68"/>
    </row>
    <row r="239" spans="1:9" ht="25.5" x14ac:dyDescent="0.25">
      <c r="A239" s="199" t="s">
        <v>1026</v>
      </c>
      <c r="B239" s="277"/>
      <c r="C239" s="286"/>
      <c r="D239" s="274"/>
      <c r="E239" s="77"/>
      <c r="F239" s="68"/>
      <c r="G239" s="68" t="s">
        <v>503</v>
      </c>
      <c r="H239" s="67" t="s">
        <v>385</v>
      </c>
      <c r="I239" s="68"/>
    </row>
    <row r="240" spans="1:9" ht="25.5" x14ac:dyDescent="0.25">
      <c r="A240" s="199" t="s">
        <v>1025</v>
      </c>
      <c r="B240" s="277"/>
      <c r="C240" s="286"/>
      <c r="D240" s="274"/>
      <c r="E240" s="77"/>
      <c r="F240" s="165"/>
      <c r="G240" s="165" t="s">
        <v>521</v>
      </c>
      <c r="H240" s="67" t="s">
        <v>3</v>
      </c>
      <c r="I240" s="165"/>
    </row>
    <row r="241" spans="1:9" x14ac:dyDescent="0.25">
      <c r="A241" s="199" t="s">
        <v>1024</v>
      </c>
      <c r="B241" s="277"/>
      <c r="C241" s="286"/>
      <c r="D241" s="274"/>
      <c r="E241" s="164"/>
      <c r="F241" s="68"/>
      <c r="G241" s="68" t="s">
        <v>1011</v>
      </c>
      <c r="H241" s="67" t="s">
        <v>3</v>
      </c>
      <c r="I241" s="68" t="s">
        <v>1010</v>
      </c>
    </row>
    <row r="242" spans="1:9" s="93" customFormat="1" ht="51" x14ac:dyDescent="0.25">
      <c r="A242" s="199" t="s">
        <v>1023</v>
      </c>
      <c r="B242" s="277"/>
      <c r="C242" s="286"/>
      <c r="D242" s="274"/>
      <c r="E242" s="273" t="s">
        <v>1022</v>
      </c>
      <c r="F242" s="68"/>
      <c r="G242" s="68" t="s">
        <v>1021</v>
      </c>
      <c r="H242" s="67" t="s">
        <v>3</v>
      </c>
      <c r="I242" s="68" t="s">
        <v>999</v>
      </c>
    </row>
    <row r="243" spans="1:9" s="110" customFormat="1" ht="25.5" x14ac:dyDescent="0.25">
      <c r="A243" s="199" t="s">
        <v>1020</v>
      </c>
      <c r="B243" s="277"/>
      <c r="C243" s="286"/>
      <c r="D243" s="274"/>
      <c r="E243" s="274"/>
      <c r="F243" s="166"/>
      <c r="G243" s="68" t="s">
        <v>571</v>
      </c>
      <c r="H243" s="67" t="s">
        <v>3</v>
      </c>
      <c r="I243" s="166"/>
    </row>
    <row r="244" spans="1:9" s="110" customFormat="1" ht="38.25" x14ac:dyDescent="0.25">
      <c r="A244" s="199" t="s">
        <v>1019</v>
      </c>
      <c r="B244" s="277"/>
      <c r="C244" s="286"/>
      <c r="D244" s="274"/>
      <c r="E244" s="274"/>
      <c r="F244" s="166"/>
      <c r="G244" s="68" t="s">
        <v>1018</v>
      </c>
      <c r="H244" s="67" t="s">
        <v>3</v>
      </c>
      <c r="I244" s="166"/>
    </row>
    <row r="245" spans="1:9" s="110" customFormat="1" x14ac:dyDescent="0.25">
      <c r="A245" s="199" t="s">
        <v>1017</v>
      </c>
      <c r="B245" s="277"/>
      <c r="C245" s="286"/>
      <c r="D245" s="274"/>
      <c r="E245" s="274"/>
      <c r="F245" s="166"/>
      <c r="G245" s="68" t="s">
        <v>573</v>
      </c>
      <c r="H245" s="67" t="s">
        <v>3</v>
      </c>
      <c r="I245" s="166"/>
    </row>
    <row r="246" spans="1:9" s="110" customFormat="1" ht="25.5" x14ac:dyDescent="0.25">
      <c r="A246" s="199" t="s">
        <v>1016</v>
      </c>
      <c r="B246" s="277"/>
      <c r="C246" s="286"/>
      <c r="D246" s="274"/>
      <c r="E246" s="274"/>
      <c r="F246" s="166"/>
      <c r="G246" s="68" t="s">
        <v>1015</v>
      </c>
      <c r="H246" s="67" t="s">
        <v>3</v>
      </c>
      <c r="I246" s="166"/>
    </row>
    <row r="247" spans="1:9" s="110" customFormat="1" ht="25.5" x14ac:dyDescent="0.25">
      <c r="A247" s="199" t="s">
        <v>1014</v>
      </c>
      <c r="B247" s="277"/>
      <c r="C247" s="286"/>
      <c r="D247" s="274"/>
      <c r="E247" s="274"/>
      <c r="F247" s="166"/>
      <c r="G247" s="68" t="s">
        <v>503</v>
      </c>
      <c r="H247" s="67" t="s">
        <v>385</v>
      </c>
      <c r="I247" s="166"/>
    </row>
    <row r="248" spans="1:9" s="110" customFormat="1" ht="25.5" x14ac:dyDescent="0.25">
      <c r="A248" s="199" t="s">
        <v>1013</v>
      </c>
      <c r="B248" s="277"/>
      <c r="C248" s="286"/>
      <c r="D248" s="275"/>
      <c r="E248" s="275"/>
      <c r="F248" s="166"/>
      <c r="G248" s="68" t="s">
        <v>521</v>
      </c>
      <c r="H248" s="67" t="s">
        <v>3</v>
      </c>
      <c r="I248" s="166"/>
    </row>
    <row r="249" spans="1:9" x14ac:dyDescent="0.25">
      <c r="A249" s="199" t="s">
        <v>1012</v>
      </c>
      <c r="B249" s="277"/>
      <c r="C249" s="286"/>
      <c r="D249" s="162"/>
      <c r="E249" s="164"/>
      <c r="F249" s="68"/>
      <c r="G249" s="68" t="s">
        <v>1011</v>
      </c>
      <c r="H249" s="67" t="s">
        <v>3</v>
      </c>
      <c r="I249" s="68" t="s">
        <v>1010</v>
      </c>
    </row>
    <row r="250" spans="1:9" ht="25.5" x14ac:dyDescent="0.25">
      <c r="A250" s="199" t="s">
        <v>1009</v>
      </c>
      <c r="B250" s="277"/>
      <c r="C250" s="286"/>
      <c r="D250" s="258" t="s">
        <v>366</v>
      </c>
      <c r="E250" s="258"/>
      <c r="F250" s="166" t="s">
        <v>367</v>
      </c>
      <c r="G250" s="166" t="s">
        <v>575</v>
      </c>
      <c r="H250" s="67" t="s">
        <v>3</v>
      </c>
      <c r="I250" s="166"/>
    </row>
    <row r="251" spans="1:9" x14ac:dyDescent="0.25">
      <c r="A251" s="199" t="s">
        <v>1008</v>
      </c>
      <c r="B251" s="277"/>
      <c r="C251" s="286"/>
      <c r="D251" s="260"/>
      <c r="E251" s="260"/>
      <c r="F251" s="68"/>
      <c r="G251" s="68" t="s">
        <v>576</v>
      </c>
      <c r="H251" s="67" t="s">
        <v>3</v>
      </c>
      <c r="I251" s="68"/>
    </row>
    <row r="252" spans="1:9" ht="51" x14ac:dyDescent="0.25">
      <c r="A252" s="199" t="s">
        <v>1007</v>
      </c>
      <c r="B252" s="277"/>
      <c r="C252" s="286"/>
      <c r="D252" s="258" t="s">
        <v>70</v>
      </c>
      <c r="E252" s="258"/>
      <c r="F252" s="68" t="s">
        <v>330</v>
      </c>
      <c r="G252" s="68" t="s">
        <v>577</v>
      </c>
      <c r="H252" s="67" t="s">
        <v>3</v>
      </c>
      <c r="I252" s="68"/>
    </row>
    <row r="253" spans="1:9" x14ac:dyDescent="0.25">
      <c r="A253" s="199" t="s">
        <v>1006</v>
      </c>
      <c r="B253" s="277"/>
      <c r="C253" s="286"/>
      <c r="D253" s="259"/>
      <c r="E253" s="259"/>
      <c r="F253" s="68"/>
      <c r="G253" s="68" t="s">
        <v>578</v>
      </c>
      <c r="H253" s="67" t="s">
        <v>3</v>
      </c>
      <c r="I253" s="68"/>
    </row>
    <row r="254" spans="1:9" x14ac:dyDescent="0.25">
      <c r="A254" s="199" t="s">
        <v>1005</v>
      </c>
      <c r="B254" s="277"/>
      <c r="C254" s="286"/>
      <c r="D254" s="259"/>
      <c r="E254" s="259"/>
      <c r="F254" s="68"/>
      <c r="G254" s="68" t="s">
        <v>579</v>
      </c>
      <c r="H254" s="67" t="s">
        <v>3</v>
      </c>
      <c r="I254" s="68"/>
    </row>
    <row r="255" spans="1:9" x14ac:dyDescent="0.25">
      <c r="A255" s="199" t="s">
        <v>1004</v>
      </c>
      <c r="B255" s="277"/>
      <c r="C255" s="286"/>
      <c r="D255" s="259"/>
      <c r="E255" s="259"/>
      <c r="F255" s="68"/>
      <c r="G255" s="68" t="s">
        <v>580</v>
      </c>
      <c r="H255" s="67" t="s">
        <v>3</v>
      </c>
      <c r="I255" s="68"/>
    </row>
    <row r="256" spans="1:9" x14ac:dyDescent="0.25">
      <c r="A256" s="199" t="s">
        <v>1003</v>
      </c>
      <c r="B256" s="277"/>
      <c r="C256" s="286"/>
      <c r="D256" s="259"/>
      <c r="E256" s="259"/>
      <c r="F256" s="68"/>
      <c r="G256" s="68" t="s">
        <v>581</v>
      </c>
      <c r="H256" s="67" t="s">
        <v>3</v>
      </c>
      <c r="I256" s="68"/>
    </row>
    <row r="257" spans="1:9" x14ac:dyDescent="0.25">
      <c r="A257" s="199" t="s">
        <v>1002</v>
      </c>
      <c r="B257" s="277"/>
      <c r="C257" s="287"/>
      <c r="D257" s="260"/>
      <c r="E257" s="260"/>
      <c r="F257" s="68"/>
      <c r="G257" s="68" t="s">
        <v>582</v>
      </c>
      <c r="H257" s="67" t="s">
        <v>3</v>
      </c>
      <c r="I257" s="68"/>
    </row>
    <row r="258" spans="1:9" ht="114.75" x14ac:dyDescent="0.25">
      <c r="A258" s="199" t="s">
        <v>1001</v>
      </c>
      <c r="B258" s="277"/>
      <c r="C258" s="261" t="s">
        <v>352</v>
      </c>
      <c r="D258" s="258"/>
      <c r="E258" s="258"/>
      <c r="F258" s="81" t="s">
        <v>583</v>
      </c>
      <c r="G258" s="81" t="s">
        <v>1000</v>
      </c>
      <c r="H258" s="67" t="s">
        <v>3</v>
      </c>
      <c r="I258" s="255" t="s">
        <v>999</v>
      </c>
    </row>
    <row r="259" spans="1:9" x14ac:dyDescent="0.25">
      <c r="A259" s="199" t="s">
        <v>998</v>
      </c>
      <c r="B259" s="277"/>
      <c r="C259" s="262"/>
      <c r="D259" s="259"/>
      <c r="E259" s="259"/>
      <c r="F259" s="81"/>
      <c r="G259" s="81" t="s">
        <v>997</v>
      </c>
      <c r="H259" s="67" t="s">
        <v>3</v>
      </c>
      <c r="I259" s="256"/>
    </row>
    <row r="260" spans="1:9" ht="25.5" x14ac:dyDescent="0.25">
      <c r="A260" s="199" t="s">
        <v>996</v>
      </c>
      <c r="B260" s="277"/>
      <c r="C260" s="262"/>
      <c r="D260" s="259"/>
      <c r="E260" s="259"/>
      <c r="F260" s="81"/>
      <c r="G260" s="81" t="s">
        <v>995</v>
      </c>
      <c r="H260" s="67" t="s">
        <v>3</v>
      </c>
      <c r="I260" s="256"/>
    </row>
    <row r="261" spans="1:9" x14ac:dyDescent="0.25">
      <c r="A261" s="199" t="s">
        <v>994</v>
      </c>
      <c r="B261" s="277"/>
      <c r="C261" s="262"/>
      <c r="D261" s="259"/>
      <c r="E261" s="259"/>
      <c r="F261" s="81"/>
      <c r="G261" s="81" t="s">
        <v>993</v>
      </c>
      <c r="H261" s="67" t="s">
        <v>3</v>
      </c>
      <c r="I261" s="256"/>
    </row>
    <row r="262" spans="1:9" x14ac:dyDescent="0.25">
      <c r="A262" s="199" t="s">
        <v>992</v>
      </c>
      <c r="B262" s="277"/>
      <c r="C262" s="262"/>
      <c r="D262" s="259"/>
      <c r="E262" s="259"/>
      <c r="F262" s="81"/>
      <c r="G262" s="81" t="s">
        <v>991</v>
      </c>
      <c r="H262" s="67" t="s">
        <v>3</v>
      </c>
      <c r="I262" s="256"/>
    </row>
    <row r="263" spans="1:9" x14ac:dyDescent="0.25">
      <c r="A263" s="199" t="s">
        <v>990</v>
      </c>
      <c r="B263" s="277"/>
      <c r="C263" s="263"/>
      <c r="D263" s="260"/>
      <c r="E263" s="260"/>
      <c r="F263" s="81"/>
      <c r="G263" s="81" t="s">
        <v>989</v>
      </c>
      <c r="H263" s="67" t="s">
        <v>3</v>
      </c>
      <c r="I263" s="257"/>
    </row>
    <row r="264" spans="1:9" ht="63.75" x14ac:dyDescent="0.25">
      <c r="A264" s="199" t="s">
        <v>988</v>
      </c>
      <c r="B264" s="277"/>
      <c r="C264" s="261" t="s">
        <v>987</v>
      </c>
      <c r="D264" s="164"/>
      <c r="E264" s="164"/>
      <c r="F264" s="81"/>
      <c r="G264" s="81" t="s">
        <v>986</v>
      </c>
      <c r="H264" s="67" t="s">
        <v>385</v>
      </c>
      <c r="I264" s="255" t="s">
        <v>985</v>
      </c>
    </row>
    <row r="265" spans="1:9" x14ac:dyDescent="0.25">
      <c r="A265" s="199" t="s">
        <v>984</v>
      </c>
      <c r="B265" s="277"/>
      <c r="C265" s="262"/>
      <c r="D265" s="164"/>
      <c r="E265" s="164"/>
      <c r="F265" s="81"/>
      <c r="G265" s="81" t="s">
        <v>983</v>
      </c>
      <c r="H265" s="67" t="s">
        <v>385</v>
      </c>
      <c r="I265" s="256"/>
    </row>
    <row r="266" spans="1:9" x14ac:dyDescent="0.25">
      <c r="A266" s="199" t="s">
        <v>982</v>
      </c>
      <c r="B266" s="277"/>
      <c r="C266" s="262"/>
      <c r="D266" s="164"/>
      <c r="E266" s="164"/>
      <c r="F266" s="81"/>
      <c r="G266" s="81" t="s">
        <v>981</v>
      </c>
      <c r="H266" s="67" t="s">
        <v>385</v>
      </c>
      <c r="I266" s="256"/>
    </row>
    <row r="267" spans="1:9" ht="25.5" x14ac:dyDescent="0.25">
      <c r="A267" s="199" t="s">
        <v>980</v>
      </c>
      <c r="B267" s="277"/>
      <c r="C267" s="262"/>
      <c r="D267" s="164"/>
      <c r="E267" s="164"/>
      <c r="F267" s="81"/>
      <c r="G267" s="81" t="s">
        <v>979</v>
      </c>
      <c r="H267" s="67" t="s">
        <v>385</v>
      </c>
      <c r="I267" s="256"/>
    </row>
    <row r="268" spans="1:9" x14ac:dyDescent="0.25">
      <c r="A268" s="199" t="s">
        <v>978</v>
      </c>
      <c r="B268" s="277"/>
      <c r="C268" s="263"/>
      <c r="D268" s="164"/>
      <c r="E268" s="164"/>
      <c r="F268" s="81"/>
      <c r="G268" s="81" t="s">
        <v>977</v>
      </c>
      <c r="H268" s="67" t="s">
        <v>385</v>
      </c>
      <c r="I268" s="257"/>
    </row>
    <row r="269" spans="1:9" ht="89.25" x14ac:dyDescent="0.25">
      <c r="A269" s="199" t="s">
        <v>976</v>
      </c>
      <c r="B269" s="277"/>
      <c r="C269" s="270" t="s">
        <v>324</v>
      </c>
      <c r="D269" s="273" t="s">
        <v>272</v>
      </c>
      <c r="E269" s="273"/>
      <c r="F269" s="68" t="s">
        <v>326</v>
      </c>
      <c r="G269" s="68" t="s">
        <v>584</v>
      </c>
      <c r="H269" s="67" t="s">
        <v>3</v>
      </c>
      <c r="I269" s="68"/>
    </row>
    <row r="270" spans="1:9" x14ac:dyDescent="0.25">
      <c r="A270" s="199" t="s">
        <v>975</v>
      </c>
      <c r="B270" s="277"/>
      <c r="C270" s="271"/>
      <c r="D270" s="274"/>
      <c r="E270" s="274"/>
      <c r="F270" s="68"/>
      <c r="G270" s="68" t="s">
        <v>585</v>
      </c>
      <c r="H270" s="67" t="s">
        <v>3</v>
      </c>
      <c r="I270" s="68"/>
    </row>
    <row r="271" spans="1:9" ht="25.5" x14ac:dyDescent="0.25">
      <c r="A271" s="199" t="s">
        <v>974</v>
      </c>
      <c r="B271" s="277"/>
      <c r="C271" s="271"/>
      <c r="D271" s="274"/>
      <c r="E271" s="274"/>
      <c r="F271" s="68"/>
      <c r="G271" s="68" t="s">
        <v>586</v>
      </c>
      <c r="H271" s="67" t="s">
        <v>3</v>
      </c>
      <c r="I271" s="68"/>
    </row>
    <row r="272" spans="1:9" x14ac:dyDescent="0.25">
      <c r="A272" s="199" t="s">
        <v>973</v>
      </c>
      <c r="B272" s="277"/>
      <c r="C272" s="271"/>
      <c r="D272" s="274"/>
      <c r="E272" s="274"/>
      <c r="F272" s="68"/>
      <c r="G272" s="68" t="s">
        <v>587</v>
      </c>
      <c r="H272" s="67" t="s">
        <v>3</v>
      </c>
      <c r="I272" s="68"/>
    </row>
    <row r="273" spans="1:9" x14ac:dyDescent="0.25">
      <c r="A273" s="199" t="s">
        <v>972</v>
      </c>
      <c r="B273" s="277"/>
      <c r="C273" s="271"/>
      <c r="D273" s="274"/>
      <c r="E273" s="274"/>
      <c r="F273" s="68"/>
      <c r="G273" s="68" t="s">
        <v>588</v>
      </c>
      <c r="H273" s="67" t="s">
        <v>3</v>
      </c>
      <c r="I273" s="68"/>
    </row>
    <row r="274" spans="1:9" x14ac:dyDescent="0.25">
      <c r="A274" s="199" t="s">
        <v>971</v>
      </c>
      <c r="B274" s="277"/>
      <c r="C274" s="271"/>
      <c r="D274" s="274"/>
      <c r="E274" s="274"/>
      <c r="F274" s="68"/>
      <c r="G274" s="68" t="s">
        <v>589</v>
      </c>
      <c r="H274" s="67" t="s">
        <v>3</v>
      </c>
      <c r="I274" s="68"/>
    </row>
    <row r="275" spans="1:9" x14ac:dyDescent="0.25">
      <c r="A275" s="199" t="s">
        <v>970</v>
      </c>
      <c r="B275" s="277"/>
      <c r="C275" s="271"/>
      <c r="D275" s="275"/>
      <c r="E275" s="275"/>
      <c r="F275" s="68"/>
      <c r="G275" s="68" t="s">
        <v>969</v>
      </c>
      <c r="H275" s="67" t="s">
        <v>3</v>
      </c>
      <c r="I275" s="68"/>
    </row>
    <row r="276" spans="1:9" ht="63.75" x14ac:dyDescent="0.25">
      <c r="A276" s="199" t="s">
        <v>968</v>
      </c>
      <c r="B276" s="277"/>
      <c r="C276" s="271"/>
      <c r="D276" s="273" t="s">
        <v>409</v>
      </c>
      <c r="E276" s="273"/>
      <c r="F276" s="68"/>
      <c r="G276" s="68" t="s">
        <v>592</v>
      </c>
      <c r="H276" s="67" t="s">
        <v>3</v>
      </c>
      <c r="I276" s="68"/>
    </row>
    <row r="277" spans="1:9" x14ac:dyDescent="0.25">
      <c r="A277" s="199" t="s">
        <v>967</v>
      </c>
      <c r="B277" s="277"/>
      <c r="C277" s="271"/>
      <c r="D277" s="274"/>
      <c r="E277" s="274"/>
      <c r="F277" s="68"/>
      <c r="G277" s="68" t="s">
        <v>585</v>
      </c>
      <c r="H277" s="67" t="s">
        <v>3</v>
      </c>
      <c r="I277" s="68"/>
    </row>
    <row r="278" spans="1:9" x14ac:dyDescent="0.25">
      <c r="A278" s="199" t="s">
        <v>966</v>
      </c>
      <c r="B278" s="277"/>
      <c r="C278" s="271"/>
      <c r="D278" s="274"/>
      <c r="E278" s="274"/>
      <c r="F278" s="68"/>
      <c r="G278" s="68" t="s">
        <v>593</v>
      </c>
      <c r="H278" s="67" t="s">
        <v>3</v>
      </c>
      <c r="I278" s="68"/>
    </row>
    <row r="279" spans="1:9" x14ac:dyDescent="0.25">
      <c r="A279" s="199" t="s">
        <v>965</v>
      </c>
      <c r="B279" s="277"/>
      <c r="C279" s="271"/>
      <c r="D279" s="274"/>
      <c r="E279" s="274"/>
      <c r="F279" s="68"/>
      <c r="G279" s="68" t="s">
        <v>594</v>
      </c>
      <c r="H279" s="67" t="s">
        <v>3</v>
      </c>
      <c r="I279" s="68"/>
    </row>
    <row r="280" spans="1:9" x14ac:dyDescent="0.25">
      <c r="A280" s="199" t="s">
        <v>964</v>
      </c>
      <c r="B280" s="277"/>
      <c r="C280" s="271"/>
      <c r="D280" s="274"/>
      <c r="E280" s="274"/>
      <c r="F280" s="68"/>
      <c r="G280" s="68" t="s">
        <v>588</v>
      </c>
      <c r="H280" s="67" t="s">
        <v>3</v>
      </c>
      <c r="I280" s="68"/>
    </row>
    <row r="281" spans="1:9" x14ac:dyDescent="0.25">
      <c r="A281" s="199" t="s">
        <v>963</v>
      </c>
      <c r="B281" s="277"/>
      <c r="C281" s="271"/>
      <c r="D281" s="274"/>
      <c r="E281" s="274"/>
      <c r="F281" s="68"/>
      <c r="G281" s="68" t="s">
        <v>595</v>
      </c>
      <c r="H281" s="67" t="s">
        <v>3</v>
      </c>
      <c r="I281" s="68"/>
    </row>
    <row r="282" spans="1:9" ht="25.5" x14ac:dyDescent="0.25">
      <c r="A282" s="199" t="s">
        <v>962</v>
      </c>
      <c r="B282" s="277"/>
      <c r="C282" s="271"/>
      <c r="D282" s="274"/>
      <c r="E282" s="274"/>
      <c r="F282" s="68"/>
      <c r="G282" s="68" t="s">
        <v>897</v>
      </c>
      <c r="H282" s="67" t="s">
        <v>3</v>
      </c>
      <c r="I282" s="68" t="s">
        <v>896</v>
      </c>
    </row>
    <row r="283" spans="1:9" x14ac:dyDescent="0.25">
      <c r="A283" s="199" t="s">
        <v>961</v>
      </c>
      <c r="B283" s="277"/>
      <c r="C283" s="271"/>
      <c r="D283" s="274"/>
      <c r="E283" s="274"/>
      <c r="F283" s="68"/>
      <c r="G283" s="68" t="s">
        <v>613</v>
      </c>
      <c r="H283" s="67" t="s">
        <v>3</v>
      </c>
      <c r="I283" s="68"/>
    </row>
    <row r="284" spans="1:9" x14ac:dyDescent="0.25">
      <c r="A284" s="199" t="s">
        <v>960</v>
      </c>
      <c r="B284" s="277"/>
      <c r="C284" s="271"/>
      <c r="D284" s="275"/>
      <c r="E284" s="275"/>
      <c r="F284" s="68"/>
      <c r="G284" s="68" t="s">
        <v>959</v>
      </c>
      <c r="H284" s="67" t="s">
        <v>3</v>
      </c>
      <c r="I284" s="68"/>
    </row>
    <row r="285" spans="1:9" ht="51" x14ac:dyDescent="0.25">
      <c r="A285" s="199" t="s">
        <v>958</v>
      </c>
      <c r="B285" s="277"/>
      <c r="C285" s="271"/>
      <c r="D285" s="273" t="s">
        <v>323</v>
      </c>
      <c r="E285" s="273"/>
      <c r="F285" s="68"/>
      <c r="G285" s="68" t="s">
        <v>597</v>
      </c>
      <c r="H285" s="67" t="s">
        <v>385</v>
      </c>
      <c r="I285" s="68"/>
    </row>
    <row r="286" spans="1:9" x14ac:dyDescent="0.25">
      <c r="A286" s="199" t="s">
        <v>957</v>
      </c>
      <c r="B286" s="277"/>
      <c r="C286" s="271"/>
      <c r="D286" s="274"/>
      <c r="E286" s="274"/>
      <c r="F286" s="68"/>
      <c r="G286" s="68" t="s">
        <v>585</v>
      </c>
      <c r="H286" s="67" t="s">
        <v>385</v>
      </c>
      <c r="I286" s="68"/>
    </row>
    <row r="287" spans="1:9" ht="25.5" x14ac:dyDescent="0.25">
      <c r="A287" s="199" t="s">
        <v>956</v>
      </c>
      <c r="B287" s="277"/>
      <c r="C287" s="271"/>
      <c r="D287" s="274"/>
      <c r="E287" s="274"/>
      <c r="F287" s="68"/>
      <c r="G287" s="68" t="s">
        <v>598</v>
      </c>
      <c r="H287" s="67" t="s">
        <v>385</v>
      </c>
      <c r="I287" s="68"/>
    </row>
    <row r="288" spans="1:9" ht="25.5" x14ac:dyDescent="0.25">
      <c r="A288" s="199" t="s">
        <v>955</v>
      </c>
      <c r="B288" s="277"/>
      <c r="C288" s="271"/>
      <c r="D288" s="274"/>
      <c r="E288" s="274"/>
      <c r="F288" s="68"/>
      <c r="G288" s="68" t="s">
        <v>599</v>
      </c>
      <c r="H288" s="67" t="s">
        <v>385</v>
      </c>
      <c r="I288" s="68"/>
    </row>
    <row r="289" spans="1:9" ht="25.5" x14ac:dyDescent="0.25">
      <c r="A289" s="199" t="s">
        <v>954</v>
      </c>
      <c r="B289" s="277"/>
      <c r="C289" s="271"/>
      <c r="D289" s="274"/>
      <c r="E289" s="274"/>
      <c r="F289" s="68"/>
      <c r="G289" s="68" t="s">
        <v>600</v>
      </c>
      <c r="H289" s="67" t="s">
        <v>385</v>
      </c>
      <c r="I289" s="68"/>
    </row>
    <row r="290" spans="1:9" ht="25.5" x14ac:dyDescent="0.25">
      <c r="A290" s="199" t="s">
        <v>953</v>
      </c>
      <c r="B290" s="277"/>
      <c r="C290" s="271"/>
      <c r="D290" s="274"/>
      <c r="E290" s="274"/>
      <c r="F290" s="68"/>
      <c r="G290" s="68" t="s">
        <v>601</v>
      </c>
      <c r="H290" s="67" t="s">
        <v>385</v>
      </c>
      <c r="I290" s="68"/>
    </row>
    <row r="291" spans="1:9" x14ac:dyDescent="0.25">
      <c r="A291" s="199" t="s">
        <v>952</v>
      </c>
      <c r="B291" s="277"/>
      <c r="C291" s="271"/>
      <c r="D291" s="274"/>
      <c r="E291" s="274"/>
      <c r="F291" s="68"/>
      <c r="G291" s="68" t="s">
        <v>602</v>
      </c>
      <c r="H291" s="67" t="s">
        <v>385</v>
      </c>
      <c r="I291" s="68"/>
    </row>
    <row r="292" spans="1:9" x14ac:dyDescent="0.25">
      <c r="A292" s="199" t="s">
        <v>951</v>
      </c>
      <c r="B292" s="277"/>
      <c r="C292" s="271"/>
      <c r="D292" s="275"/>
      <c r="E292" s="275"/>
      <c r="F292" s="68"/>
      <c r="G292" s="68" t="s">
        <v>591</v>
      </c>
      <c r="H292" s="67" t="s">
        <v>385</v>
      </c>
      <c r="I292" s="68"/>
    </row>
    <row r="293" spans="1:9" ht="76.5" x14ac:dyDescent="0.25">
      <c r="A293" s="199" t="s">
        <v>950</v>
      </c>
      <c r="B293" s="277"/>
      <c r="C293" s="271"/>
      <c r="D293" s="273" t="s">
        <v>374</v>
      </c>
      <c r="E293" s="273"/>
      <c r="F293" s="68"/>
      <c r="G293" s="68" t="s">
        <v>603</v>
      </c>
      <c r="H293" s="67" t="s">
        <v>385</v>
      </c>
      <c r="I293" s="68"/>
    </row>
    <row r="294" spans="1:9" x14ac:dyDescent="0.25">
      <c r="A294" s="199" t="s">
        <v>949</v>
      </c>
      <c r="B294" s="277"/>
      <c r="C294" s="271"/>
      <c r="D294" s="274"/>
      <c r="E294" s="274"/>
      <c r="F294" s="68"/>
      <c r="G294" s="68" t="s">
        <v>585</v>
      </c>
      <c r="H294" s="67" t="s">
        <v>385</v>
      </c>
      <c r="I294" s="68"/>
    </row>
    <row r="295" spans="1:9" x14ac:dyDescent="0.25">
      <c r="A295" s="199" t="s">
        <v>948</v>
      </c>
      <c r="B295" s="277"/>
      <c r="C295" s="271"/>
      <c r="D295" s="274"/>
      <c r="E295" s="274"/>
      <c r="F295" s="68"/>
      <c r="G295" s="68" t="s">
        <v>604</v>
      </c>
      <c r="H295" s="67" t="s">
        <v>385</v>
      </c>
      <c r="I295" s="68"/>
    </row>
    <row r="296" spans="1:9" x14ac:dyDescent="0.25">
      <c r="A296" s="199" t="s">
        <v>947</v>
      </c>
      <c r="B296" s="277"/>
      <c r="C296" s="271"/>
      <c r="D296" s="274"/>
      <c r="E296" s="274"/>
      <c r="F296" s="68"/>
      <c r="G296" s="68" t="s">
        <v>605</v>
      </c>
      <c r="H296" s="67" t="s">
        <v>385</v>
      </c>
      <c r="I296" s="68"/>
    </row>
    <row r="297" spans="1:9" x14ac:dyDescent="0.25">
      <c r="A297" s="199" t="s">
        <v>946</v>
      </c>
      <c r="B297" s="277"/>
      <c r="C297" s="271"/>
      <c r="D297" s="274"/>
      <c r="E297" s="274"/>
      <c r="F297" s="68"/>
      <c r="G297" s="68" t="s">
        <v>588</v>
      </c>
      <c r="H297" s="67" t="s">
        <v>385</v>
      </c>
      <c r="I297" s="68"/>
    </row>
    <row r="298" spans="1:9" x14ac:dyDescent="0.25">
      <c r="A298" s="199" t="s">
        <v>945</v>
      </c>
      <c r="B298" s="277"/>
      <c r="C298" s="271"/>
      <c r="D298" s="274"/>
      <c r="E298" s="274"/>
      <c r="F298" s="68"/>
      <c r="G298" s="68" t="s">
        <v>589</v>
      </c>
      <c r="H298" s="67" t="s">
        <v>385</v>
      </c>
      <c r="I298" s="68"/>
    </row>
    <row r="299" spans="1:9" x14ac:dyDescent="0.25">
      <c r="A299" s="199" t="s">
        <v>944</v>
      </c>
      <c r="B299" s="277"/>
      <c r="C299" s="271"/>
      <c r="D299" s="274"/>
      <c r="E299" s="274"/>
      <c r="F299" s="68"/>
      <c r="G299" s="68" t="s">
        <v>590</v>
      </c>
      <c r="H299" s="67" t="s">
        <v>385</v>
      </c>
      <c r="I299" s="68"/>
    </row>
    <row r="300" spans="1:9" ht="25.5" x14ac:dyDescent="0.25">
      <c r="A300" s="199" t="s">
        <v>943</v>
      </c>
      <c r="B300" s="277"/>
      <c r="C300" s="271"/>
      <c r="D300" s="274"/>
      <c r="E300" s="274"/>
      <c r="F300" s="68"/>
      <c r="G300" s="68" t="s">
        <v>942</v>
      </c>
      <c r="H300" s="67" t="s">
        <v>385</v>
      </c>
      <c r="I300" s="68" t="s">
        <v>896</v>
      </c>
    </row>
    <row r="301" spans="1:9" x14ac:dyDescent="0.25">
      <c r="A301" s="199" t="s">
        <v>941</v>
      </c>
      <c r="B301" s="277"/>
      <c r="C301" s="271"/>
      <c r="D301" s="274"/>
      <c r="E301" s="274"/>
      <c r="F301" s="68"/>
      <c r="G301" s="68" t="s">
        <v>940</v>
      </c>
      <c r="H301" s="67" t="s">
        <v>385</v>
      </c>
      <c r="I301" s="68"/>
    </row>
    <row r="302" spans="1:9" ht="25.5" x14ac:dyDescent="0.25">
      <c r="A302" s="199" t="s">
        <v>939</v>
      </c>
      <c r="B302" s="277"/>
      <c r="C302" s="271"/>
      <c r="D302" s="275"/>
      <c r="E302" s="275"/>
      <c r="F302" s="68"/>
      <c r="G302" s="68" t="s">
        <v>938</v>
      </c>
      <c r="H302" s="67" t="s">
        <v>385</v>
      </c>
      <c r="I302" s="68"/>
    </row>
    <row r="303" spans="1:9" ht="63.75" x14ac:dyDescent="0.25">
      <c r="A303" s="199" t="s">
        <v>937</v>
      </c>
      <c r="B303" s="277"/>
      <c r="C303" s="271"/>
      <c r="D303" s="273" t="s">
        <v>606</v>
      </c>
      <c r="E303" s="273"/>
      <c r="F303" s="68"/>
      <c r="G303" s="68" t="s">
        <v>607</v>
      </c>
      <c r="H303" s="67" t="s">
        <v>385</v>
      </c>
      <c r="I303" s="68"/>
    </row>
    <row r="304" spans="1:9" x14ac:dyDescent="0.25">
      <c r="A304" s="199" t="s">
        <v>936</v>
      </c>
      <c r="B304" s="277"/>
      <c r="C304" s="271"/>
      <c r="D304" s="274"/>
      <c r="E304" s="274"/>
      <c r="F304" s="68"/>
      <c r="G304" s="68" t="s">
        <v>585</v>
      </c>
      <c r="H304" s="67" t="s">
        <v>385</v>
      </c>
      <c r="I304" s="68"/>
    </row>
    <row r="305" spans="1:9" x14ac:dyDescent="0.25">
      <c r="A305" s="199" t="s">
        <v>935</v>
      </c>
      <c r="B305" s="277"/>
      <c r="C305" s="271"/>
      <c r="D305" s="274"/>
      <c r="E305" s="274"/>
      <c r="F305" s="68"/>
      <c r="G305" s="68" t="s">
        <v>608</v>
      </c>
      <c r="H305" s="67" t="s">
        <v>385</v>
      </c>
      <c r="I305" s="68"/>
    </row>
    <row r="306" spans="1:9" x14ac:dyDescent="0.25">
      <c r="A306" s="199" t="s">
        <v>934</v>
      </c>
      <c r="B306" s="277"/>
      <c r="C306" s="271"/>
      <c r="D306" s="274"/>
      <c r="E306" s="274"/>
      <c r="F306" s="68"/>
      <c r="G306" s="68" t="s">
        <v>609</v>
      </c>
      <c r="H306" s="67" t="s">
        <v>385</v>
      </c>
      <c r="I306" s="68"/>
    </row>
    <row r="307" spans="1:9" x14ac:dyDescent="0.25">
      <c r="A307" s="199" t="s">
        <v>933</v>
      </c>
      <c r="B307" s="277"/>
      <c r="C307" s="271"/>
      <c r="D307" s="274"/>
      <c r="E307" s="274"/>
      <c r="F307" s="68"/>
      <c r="G307" s="68" t="s">
        <v>588</v>
      </c>
      <c r="H307" s="67" t="s">
        <v>385</v>
      </c>
      <c r="I307" s="68"/>
    </row>
    <row r="308" spans="1:9" x14ac:dyDescent="0.25">
      <c r="A308" s="199" t="s">
        <v>932</v>
      </c>
      <c r="B308" s="277"/>
      <c r="C308" s="271"/>
      <c r="D308" s="274"/>
      <c r="E308" s="274"/>
      <c r="F308" s="68"/>
      <c r="G308" s="68" t="s">
        <v>589</v>
      </c>
      <c r="H308" s="67" t="s">
        <v>385</v>
      </c>
      <c r="I308" s="68"/>
    </row>
    <row r="309" spans="1:9" x14ac:dyDescent="0.25">
      <c r="A309" s="199" t="s">
        <v>931</v>
      </c>
      <c r="B309" s="277"/>
      <c r="C309" s="271"/>
      <c r="D309" s="275"/>
      <c r="E309" s="275"/>
      <c r="F309" s="68"/>
      <c r="G309" s="68" t="s">
        <v>610</v>
      </c>
      <c r="H309" s="67" t="s">
        <v>385</v>
      </c>
      <c r="I309" s="68"/>
    </row>
    <row r="310" spans="1:9" ht="102" x14ac:dyDescent="0.25">
      <c r="A310" s="199" t="s">
        <v>930</v>
      </c>
      <c r="B310" s="277"/>
      <c r="C310" s="271"/>
      <c r="D310" s="273" t="s">
        <v>408</v>
      </c>
      <c r="E310" s="273"/>
      <c r="F310" s="68"/>
      <c r="G310" s="68" t="s">
        <v>611</v>
      </c>
      <c r="H310" s="67" t="s">
        <v>3</v>
      </c>
      <c r="I310" s="68"/>
    </row>
    <row r="311" spans="1:9" x14ac:dyDescent="0.25">
      <c r="A311" s="199" t="s">
        <v>929</v>
      </c>
      <c r="B311" s="277"/>
      <c r="C311" s="271"/>
      <c r="D311" s="274"/>
      <c r="E311" s="274"/>
      <c r="F311" s="68"/>
      <c r="G311" s="68" t="s">
        <v>585</v>
      </c>
      <c r="H311" s="67" t="s">
        <v>3</v>
      </c>
      <c r="I311" s="68"/>
    </row>
    <row r="312" spans="1:9" x14ac:dyDescent="0.25">
      <c r="A312" s="199" t="s">
        <v>928</v>
      </c>
      <c r="B312" s="277"/>
      <c r="C312" s="271"/>
      <c r="D312" s="274"/>
      <c r="E312" s="274"/>
      <c r="F312" s="68"/>
      <c r="G312" s="68" t="s">
        <v>604</v>
      </c>
      <c r="H312" s="67" t="s">
        <v>3</v>
      </c>
      <c r="I312" s="68"/>
    </row>
    <row r="313" spans="1:9" x14ac:dyDescent="0.25">
      <c r="A313" s="199" t="s">
        <v>927</v>
      </c>
      <c r="B313" s="277"/>
      <c r="C313" s="271"/>
      <c r="D313" s="274"/>
      <c r="E313" s="274"/>
      <c r="F313" s="68"/>
      <c r="G313" s="68" t="s">
        <v>612</v>
      </c>
      <c r="H313" s="67" t="s">
        <v>3</v>
      </c>
      <c r="I313" s="68"/>
    </row>
    <row r="314" spans="1:9" x14ac:dyDescent="0.25">
      <c r="A314" s="199" t="s">
        <v>926</v>
      </c>
      <c r="B314" s="277"/>
      <c r="C314" s="271"/>
      <c r="D314" s="274"/>
      <c r="E314" s="274"/>
      <c r="F314" s="68"/>
      <c r="G314" s="68" t="s">
        <v>588</v>
      </c>
      <c r="H314" s="67" t="s">
        <v>3</v>
      </c>
      <c r="I314" s="68"/>
    </row>
    <row r="315" spans="1:9" x14ac:dyDescent="0.25">
      <c r="A315" s="199" t="s">
        <v>925</v>
      </c>
      <c r="B315" s="277"/>
      <c r="C315" s="271"/>
      <c r="D315" s="274"/>
      <c r="E315" s="274"/>
      <c r="F315" s="68"/>
      <c r="G315" s="68" t="s">
        <v>595</v>
      </c>
      <c r="H315" s="67" t="s">
        <v>3</v>
      </c>
      <c r="I315" s="68"/>
    </row>
    <row r="316" spans="1:9" ht="25.5" x14ac:dyDescent="0.25">
      <c r="A316" s="199" t="s">
        <v>924</v>
      </c>
      <c r="B316" s="277"/>
      <c r="C316" s="271"/>
      <c r="D316" s="274"/>
      <c r="E316" s="274"/>
      <c r="F316" s="68"/>
      <c r="G316" s="68" t="s">
        <v>897</v>
      </c>
      <c r="H316" s="67" t="s">
        <v>3</v>
      </c>
      <c r="I316" s="68" t="s">
        <v>896</v>
      </c>
    </row>
    <row r="317" spans="1:9" x14ac:dyDescent="0.25">
      <c r="A317" s="199" t="s">
        <v>923</v>
      </c>
      <c r="B317" s="277"/>
      <c r="C317" s="271"/>
      <c r="D317" s="274"/>
      <c r="E317" s="274"/>
      <c r="F317" s="68"/>
      <c r="G317" s="68"/>
      <c r="H317" s="67" t="s">
        <v>3</v>
      </c>
      <c r="I317" s="68"/>
    </row>
    <row r="318" spans="1:9" x14ac:dyDescent="0.25">
      <c r="A318" s="199" t="s">
        <v>922</v>
      </c>
      <c r="B318" s="277"/>
      <c r="C318" s="271"/>
      <c r="D318" s="274"/>
      <c r="E318" s="274"/>
      <c r="F318" s="68"/>
      <c r="G318" s="68" t="s">
        <v>921</v>
      </c>
      <c r="H318" s="67" t="s">
        <v>3</v>
      </c>
      <c r="I318" s="68"/>
    </row>
    <row r="319" spans="1:9" x14ac:dyDescent="0.25">
      <c r="A319" s="199" t="s">
        <v>920</v>
      </c>
      <c r="B319" s="277"/>
      <c r="C319" s="271"/>
      <c r="D319" s="275"/>
      <c r="E319" s="275"/>
      <c r="F319" s="68"/>
      <c r="G319" s="68" t="s">
        <v>919</v>
      </c>
      <c r="H319" s="67" t="s">
        <v>3</v>
      </c>
      <c r="I319" s="68"/>
    </row>
    <row r="320" spans="1:9" ht="89.25" x14ac:dyDescent="0.25">
      <c r="A320" s="199" t="s">
        <v>918</v>
      </c>
      <c r="B320" s="277"/>
      <c r="C320" s="271"/>
      <c r="D320" s="273" t="s">
        <v>322</v>
      </c>
      <c r="E320" s="273"/>
      <c r="F320" s="68"/>
      <c r="G320" s="68" t="s">
        <v>614</v>
      </c>
      <c r="H320" s="67" t="s">
        <v>3</v>
      </c>
      <c r="I320" s="68"/>
    </row>
    <row r="321" spans="1:9" x14ac:dyDescent="0.25">
      <c r="A321" s="199" t="s">
        <v>917</v>
      </c>
      <c r="B321" s="277"/>
      <c r="C321" s="271"/>
      <c r="D321" s="274"/>
      <c r="E321" s="274"/>
      <c r="F321" s="68"/>
      <c r="G321" s="68" t="s">
        <v>585</v>
      </c>
      <c r="H321" s="67" t="s">
        <v>3</v>
      </c>
      <c r="I321" s="68"/>
    </row>
    <row r="322" spans="1:9" x14ac:dyDescent="0.25">
      <c r="A322" s="199" t="s">
        <v>916</v>
      </c>
      <c r="B322" s="277"/>
      <c r="C322" s="271"/>
      <c r="D322" s="274"/>
      <c r="E322" s="274"/>
      <c r="F322" s="68"/>
      <c r="G322" s="68" t="s">
        <v>604</v>
      </c>
      <c r="H322" s="67" t="s">
        <v>3</v>
      </c>
      <c r="I322" s="68"/>
    </row>
    <row r="323" spans="1:9" x14ac:dyDescent="0.25">
      <c r="A323" s="199" t="s">
        <v>915</v>
      </c>
      <c r="B323" s="277"/>
      <c r="C323" s="271"/>
      <c r="D323" s="274"/>
      <c r="E323" s="274"/>
      <c r="F323" s="68"/>
      <c r="G323" s="68" t="s">
        <v>615</v>
      </c>
      <c r="H323" s="67" t="s">
        <v>3</v>
      </c>
      <c r="I323" s="68"/>
    </row>
    <row r="324" spans="1:9" x14ac:dyDescent="0.25">
      <c r="A324" s="199" t="s">
        <v>914</v>
      </c>
      <c r="B324" s="277"/>
      <c r="C324" s="271"/>
      <c r="D324" s="274"/>
      <c r="E324" s="274"/>
      <c r="F324" s="68"/>
      <c r="G324" s="68" t="s">
        <v>588</v>
      </c>
      <c r="H324" s="67" t="s">
        <v>3</v>
      </c>
      <c r="I324" s="68"/>
    </row>
    <row r="325" spans="1:9" x14ac:dyDescent="0.25">
      <c r="A325" s="199" t="s">
        <v>913</v>
      </c>
      <c r="B325" s="277"/>
      <c r="C325" s="271"/>
      <c r="D325" s="275"/>
      <c r="E325" s="275"/>
      <c r="F325" s="68"/>
      <c r="G325" s="68" t="s">
        <v>589</v>
      </c>
      <c r="H325" s="67" t="s">
        <v>3</v>
      </c>
      <c r="I325" s="68"/>
    </row>
    <row r="326" spans="1:9" ht="102" x14ac:dyDescent="0.25">
      <c r="A326" s="199" t="s">
        <v>912</v>
      </c>
      <c r="B326" s="277"/>
      <c r="C326" s="271"/>
      <c r="D326" s="273" t="s">
        <v>1292</v>
      </c>
      <c r="E326" s="273"/>
      <c r="F326" s="68"/>
      <c r="G326" s="68" t="s">
        <v>1293</v>
      </c>
      <c r="H326" s="67" t="s">
        <v>3</v>
      </c>
      <c r="I326" s="68"/>
    </row>
    <row r="327" spans="1:9" x14ac:dyDescent="0.25">
      <c r="A327" s="199" t="s">
        <v>911</v>
      </c>
      <c r="B327" s="277"/>
      <c r="C327" s="271"/>
      <c r="D327" s="274"/>
      <c r="E327" s="274"/>
      <c r="F327" s="68"/>
      <c r="G327" s="68" t="s">
        <v>585</v>
      </c>
      <c r="H327" s="67" t="s">
        <v>3</v>
      </c>
      <c r="I327" s="68"/>
    </row>
    <row r="328" spans="1:9" x14ac:dyDescent="0.25">
      <c r="A328" s="199" t="s">
        <v>910</v>
      </c>
      <c r="B328" s="277"/>
      <c r="C328" s="271"/>
      <c r="D328" s="274"/>
      <c r="E328" s="274"/>
      <c r="F328" s="68"/>
      <c r="G328" s="68" t="s">
        <v>604</v>
      </c>
      <c r="H328" s="67" t="s">
        <v>3</v>
      </c>
      <c r="I328" s="68"/>
    </row>
    <row r="329" spans="1:9" x14ac:dyDescent="0.25">
      <c r="A329" s="199" t="s">
        <v>909</v>
      </c>
      <c r="B329" s="277"/>
      <c r="C329" s="271"/>
      <c r="D329" s="274"/>
      <c r="E329" s="274"/>
      <c r="F329" s="68"/>
      <c r="G329" s="68" t="s">
        <v>1294</v>
      </c>
      <c r="H329" s="67" t="s">
        <v>3</v>
      </c>
      <c r="I329" s="68"/>
    </row>
    <row r="330" spans="1:9" x14ac:dyDescent="0.25">
      <c r="A330" s="199" t="s">
        <v>908</v>
      </c>
      <c r="B330" s="277"/>
      <c r="C330" s="271"/>
      <c r="D330" s="274"/>
      <c r="E330" s="274"/>
      <c r="F330" s="68"/>
      <c r="G330" s="68" t="s">
        <v>588</v>
      </c>
      <c r="H330" s="67" t="s">
        <v>3</v>
      </c>
      <c r="I330" s="68"/>
    </row>
    <row r="331" spans="1:9" x14ac:dyDescent="0.25">
      <c r="A331" s="199" t="s">
        <v>907</v>
      </c>
      <c r="B331" s="277"/>
      <c r="C331" s="271"/>
      <c r="D331" s="274"/>
      <c r="E331" s="274"/>
      <c r="F331" s="68"/>
      <c r="G331" s="68" t="s">
        <v>1295</v>
      </c>
      <c r="H331" s="67" t="s">
        <v>3</v>
      </c>
      <c r="I331" s="68"/>
    </row>
    <row r="332" spans="1:9" x14ac:dyDescent="0.25">
      <c r="A332" s="199" t="s">
        <v>906</v>
      </c>
      <c r="B332" s="277"/>
      <c r="C332" s="271"/>
      <c r="D332" s="275"/>
      <c r="E332" s="275"/>
      <c r="F332" s="68"/>
      <c r="G332" s="68" t="s">
        <v>596</v>
      </c>
      <c r="H332" s="67" t="s">
        <v>3</v>
      </c>
      <c r="I332" s="68"/>
    </row>
    <row r="333" spans="1:9" ht="76.5" x14ac:dyDescent="0.25">
      <c r="A333" s="199" t="s">
        <v>905</v>
      </c>
      <c r="B333" s="278"/>
      <c r="C333" s="271"/>
      <c r="D333" s="273" t="s">
        <v>84</v>
      </c>
      <c r="E333" s="273"/>
      <c r="F333" s="68"/>
      <c r="G333" s="68" t="s">
        <v>616</v>
      </c>
      <c r="H333" s="67" t="s">
        <v>3</v>
      </c>
      <c r="I333" s="68"/>
    </row>
    <row r="334" spans="1:9" x14ac:dyDescent="0.25">
      <c r="A334" s="199" t="s">
        <v>904</v>
      </c>
      <c r="B334" s="276"/>
      <c r="C334" s="271"/>
      <c r="D334" s="274"/>
      <c r="E334" s="274"/>
      <c r="F334" s="165"/>
      <c r="G334" s="165" t="s">
        <v>585</v>
      </c>
      <c r="H334" s="67" t="s">
        <v>3</v>
      </c>
      <c r="I334" s="68"/>
    </row>
    <row r="335" spans="1:9" x14ac:dyDescent="0.25">
      <c r="A335" s="199" t="s">
        <v>903</v>
      </c>
      <c r="B335" s="277"/>
      <c r="C335" s="271"/>
      <c r="D335" s="274"/>
      <c r="E335" s="274"/>
      <c r="F335" s="165"/>
      <c r="G335" s="165" t="s">
        <v>604</v>
      </c>
      <c r="H335" s="67" t="s">
        <v>3</v>
      </c>
      <c r="I335" s="68"/>
    </row>
    <row r="336" spans="1:9" x14ac:dyDescent="0.25">
      <c r="A336" s="199" t="s">
        <v>902</v>
      </c>
      <c r="B336" s="277"/>
      <c r="C336" s="271"/>
      <c r="D336" s="274"/>
      <c r="E336" s="274"/>
      <c r="F336" s="165"/>
      <c r="G336" s="165" t="s">
        <v>617</v>
      </c>
      <c r="H336" s="67" t="s">
        <v>3</v>
      </c>
      <c r="I336" s="68"/>
    </row>
    <row r="337" spans="1:9" x14ac:dyDescent="0.25">
      <c r="A337" s="199" t="s">
        <v>901</v>
      </c>
      <c r="B337" s="277"/>
      <c r="C337" s="271"/>
      <c r="D337" s="274"/>
      <c r="E337" s="274"/>
      <c r="F337" s="165"/>
      <c r="G337" s="165" t="s">
        <v>588</v>
      </c>
      <c r="H337" s="67" t="s">
        <v>3</v>
      </c>
      <c r="I337" s="68"/>
    </row>
    <row r="338" spans="1:9" ht="25.5" x14ac:dyDescent="0.25">
      <c r="A338" s="199" t="s">
        <v>900</v>
      </c>
      <c r="B338" s="277"/>
      <c r="C338" s="271"/>
      <c r="D338" s="274"/>
      <c r="E338" s="274"/>
      <c r="F338" s="165"/>
      <c r="G338" s="165" t="s">
        <v>899</v>
      </c>
      <c r="H338" s="67" t="s">
        <v>3</v>
      </c>
      <c r="I338" s="68" t="s">
        <v>896</v>
      </c>
    </row>
    <row r="339" spans="1:9" ht="25.5" x14ac:dyDescent="0.25">
      <c r="A339" s="199" t="s">
        <v>898</v>
      </c>
      <c r="B339" s="277"/>
      <c r="C339" s="271"/>
      <c r="D339" s="274"/>
      <c r="E339" s="274"/>
      <c r="F339" s="68"/>
      <c r="G339" s="68" t="s">
        <v>897</v>
      </c>
      <c r="H339" s="67" t="s">
        <v>3</v>
      </c>
      <c r="I339" s="68" t="s">
        <v>896</v>
      </c>
    </row>
    <row r="340" spans="1:9" ht="25.5" x14ac:dyDescent="0.25">
      <c r="A340" s="199" t="s">
        <v>895</v>
      </c>
      <c r="B340" s="277"/>
      <c r="C340" s="271"/>
      <c r="D340" s="274"/>
      <c r="E340" s="274"/>
      <c r="F340" s="165"/>
      <c r="G340" s="165" t="s">
        <v>894</v>
      </c>
      <c r="H340" s="67" t="s">
        <v>3</v>
      </c>
      <c r="I340" s="68"/>
    </row>
    <row r="341" spans="1:9" x14ac:dyDescent="0.25">
      <c r="A341" s="199" t="s">
        <v>893</v>
      </c>
      <c r="B341" s="278"/>
      <c r="C341" s="272"/>
      <c r="D341" s="275"/>
      <c r="E341" s="275"/>
      <c r="F341" s="165"/>
      <c r="G341" s="165" t="s">
        <v>596</v>
      </c>
      <c r="H341" s="67" t="s">
        <v>3</v>
      </c>
      <c r="I341" s="68"/>
    </row>
    <row r="342" spans="1:9" s="200" customFormat="1" ht="63.75" x14ac:dyDescent="0.25">
      <c r="A342" s="199" t="s">
        <v>892</v>
      </c>
      <c r="B342" s="282"/>
      <c r="C342" s="270"/>
      <c r="D342" s="204" t="s">
        <v>618</v>
      </c>
      <c r="E342" s="288"/>
      <c r="F342" s="82"/>
      <c r="G342" s="82" t="s">
        <v>619</v>
      </c>
      <c r="H342" s="67" t="s">
        <v>3</v>
      </c>
      <c r="I342" s="79"/>
    </row>
    <row r="343" spans="1:9" s="200" customFormat="1" x14ac:dyDescent="0.25">
      <c r="A343" s="199" t="s">
        <v>891</v>
      </c>
      <c r="B343" s="283"/>
      <c r="C343" s="271"/>
      <c r="D343" s="203"/>
      <c r="E343" s="289"/>
      <c r="F343" s="82"/>
      <c r="G343" s="82" t="s">
        <v>620</v>
      </c>
      <c r="H343" s="67" t="s">
        <v>3</v>
      </c>
      <c r="I343" s="79"/>
    </row>
    <row r="344" spans="1:9" s="200" customFormat="1" ht="25.5" x14ac:dyDescent="0.25">
      <c r="A344" s="199" t="s">
        <v>890</v>
      </c>
      <c r="B344" s="283"/>
      <c r="C344" s="271"/>
      <c r="D344" s="203"/>
      <c r="E344" s="289"/>
      <c r="F344" s="82"/>
      <c r="G344" s="82" t="s">
        <v>621</v>
      </c>
      <c r="H344" s="67" t="s">
        <v>3</v>
      </c>
      <c r="I344" s="79"/>
    </row>
    <row r="345" spans="1:9" s="200" customFormat="1" ht="25.5" x14ac:dyDescent="0.25">
      <c r="A345" s="199" t="s">
        <v>889</v>
      </c>
      <c r="B345" s="283"/>
      <c r="C345" s="271"/>
      <c r="D345" s="203"/>
      <c r="E345" s="289"/>
      <c r="F345" s="82"/>
      <c r="G345" s="82" t="s">
        <v>888</v>
      </c>
      <c r="H345" s="67" t="s">
        <v>3</v>
      </c>
      <c r="I345" s="79"/>
    </row>
    <row r="346" spans="1:9" s="200" customFormat="1" ht="25.5" x14ac:dyDescent="0.25">
      <c r="A346" s="199" t="s">
        <v>887</v>
      </c>
      <c r="B346" s="283"/>
      <c r="C346" s="271"/>
      <c r="D346" s="203"/>
      <c r="E346" s="289"/>
      <c r="F346" s="82"/>
      <c r="G346" s="82" t="s">
        <v>886</v>
      </c>
      <c r="H346" s="67" t="s">
        <v>3</v>
      </c>
      <c r="I346" s="79"/>
    </row>
    <row r="347" spans="1:9" s="200" customFormat="1" x14ac:dyDescent="0.25">
      <c r="A347" s="199" t="s">
        <v>885</v>
      </c>
      <c r="B347" s="283"/>
      <c r="C347" s="271"/>
      <c r="D347" s="203"/>
      <c r="E347" s="289"/>
      <c r="F347" s="82"/>
      <c r="G347" s="82" t="s">
        <v>589</v>
      </c>
      <c r="H347" s="67" t="s">
        <v>3</v>
      </c>
      <c r="I347" s="79"/>
    </row>
    <row r="348" spans="1:9" s="200" customFormat="1" x14ac:dyDescent="0.25">
      <c r="A348" s="199" t="s">
        <v>884</v>
      </c>
      <c r="B348" s="284"/>
      <c r="C348" s="272"/>
      <c r="D348" s="202"/>
      <c r="E348" s="290"/>
      <c r="F348" s="79"/>
      <c r="G348" s="201" t="s">
        <v>883</v>
      </c>
      <c r="H348" s="67" t="s">
        <v>3</v>
      </c>
      <c r="I348" s="79"/>
    </row>
    <row r="349" spans="1:9" s="200" customFormat="1" ht="51" x14ac:dyDescent="0.25">
      <c r="A349" s="199" t="s">
        <v>882</v>
      </c>
      <c r="B349" s="267"/>
      <c r="C349" s="279"/>
      <c r="D349" s="304" t="s">
        <v>81</v>
      </c>
      <c r="E349" s="293"/>
      <c r="F349" s="79"/>
      <c r="G349" s="79" t="s">
        <v>622</v>
      </c>
      <c r="H349" s="67" t="s">
        <v>3</v>
      </c>
      <c r="I349" s="79"/>
    </row>
    <row r="350" spans="1:9" s="200" customFormat="1" x14ac:dyDescent="0.25">
      <c r="A350" s="199" t="s">
        <v>881</v>
      </c>
      <c r="B350" s="268"/>
      <c r="C350" s="280"/>
      <c r="D350" s="305"/>
      <c r="E350" s="294"/>
      <c r="F350" s="79"/>
      <c r="G350" s="79" t="s">
        <v>623</v>
      </c>
      <c r="H350" s="67" t="s">
        <v>385</v>
      </c>
      <c r="I350" s="79"/>
    </row>
    <row r="351" spans="1:9" s="200" customFormat="1" x14ac:dyDescent="0.25">
      <c r="A351" s="199" t="s">
        <v>880</v>
      </c>
      <c r="B351" s="268"/>
      <c r="C351" s="280"/>
      <c r="D351" s="305"/>
      <c r="E351" s="294"/>
      <c r="F351" s="79"/>
      <c r="G351" s="79" t="s">
        <v>624</v>
      </c>
      <c r="H351" s="67" t="s">
        <v>3</v>
      </c>
      <c r="I351" s="79"/>
    </row>
    <row r="352" spans="1:9" s="200" customFormat="1" x14ac:dyDescent="0.25">
      <c r="A352" s="199" t="s">
        <v>879</v>
      </c>
      <c r="B352" s="268"/>
      <c r="C352" s="280"/>
      <c r="D352" s="305"/>
      <c r="E352" s="294"/>
      <c r="F352" s="79"/>
      <c r="G352" s="79" t="s">
        <v>625</v>
      </c>
      <c r="H352" s="67" t="s">
        <v>3</v>
      </c>
      <c r="I352" s="79"/>
    </row>
    <row r="353" spans="1:9" s="200" customFormat="1" x14ac:dyDescent="0.25">
      <c r="A353" s="199" t="s">
        <v>878</v>
      </c>
      <c r="B353" s="268"/>
      <c r="C353" s="280"/>
      <c r="D353" s="305"/>
      <c r="E353" s="294"/>
      <c r="F353" s="79"/>
      <c r="G353" s="79" t="s">
        <v>626</v>
      </c>
      <c r="H353" s="67" t="s">
        <v>3</v>
      </c>
      <c r="I353" s="79"/>
    </row>
    <row r="354" spans="1:9" s="200" customFormat="1" ht="25.5" x14ac:dyDescent="0.25">
      <c r="A354" s="199" t="s">
        <v>877</v>
      </c>
      <c r="B354" s="268"/>
      <c r="C354" s="280"/>
      <c r="D354" s="305"/>
      <c r="E354" s="294"/>
      <c r="F354" s="79"/>
      <c r="G354" s="79" t="s">
        <v>627</v>
      </c>
      <c r="H354" s="67" t="s">
        <v>3</v>
      </c>
      <c r="I354" s="79"/>
    </row>
    <row r="355" spans="1:9" s="200" customFormat="1" ht="51" x14ac:dyDescent="0.25">
      <c r="A355" s="199" t="s">
        <v>876</v>
      </c>
      <c r="B355" s="268"/>
      <c r="C355" s="280"/>
      <c r="D355" s="305"/>
      <c r="E355" s="294"/>
      <c r="F355" s="79"/>
      <c r="G355" s="79" t="s">
        <v>628</v>
      </c>
      <c r="H355" s="67" t="s">
        <v>3</v>
      </c>
      <c r="I355" s="79"/>
    </row>
    <row r="356" spans="1:9" s="200" customFormat="1" ht="38.25" x14ac:dyDescent="0.25">
      <c r="A356" s="199" t="s">
        <v>875</v>
      </c>
      <c r="B356" s="268"/>
      <c r="C356" s="280"/>
      <c r="D356" s="305"/>
      <c r="E356" s="294"/>
      <c r="F356" s="79"/>
      <c r="G356" s="79" t="s">
        <v>629</v>
      </c>
      <c r="H356" s="67" t="s">
        <v>3</v>
      </c>
      <c r="I356" s="79"/>
    </row>
    <row r="357" spans="1:9" s="200" customFormat="1" ht="25.5" x14ac:dyDescent="0.25">
      <c r="A357" s="199" t="s">
        <v>874</v>
      </c>
      <c r="B357" s="268"/>
      <c r="C357" s="280"/>
      <c r="D357" s="305"/>
      <c r="E357" s="294"/>
      <c r="F357" s="79"/>
      <c r="G357" s="79" t="s">
        <v>630</v>
      </c>
      <c r="H357" s="67" t="s">
        <v>3</v>
      </c>
      <c r="I357" s="79"/>
    </row>
    <row r="358" spans="1:9" s="200" customFormat="1" x14ac:dyDescent="0.25">
      <c r="A358" s="199" t="s">
        <v>873</v>
      </c>
      <c r="B358" s="268"/>
      <c r="C358" s="280"/>
      <c r="D358" s="305"/>
      <c r="E358" s="294"/>
      <c r="F358" s="79"/>
      <c r="G358" s="79" t="s">
        <v>631</v>
      </c>
      <c r="H358" s="67" t="s">
        <v>3</v>
      </c>
      <c r="I358" s="79"/>
    </row>
    <row r="359" spans="1:9" s="200" customFormat="1" x14ac:dyDescent="0.25">
      <c r="A359" s="199" t="s">
        <v>872</v>
      </c>
      <c r="B359" s="268"/>
      <c r="C359" s="280"/>
      <c r="D359" s="305"/>
      <c r="E359" s="294"/>
      <c r="F359" s="79"/>
      <c r="G359" s="79" t="s">
        <v>632</v>
      </c>
      <c r="H359" s="67" t="s">
        <v>3</v>
      </c>
      <c r="I359" s="79"/>
    </row>
    <row r="360" spans="1:9" s="200" customFormat="1" x14ac:dyDescent="0.25">
      <c r="A360" s="199" t="s">
        <v>871</v>
      </c>
      <c r="B360" s="269"/>
      <c r="C360" s="281"/>
      <c r="D360" s="306"/>
      <c r="E360" s="295"/>
      <c r="F360" s="79"/>
      <c r="G360" s="79" t="s">
        <v>633</v>
      </c>
      <c r="H360" s="67" t="s">
        <v>3</v>
      </c>
      <c r="I360" s="79"/>
    </row>
    <row r="361" spans="1:9" s="200" customFormat="1" ht="102" x14ac:dyDescent="0.25">
      <c r="A361" s="199" t="s">
        <v>870</v>
      </c>
      <c r="B361" s="267"/>
      <c r="C361" s="279"/>
      <c r="D361" s="304" t="s">
        <v>325</v>
      </c>
      <c r="E361" s="293"/>
      <c r="F361" s="79"/>
      <c r="G361" s="83" t="s">
        <v>634</v>
      </c>
      <c r="H361" s="67" t="s">
        <v>385</v>
      </c>
      <c r="I361" s="79"/>
    </row>
    <row r="362" spans="1:9" s="200" customFormat="1" ht="25.5" x14ac:dyDescent="0.25">
      <c r="A362" s="199" t="s">
        <v>869</v>
      </c>
      <c r="B362" s="269"/>
      <c r="C362" s="281"/>
      <c r="D362" s="305"/>
      <c r="E362" s="294"/>
      <c r="F362" s="79"/>
      <c r="G362" s="83" t="s">
        <v>635</v>
      </c>
      <c r="H362" s="67" t="s">
        <v>3</v>
      </c>
      <c r="I362" s="79"/>
    </row>
    <row r="363" spans="1:9" s="200" customFormat="1" ht="25.5" x14ac:dyDescent="0.25">
      <c r="A363" s="199" t="s">
        <v>868</v>
      </c>
      <c r="B363" s="267"/>
      <c r="C363" s="279"/>
      <c r="D363" s="305"/>
      <c r="E363" s="294"/>
      <c r="F363" s="79"/>
      <c r="G363" s="83" t="s">
        <v>636</v>
      </c>
      <c r="H363" s="67" t="s">
        <v>3</v>
      </c>
      <c r="I363" s="79"/>
    </row>
    <row r="364" spans="1:9" s="200" customFormat="1" ht="25.5" x14ac:dyDescent="0.25">
      <c r="A364" s="199" t="s">
        <v>867</v>
      </c>
      <c r="B364" s="268"/>
      <c r="C364" s="280"/>
      <c r="D364" s="305"/>
      <c r="E364" s="294"/>
      <c r="F364" s="79"/>
      <c r="G364" s="83" t="s">
        <v>637</v>
      </c>
      <c r="H364" s="67" t="s">
        <v>3</v>
      </c>
      <c r="I364" s="79"/>
    </row>
    <row r="365" spans="1:9" s="200" customFormat="1" x14ac:dyDescent="0.25">
      <c r="A365" s="199" t="s">
        <v>866</v>
      </c>
      <c r="B365" s="268"/>
      <c r="C365" s="280"/>
      <c r="D365" s="305"/>
      <c r="E365" s="294"/>
      <c r="F365" s="79"/>
      <c r="G365" s="83" t="s">
        <v>638</v>
      </c>
      <c r="H365" s="67" t="s">
        <v>3</v>
      </c>
      <c r="I365" s="79"/>
    </row>
    <row r="366" spans="1:9" s="200" customFormat="1" x14ac:dyDescent="0.25">
      <c r="A366" s="199" t="s">
        <v>865</v>
      </c>
      <c r="B366" s="268"/>
      <c r="C366" s="280"/>
      <c r="D366" s="305"/>
      <c r="E366" s="294"/>
      <c r="F366" s="79"/>
      <c r="G366" s="83" t="s">
        <v>639</v>
      </c>
      <c r="H366" s="67" t="s">
        <v>3</v>
      </c>
      <c r="I366" s="79"/>
    </row>
    <row r="367" spans="1:9" s="200" customFormat="1" ht="38.25" x14ac:dyDescent="0.25">
      <c r="A367" s="199" t="s">
        <v>864</v>
      </c>
      <c r="B367" s="268"/>
      <c r="C367" s="280"/>
      <c r="D367" s="305"/>
      <c r="E367" s="294"/>
      <c r="F367" s="79"/>
      <c r="G367" s="83" t="s">
        <v>863</v>
      </c>
      <c r="H367" s="67" t="s">
        <v>3</v>
      </c>
      <c r="I367" s="79"/>
    </row>
    <row r="368" spans="1:9" s="200" customFormat="1" x14ac:dyDescent="0.25">
      <c r="A368" s="199" t="s">
        <v>862</v>
      </c>
      <c r="B368" s="268"/>
      <c r="C368" s="280"/>
      <c r="D368" s="305"/>
      <c r="E368" s="294"/>
      <c r="F368" s="79"/>
      <c r="G368" s="83" t="s">
        <v>640</v>
      </c>
      <c r="H368" s="67" t="s">
        <v>3</v>
      </c>
      <c r="I368" s="79"/>
    </row>
    <row r="369" spans="1:9" s="200" customFormat="1" ht="25.5" x14ac:dyDescent="0.25">
      <c r="A369" s="199"/>
      <c r="B369" s="268"/>
      <c r="C369" s="280"/>
      <c r="D369" s="305"/>
      <c r="E369" s="294"/>
      <c r="F369" s="79"/>
      <c r="G369" s="83" t="s">
        <v>861</v>
      </c>
      <c r="H369" s="67" t="s">
        <v>3</v>
      </c>
      <c r="I369" s="79"/>
    </row>
    <row r="370" spans="1:9" s="200" customFormat="1" x14ac:dyDescent="0.25">
      <c r="A370" s="199" t="s">
        <v>860</v>
      </c>
      <c r="B370" s="268"/>
      <c r="C370" s="280"/>
      <c r="D370" s="305"/>
      <c r="E370" s="294"/>
      <c r="F370" s="79"/>
      <c r="G370" s="83" t="s">
        <v>859</v>
      </c>
      <c r="H370" s="67" t="s">
        <v>3</v>
      </c>
      <c r="I370" s="79"/>
    </row>
    <row r="371" spans="1:9" s="200" customFormat="1" x14ac:dyDescent="0.25">
      <c r="A371" s="199" t="s">
        <v>858</v>
      </c>
      <c r="B371" s="268"/>
      <c r="C371" s="280"/>
      <c r="D371" s="305"/>
      <c r="E371" s="294"/>
      <c r="F371" s="79"/>
      <c r="G371" s="83" t="s">
        <v>857</v>
      </c>
      <c r="H371" s="67" t="s">
        <v>3</v>
      </c>
      <c r="I371" s="79"/>
    </row>
    <row r="372" spans="1:9" s="200" customFormat="1" ht="25.5" x14ac:dyDescent="0.25">
      <c r="A372" s="199" t="s">
        <v>856</v>
      </c>
      <c r="B372" s="268"/>
      <c r="C372" s="280"/>
      <c r="D372" s="305"/>
      <c r="E372" s="294"/>
      <c r="F372" s="79"/>
      <c r="G372" s="83" t="s">
        <v>855</v>
      </c>
      <c r="H372" s="67" t="s">
        <v>3</v>
      </c>
      <c r="I372" s="79"/>
    </row>
    <row r="373" spans="1:9" s="200" customFormat="1" x14ac:dyDescent="0.25">
      <c r="A373" s="199" t="s">
        <v>854</v>
      </c>
      <c r="B373" s="269"/>
      <c r="C373" s="281"/>
      <c r="D373" s="306"/>
      <c r="E373" s="295"/>
      <c r="F373" s="79"/>
      <c r="G373" s="83" t="s">
        <v>853</v>
      </c>
      <c r="H373" s="67" t="s">
        <v>3</v>
      </c>
      <c r="I373" s="79"/>
    </row>
    <row r="374" spans="1:9" ht="51" x14ac:dyDescent="0.25">
      <c r="A374" s="199" t="s">
        <v>852</v>
      </c>
      <c r="B374" s="258" t="s">
        <v>362</v>
      </c>
      <c r="C374" s="264"/>
      <c r="D374" s="258" t="s">
        <v>362</v>
      </c>
      <c r="E374" s="258"/>
      <c r="F374" s="68" t="s">
        <v>363</v>
      </c>
      <c r="G374" s="68" t="s">
        <v>641</v>
      </c>
      <c r="H374" s="67" t="s">
        <v>3</v>
      </c>
      <c r="I374" s="68"/>
    </row>
    <row r="375" spans="1:9" x14ac:dyDescent="0.25">
      <c r="A375" s="199" t="s">
        <v>851</v>
      </c>
      <c r="B375" s="259"/>
      <c r="C375" s="265"/>
      <c r="D375" s="259"/>
      <c r="E375" s="259"/>
      <c r="F375" s="68"/>
      <c r="G375" s="68" t="s">
        <v>642</v>
      </c>
      <c r="H375" s="67" t="s">
        <v>3</v>
      </c>
      <c r="I375" s="68"/>
    </row>
    <row r="376" spans="1:9" ht="25.5" x14ac:dyDescent="0.25">
      <c r="A376" s="199" t="s">
        <v>850</v>
      </c>
      <c r="B376" s="259"/>
      <c r="C376" s="265"/>
      <c r="D376" s="259"/>
      <c r="E376" s="259"/>
      <c r="F376" s="68"/>
      <c r="G376" s="68" t="s">
        <v>643</v>
      </c>
      <c r="H376" s="67" t="s">
        <v>3</v>
      </c>
      <c r="I376" s="68"/>
    </row>
    <row r="377" spans="1:9" ht="25.5" x14ac:dyDescent="0.25">
      <c r="A377" s="199" t="s">
        <v>849</v>
      </c>
      <c r="B377" s="260"/>
      <c r="C377" s="266"/>
      <c r="D377" s="260"/>
      <c r="E377" s="260"/>
      <c r="F377" s="68"/>
      <c r="G377" s="68" t="s">
        <v>644</v>
      </c>
      <c r="H377" s="67" t="s">
        <v>3</v>
      </c>
      <c r="I377" s="68"/>
    </row>
    <row r="378" spans="1:9" s="200" customFormat="1" ht="76.5" x14ac:dyDescent="0.25">
      <c r="A378" s="199" t="s">
        <v>848</v>
      </c>
      <c r="B378" s="84"/>
      <c r="C378" s="267" t="s">
        <v>645</v>
      </c>
      <c r="D378" s="85"/>
      <c r="E378" s="86"/>
      <c r="F378" s="79"/>
      <c r="G378" s="83" t="s">
        <v>646</v>
      </c>
      <c r="H378" s="67" t="s">
        <v>3</v>
      </c>
      <c r="I378" s="79"/>
    </row>
    <row r="379" spans="1:9" s="200" customFormat="1" ht="89.25" x14ac:dyDescent="0.25">
      <c r="A379" s="199" t="s">
        <v>847</v>
      </c>
      <c r="B379" s="267"/>
      <c r="C379" s="268"/>
      <c r="D379" s="267" t="s">
        <v>647</v>
      </c>
      <c r="E379" s="293"/>
      <c r="F379" s="79"/>
      <c r="G379" s="83" t="s">
        <v>648</v>
      </c>
      <c r="H379" s="67" t="s">
        <v>3</v>
      </c>
      <c r="I379" s="79"/>
    </row>
    <row r="380" spans="1:9" s="200" customFormat="1" ht="89.25" x14ac:dyDescent="0.25">
      <c r="A380" s="199" t="s">
        <v>846</v>
      </c>
      <c r="B380" s="268"/>
      <c r="C380" s="268"/>
      <c r="D380" s="268"/>
      <c r="E380" s="294"/>
      <c r="F380" s="79"/>
      <c r="G380" s="83" t="s">
        <v>649</v>
      </c>
      <c r="H380" s="67" t="s">
        <v>3</v>
      </c>
      <c r="I380" s="79"/>
    </row>
    <row r="381" spans="1:9" s="200" customFormat="1" ht="25.5" x14ac:dyDescent="0.25">
      <c r="A381" s="199" t="s">
        <v>845</v>
      </c>
      <c r="B381" s="268"/>
      <c r="C381" s="268"/>
      <c r="D381" s="268"/>
      <c r="E381" s="294"/>
      <c r="F381" s="79"/>
      <c r="G381" s="83" t="s">
        <v>650</v>
      </c>
      <c r="H381" s="67" t="s">
        <v>3</v>
      </c>
      <c r="I381" s="79"/>
    </row>
    <row r="382" spans="1:9" s="200" customFormat="1" x14ac:dyDescent="0.25">
      <c r="A382" s="199" t="s">
        <v>844</v>
      </c>
      <c r="B382" s="268"/>
      <c r="C382" s="268"/>
      <c r="D382" s="268"/>
      <c r="E382" s="294"/>
      <c r="F382" s="79"/>
      <c r="G382" s="83" t="s">
        <v>651</v>
      </c>
      <c r="H382" s="67" t="s">
        <v>3</v>
      </c>
      <c r="I382" s="79"/>
    </row>
    <row r="383" spans="1:9" s="200" customFormat="1" ht="25.5" x14ac:dyDescent="0.25">
      <c r="A383" s="199" t="s">
        <v>843</v>
      </c>
      <c r="B383" s="268"/>
      <c r="C383" s="268"/>
      <c r="D383" s="268"/>
      <c r="E383" s="294"/>
      <c r="F383" s="79"/>
      <c r="G383" s="83" t="s">
        <v>652</v>
      </c>
      <c r="H383" s="67" t="s">
        <v>3</v>
      </c>
      <c r="I383" s="79"/>
    </row>
    <row r="384" spans="1:9" s="200" customFormat="1" x14ac:dyDescent="0.25">
      <c r="A384" s="199" t="s">
        <v>842</v>
      </c>
      <c r="B384" s="268"/>
      <c r="C384" s="268"/>
      <c r="D384" s="268"/>
      <c r="E384" s="294"/>
      <c r="F384" s="79"/>
      <c r="G384" s="83" t="s">
        <v>653</v>
      </c>
      <c r="H384" s="67" t="s">
        <v>3</v>
      </c>
      <c r="I384" s="79"/>
    </row>
    <row r="385" spans="1:9" s="200" customFormat="1" ht="25.5" x14ac:dyDescent="0.25">
      <c r="A385" s="199" t="s">
        <v>841</v>
      </c>
      <c r="B385" s="269"/>
      <c r="C385" s="268"/>
      <c r="D385" s="268"/>
      <c r="E385" s="295"/>
      <c r="F385" s="79"/>
      <c r="G385" s="83" t="s">
        <v>654</v>
      </c>
      <c r="H385" s="67" t="s">
        <v>3</v>
      </c>
      <c r="I385" s="79"/>
    </row>
    <row r="386" spans="1:9" s="200" customFormat="1" ht="63.75" x14ac:dyDescent="0.25">
      <c r="A386" s="199" t="s">
        <v>840</v>
      </c>
      <c r="B386" s="84"/>
      <c r="C386" s="268"/>
      <c r="D386" s="269"/>
      <c r="E386" s="293" t="s">
        <v>351</v>
      </c>
      <c r="F386" s="87"/>
      <c r="G386" s="83" t="s">
        <v>655</v>
      </c>
      <c r="H386" s="67" t="s">
        <v>3</v>
      </c>
      <c r="I386" s="79"/>
    </row>
    <row r="387" spans="1:9" s="200" customFormat="1" ht="25.5" x14ac:dyDescent="0.25">
      <c r="A387" s="199" t="s">
        <v>839</v>
      </c>
      <c r="B387" s="267"/>
      <c r="C387" s="268"/>
      <c r="D387" s="267"/>
      <c r="E387" s="294"/>
      <c r="F387" s="87"/>
      <c r="G387" s="83" t="s">
        <v>656</v>
      </c>
      <c r="H387" s="67" t="s">
        <v>3</v>
      </c>
      <c r="I387" s="79"/>
    </row>
    <row r="388" spans="1:9" s="200" customFormat="1" x14ac:dyDescent="0.25">
      <c r="A388" s="199" t="s">
        <v>838</v>
      </c>
      <c r="B388" s="268"/>
      <c r="C388" s="268"/>
      <c r="D388" s="269"/>
      <c r="E388" s="295"/>
      <c r="F388" s="87"/>
      <c r="G388" s="83" t="s">
        <v>657</v>
      </c>
      <c r="H388" s="67" t="s">
        <v>3</v>
      </c>
      <c r="I388" s="79"/>
    </row>
    <row r="389" spans="1:9" s="200" customFormat="1" x14ac:dyDescent="0.25">
      <c r="A389" s="199" t="s">
        <v>837</v>
      </c>
      <c r="B389" s="268"/>
      <c r="C389" s="268"/>
      <c r="D389" s="85" t="s">
        <v>335</v>
      </c>
      <c r="E389" s="86"/>
      <c r="F389" s="79"/>
      <c r="G389" s="83" t="s">
        <v>336</v>
      </c>
      <c r="H389" s="67" t="s">
        <v>3</v>
      </c>
      <c r="I389" s="79"/>
    </row>
    <row r="390" spans="1:9" ht="76.5" x14ac:dyDescent="0.25">
      <c r="A390" s="199" t="s">
        <v>836</v>
      </c>
      <c r="B390" s="268"/>
      <c r="C390" s="268"/>
      <c r="D390" s="301" t="s">
        <v>658</v>
      </c>
      <c r="E390" s="301"/>
      <c r="F390" s="80"/>
      <c r="G390" s="80" t="s">
        <v>659</v>
      </c>
      <c r="H390" s="67" t="s">
        <v>3</v>
      </c>
      <c r="I390" s="68"/>
    </row>
    <row r="391" spans="1:9" ht="25.5" x14ac:dyDescent="0.25">
      <c r="A391" s="199" t="s">
        <v>835</v>
      </c>
      <c r="B391" s="268"/>
      <c r="C391" s="268"/>
      <c r="D391" s="302"/>
      <c r="E391" s="302"/>
      <c r="F391" s="80"/>
      <c r="G391" s="80" t="s">
        <v>660</v>
      </c>
      <c r="H391" s="67" t="s">
        <v>3</v>
      </c>
      <c r="I391" s="68"/>
    </row>
    <row r="392" spans="1:9" x14ac:dyDescent="0.25">
      <c r="A392" s="199" t="s">
        <v>834</v>
      </c>
      <c r="B392" s="268"/>
      <c r="C392" s="268"/>
      <c r="D392" s="302"/>
      <c r="E392" s="302"/>
      <c r="F392" s="80"/>
      <c r="G392" s="80" t="s">
        <v>661</v>
      </c>
      <c r="H392" s="67" t="s">
        <v>3</v>
      </c>
      <c r="I392" s="68"/>
    </row>
    <row r="393" spans="1:9" ht="25.5" x14ac:dyDescent="0.25">
      <c r="A393" s="199" t="s">
        <v>833</v>
      </c>
      <c r="B393" s="268"/>
      <c r="C393" s="268"/>
      <c r="D393" s="302"/>
      <c r="E393" s="302"/>
      <c r="F393" s="80"/>
      <c r="G393" s="80" t="s">
        <v>662</v>
      </c>
      <c r="H393" s="67" t="s">
        <v>3</v>
      </c>
      <c r="I393" s="68"/>
    </row>
    <row r="394" spans="1:9" x14ac:dyDescent="0.25">
      <c r="A394" s="199" t="s">
        <v>832</v>
      </c>
      <c r="B394" s="268"/>
      <c r="C394" s="268"/>
      <c r="D394" s="302"/>
      <c r="E394" s="302"/>
      <c r="F394" s="80"/>
      <c r="G394" s="80" t="s">
        <v>663</v>
      </c>
      <c r="H394" s="67" t="s">
        <v>3</v>
      </c>
      <c r="I394" s="68"/>
    </row>
    <row r="395" spans="1:9" ht="25.5" x14ac:dyDescent="0.25">
      <c r="A395" s="199" t="s">
        <v>831</v>
      </c>
      <c r="B395" s="268"/>
      <c r="C395" s="268"/>
      <c r="D395" s="302"/>
      <c r="E395" s="302"/>
      <c r="F395" s="80"/>
      <c r="G395" s="80" t="s">
        <v>664</v>
      </c>
      <c r="H395" s="67" t="s">
        <v>3</v>
      </c>
      <c r="I395" s="68"/>
    </row>
    <row r="396" spans="1:9" ht="25.5" x14ac:dyDescent="0.25">
      <c r="A396" s="199" t="s">
        <v>830</v>
      </c>
      <c r="B396" s="268"/>
      <c r="C396" s="268"/>
      <c r="D396" s="303"/>
      <c r="E396" s="303"/>
      <c r="F396" s="80"/>
      <c r="G396" s="80" t="s">
        <v>665</v>
      </c>
      <c r="H396" s="67" t="s">
        <v>3</v>
      </c>
      <c r="I396" s="68"/>
    </row>
    <row r="397" spans="1:9" x14ac:dyDescent="0.25">
      <c r="A397" s="199" t="s">
        <v>829</v>
      </c>
      <c r="B397" s="269"/>
      <c r="C397" s="269"/>
      <c r="D397" s="88" t="s">
        <v>22</v>
      </c>
      <c r="E397" s="88"/>
      <c r="F397" s="80"/>
      <c r="G397" s="89" t="s">
        <v>666</v>
      </c>
      <c r="H397" s="67" t="s">
        <v>3</v>
      </c>
      <c r="I397" s="68"/>
    </row>
    <row r="398" spans="1:9" ht="63.75" x14ac:dyDescent="0.25">
      <c r="A398" s="199" t="s">
        <v>828</v>
      </c>
      <c r="B398" s="261" t="s">
        <v>34</v>
      </c>
      <c r="C398" s="64" t="s">
        <v>34</v>
      </c>
      <c r="D398" s="65" t="s">
        <v>34</v>
      </c>
      <c r="E398" s="65"/>
      <c r="F398" s="68" t="s">
        <v>337</v>
      </c>
      <c r="G398" s="68" t="s">
        <v>667</v>
      </c>
      <c r="H398" s="67" t="s">
        <v>3</v>
      </c>
      <c r="I398" s="68"/>
    </row>
    <row r="399" spans="1:9" ht="38.25" x14ac:dyDescent="0.25">
      <c r="A399" s="199" t="s">
        <v>827</v>
      </c>
      <c r="B399" s="263"/>
      <c r="C399" s="64" t="s">
        <v>331</v>
      </c>
      <c r="D399" s="163"/>
      <c r="E399" s="90"/>
      <c r="F399" s="91" t="s">
        <v>332</v>
      </c>
      <c r="G399" s="68" t="s">
        <v>668</v>
      </c>
      <c r="H399" s="67" t="s">
        <v>3</v>
      </c>
      <c r="I399" s="68"/>
    </row>
    <row r="400" spans="1:9" ht="25.5" x14ac:dyDescent="0.25">
      <c r="A400" s="199" t="s">
        <v>826</v>
      </c>
      <c r="B400" s="261"/>
      <c r="C400" s="261" t="s">
        <v>669</v>
      </c>
      <c r="D400" s="258" t="s">
        <v>670</v>
      </c>
      <c r="E400" s="258"/>
      <c r="F400" s="91"/>
      <c r="G400" s="79" t="s">
        <v>671</v>
      </c>
      <c r="H400" s="67" t="s">
        <v>3</v>
      </c>
      <c r="I400" s="68"/>
    </row>
    <row r="401" spans="1:9" x14ac:dyDescent="0.25">
      <c r="A401" s="199" t="s">
        <v>825</v>
      </c>
      <c r="B401" s="262"/>
      <c r="C401" s="262"/>
      <c r="D401" s="260"/>
      <c r="E401" s="260"/>
      <c r="F401" s="91"/>
      <c r="G401" s="79" t="s">
        <v>672</v>
      </c>
      <c r="H401" s="67" t="s">
        <v>3</v>
      </c>
      <c r="I401" s="68"/>
    </row>
    <row r="402" spans="1:9" ht="191.25" x14ac:dyDescent="0.2">
      <c r="A402" s="199" t="s">
        <v>824</v>
      </c>
      <c r="B402" s="263"/>
      <c r="C402" s="263"/>
      <c r="D402" s="65" t="s">
        <v>673</v>
      </c>
      <c r="E402" s="65"/>
      <c r="F402" s="68" t="s">
        <v>674</v>
      </c>
      <c r="G402" s="92" t="s">
        <v>675</v>
      </c>
      <c r="H402" s="67" t="s">
        <v>3</v>
      </c>
      <c r="I402" s="93"/>
    </row>
    <row r="403" spans="1:9" ht="51" x14ac:dyDescent="0.25">
      <c r="A403" s="199" t="s">
        <v>823</v>
      </c>
      <c r="B403" s="261" t="s">
        <v>676</v>
      </c>
      <c r="C403" s="261" t="s">
        <v>676</v>
      </c>
      <c r="D403" s="258" t="s">
        <v>676</v>
      </c>
      <c r="E403" s="258"/>
      <c r="F403" s="93"/>
      <c r="G403" s="93" t="s">
        <v>677</v>
      </c>
      <c r="H403" s="67" t="s">
        <v>3</v>
      </c>
      <c r="I403" s="93"/>
    </row>
    <row r="404" spans="1:9" x14ac:dyDescent="0.25">
      <c r="A404" s="199" t="s">
        <v>822</v>
      </c>
      <c r="B404" s="262"/>
      <c r="C404" s="262"/>
      <c r="D404" s="259"/>
      <c r="E404" s="259"/>
      <c r="F404" s="93"/>
      <c r="G404" s="93" t="s">
        <v>678</v>
      </c>
      <c r="H404" s="67" t="s">
        <v>3</v>
      </c>
      <c r="I404" s="93"/>
    </row>
    <row r="405" spans="1:9" x14ac:dyDescent="0.25">
      <c r="A405" s="199" t="s">
        <v>821</v>
      </c>
      <c r="B405" s="262"/>
      <c r="C405" s="262"/>
      <c r="D405" s="259"/>
      <c r="E405" s="259"/>
      <c r="F405" s="93"/>
      <c r="G405" s="93" t="s">
        <v>679</v>
      </c>
      <c r="H405" s="67" t="s">
        <v>3</v>
      </c>
      <c r="I405" s="93"/>
    </row>
    <row r="406" spans="1:9" ht="25.5" x14ac:dyDescent="0.25">
      <c r="A406" s="199" t="s">
        <v>820</v>
      </c>
      <c r="B406" s="263"/>
      <c r="C406" s="263"/>
      <c r="D406" s="260"/>
      <c r="E406" s="260"/>
      <c r="F406" s="93"/>
      <c r="G406" s="93" t="s">
        <v>680</v>
      </c>
      <c r="H406" s="67" t="s">
        <v>3</v>
      </c>
      <c r="I406" s="93"/>
    </row>
    <row r="407" spans="1:9" ht="38.25" x14ac:dyDescent="0.25">
      <c r="A407" s="199" t="s">
        <v>819</v>
      </c>
      <c r="B407" s="64"/>
      <c r="C407" s="258" t="s">
        <v>681</v>
      </c>
      <c r="D407" s="65" t="s">
        <v>682</v>
      </c>
      <c r="E407" s="94"/>
      <c r="F407" s="93"/>
      <c r="G407" s="93" t="s">
        <v>683</v>
      </c>
      <c r="H407" s="67" t="s">
        <v>3</v>
      </c>
      <c r="I407" s="93"/>
    </row>
    <row r="408" spans="1:9" ht="63.75" x14ac:dyDescent="0.25">
      <c r="A408" s="199" t="s">
        <v>818</v>
      </c>
      <c r="B408" s="261"/>
      <c r="C408" s="259"/>
      <c r="D408" s="258" t="s">
        <v>684</v>
      </c>
      <c r="E408" s="258"/>
      <c r="F408" s="93"/>
      <c r="G408" s="93" t="s">
        <v>685</v>
      </c>
      <c r="H408" s="67" t="s">
        <v>3</v>
      </c>
      <c r="I408" s="93"/>
    </row>
    <row r="409" spans="1:9" ht="25.5" x14ac:dyDescent="0.25">
      <c r="A409" s="199" t="s">
        <v>817</v>
      </c>
      <c r="B409" s="262"/>
      <c r="C409" s="259"/>
      <c r="D409" s="259"/>
      <c r="E409" s="259"/>
      <c r="F409" s="93"/>
      <c r="G409" s="93" t="s">
        <v>686</v>
      </c>
      <c r="H409" s="67" t="s">
        <v>3</v>
      </c>
      <c r="I409" s="93"/>
    </row>
    <row r="410" spans="1:9" ht="38.25" x14ac:dyDescent="0.25">
      <c r="A410" s="199" t="s">
        <v>816</v>
      </c>
      <c r="B410" s="262"/>
      <c r="C410" s="259"/>
      <c r="D410" s="259"/>
      <c r="E410" s="259"/>
      <c r="F410" s="93"/>
      <c r="G410" s="93" t="s">
        <v>687</v>
      </c>
      <c r="H410" s="67" t="s">
        <v>3</v>
      </c>
      <c r="I410" s="93"/>
    </row>
    <row r="411" spans="1:9" x14ac:dyDescent="0.25">
      <c r="A411" s="199" t="s">
        <v>815</v>
      </c>
      <c r="B411" s="262"/>
      <c r="C411" s="259"/>
      <c r="D411" s="259"/>
      <c r="E411" s="259"/>
      <c r="F411" s="93"/>
      <c r="G411" s="93" t="s">
        <v>688</v>
      </c>
      <c r="H411" s="67" t="s">
        <v>3</v>
      </c>
      <c r="I411" s="93"/>
    </row>
    <row r="412" spans="1:9" x14ac:dyDescent="0.25">
      <c r="A412" s="199" t="s">
        <v>814</v>
      </c>
      <c r="B412" s="262"/>
      <c r="C412" s="259"/>
      <c r="D412" s="260"/>
      <c r="E412" s="260"/>
      <c r="F412" s="93"/>
      <c r="G412" s="93" t="s">
        <v>689</v>
      </c>
      <c r="H412" s="67" t="s">
        <v>3</v>
      </c>
      <c r="I412" s="93"/>
    </row>
    <row r="413" spans="1:9" ht="102" x14ac:dyDescent="0.25">
      <c r="A413" s="199" t="s">
        <v>813</v>
      </c>
      <c r="B413" s="262"/>
      <c r="C413" s="259"/>
      <c r="D413" s="258" t="s">
        <v>80</v>
      </c>
      <c r="E413" s="258"/>
      <c r="F413" s="93"/>
      <c r="G413" s="93" t="s">
        <v>690</v>
      </c>
      <c r="H413" s="67" t="s">
        <v>3</v>
      </c>
      <c r="I413" s="93"/>
    </row>
    <row r="414" spans="1:9" ht="25.5" x14ac:dyDescent="0.25">
      <c r="A414" s="199" t="s">
        <v>812</v>
      </c>
      <c r="B414" s="262"/>
      <c r="C414" s="259"/>
      <c r="D414" s="259"/>
      <c r="E414" s="259"/>
      <c r="F414" s="93"/>
      <c r="G414" s="93" t="s">
        <v>691</v>
      </c>
      <c r="H414" s="67" t="s">
        <v>3</v>
      </c>
      <c r="I414" s="93"/>
    </row>
    <row r="415" spans="1:9" x14ac:dyDescent="0.25">
      <c r="A415" s="199" t="s">
        <v>811</v>
      </c>
      <c r="B415" s="262"/>
      <c r="C415" s="259"/>
      <c r="D415" s="259"/>
      <c r="E415" s="259"/>
      <c r="F415" s="93"/>
      <c r="G415" s="93" t="s">
        <v>692</v>
      </c>
      <c r="H415" s="67" t="s">
        <v>3</v>
      </c>
      <c r="I415" s="93"/>
    </row>
    <row r="416" spans="1:9" x14ac:dyDescent="0.25">
      <c r="A416" s="199" t="s">
        <v>810</v>
      </c>
      <c r="B416" s="262"/>
      <c r="C416" s="259"/>
      <c r="D416" s="259"/>
      <c r="E416" s="259"/>
      <c r="F416" s="93"/>
      <c r="G416" s="93" t="s">
        <v>693</v>
      </c>
      <c r="H416" s="67" t="s">
        <v>3</v>
      </c>
      <c r="I416" s="93"/>
    </row>
    <row r="417" spans="1:9" x14ac:dyDescent="0.25">
      <c r="A417" s="199" t="s">
        <v>809</v>
      </c>
      <c r="B417" s="262"/>
      <c r="C417" s="259"/>
      <c r="D417" s="260"/>
      <c r="E417" s="260"/>
      <c r="F417" s="93"/>
      <c r="G417" s="93" t="s">
        <v>694</v>
      </c>
      <c r="H417" s="67" t="s">
        <v>3</v>
      </c>
      <c r="I417" s="93"/>
    </row>
    <row r="418" spans="1:9" ht="76.5" x14ac:dyDescent="0.25">
      <c r="A418" s="199" t="s">
        <v>808</v>
      </c>
      <c r="B418" s="263"/>
      <c r="C418" s="259"/>
      <c r="D418" s="258" t="s">
        <v>312</v>
      </c>
      <c r="E418" s="258"/>
      <c r="F418" s="93"/>
      <c r="G418" s="93" t="s">
        <v>695</v>
      </c>
      <c r="H418" s="67" t="s">
        <v>3</v>
      </c>
      <c r="I418" s="93"/>
    </row>
    <row r="419" spans="1:9" x14ac:dyDescent="0.25">
      <c r="A419" s="199" t="s">
        <v>807</v>
      </c>
      <c r="B419" s="261"/>
      <c r="C419" s="259"/>
      <c r="D419" s="259"/>
      <c r="E419" s="259"/>
      <c r="F419" s="93"/>
      <c r="G419" s="93" t="s">
        <v>696</v>
      </c>
      <c r="H419" s="67" t="s">
        <v>3</v>
      </c>
      <c r="I419" s="93"/>
    </row>
    <row r="420" spans="1:9" x14ac:dyDescent="0.25">
      <c r="A420" s="199" t="s">
        <v>806</v>
      </c>
      <c r="B420" s="262"/>
      <c r="C420" s="259"/>
      <c r="D420" s="259"/>
      <c r="E420" s="259"/>
      <c r="F420" s="93"/>
      <c r="G420" s="93" t="s">
        <v>697</v>
      </c>
      <c r="H420" s="67" t="s">
        <v>3</v>
      </c>
      <c r="I420" s="93"/>
    </row>
    <row r="421" spans="1:9" x14ac:dyDescent="0.25">
      <c r="A421" s="199" t="s">
        <v>805</v>
      </c>
      <c r="B421" s="262"/>
      <c r="C421" s="259"/>
      <c r="D421" s="259"/>
      <c r="E421" s="259"/>
      <c r="F421" s="93"/>
      <c r="G421" s="93" t="s">
        <v>698</v>
      </c>
      <c r="H421" s="67" t="s">
        <v>3</v>
      </c>
      <c r="I421" s="93"/>
    </row>
    <row r="422" spans="1:9" x14ac:dyDescent="0.25">
      <c r="A422" s="199" t="s">
        <v>804</v>
      </c>
      <c r="B422" s="262"/>
      <c r="C422" s="259"/>
      <c r="D422" s="259"/>
      <c r="E422" s="259"/>
      <c r="F422" s="93"/>
      <c r="G422" s="93" t="s">
        <v>699</v>
      </c>
      <c r="H422" s="67" t="s">
        <v>3</v>
      </c>
      <c r="I422" s="93"/>
    </row>
    <row r="423" spans="1:9" ht="25.5" x14ac:dyDescent="0.25">
      <c r="A423" s="199" t="s">
        <v>803</v>
      </c>
      <c r="B423" s="262"/>
      <c r="C423" s="259"/>
      <c r="D423" s="259"/>
      <c r="E423" s="259"/>
      <c r="F423" s="93"/>
      <c r="G423" s="93" t="s">
        <v>700</v>
      </c>
      <c r="H423" s="67" t="s">
        <v>3</v>
      </c>
      <c r="I423" s="93"/>
    </row>
    <row r="424" spans="1:9" x14ac:dyDescent="0.25">
      <c r="A424" s="199" t="s">
        <v>802</v>
      </c>
      <c r="B424" s="262"/>
      <c r="C424" s="259"/>
      <c r="D424" s="259"/>
      <c r="E424" s="259"/>
      <c r="F424" s="93"/>
      <c r="G424" s="93" t="s">
        <v>701</v>
      </c>
      <c r="H424" s="67" t="s">
        <v>3</v>
      </c>
      <c r="I424" s="93"/>
    </row>
    <row r="425" spans="1:9" x14ac:dyDescent="0.25">
      <c r="A425" s="199" t="s">
        <v>801</v>
      </c>
      <c r="B425" s="262"/>
      <c r="C425" s="259"/>
      <c r="D425" s="259"/>
      <c r="E425" s="259"/>
      <c r="F425" s="93"/>
      <c r="G425" s="93" t="s">
        <v>702</v>
      </c>
      <c r="H425" s="67" t="s">
        <v>3</v>
      </c>
      <c r="I425" s="93"/>
    </row>
    <row r="426" spans="1:9" x14ac:dyDescent="0.25">
      <c r="A426" s="199" t="s">
        <v>800</v>
      </c>
      <c r="B426" s="263"/>
      <c r="C426" s="259"/>
      <c r="D426" s="260"/>
      <c r="E426" s="260"/>
      <c r="F426" s="93"/>
      <c r="G426" s="93" t="s">
        <v>703</v>
      </c>
      <c r="H426" s="67" t="s">
        <v>3</v>
      </c>
      <c r="I426" s="93"/>
    </row>
    <row r="427" spans="1:9" ht="63.75" x14ac:dyDescent="0.25">
      <c r="A427" s="199" t="s">
        <v>799</v>
      </c>
      <c r="B427" s="261"/>
      <c r="C427" s="260"/>
      <c r="D427" s="258" t="s">
        <v>606</v>
      </c>
      <c r="E427" s="258"/>
      <c r="F427" s="93"/>
      <c r="G427" s="93" t="s">
        <v>704</v>
      </c>
      <c r="H427" s="67" t="s">
        <v>385</v>
      </c>
      <c r="I427" s="93"/>
    </row>
    <row r="428" spans="1:9" x14ac:dyDescent="0.25">
      <c r="A428" s="199" t="s">
        <v>798</v>
      </c>
      <c r="B428" s="262"/>
      <c r="C428" s="258"/>
      <c r="D428" s="259"/>
      <c r="E428" s="259"/>
      <c r="F428" s="93"/>
      <c r="G428" s="93" t="s">
        <v>705</v>
      </c>
      <c r="H428" s="67" t="s">
        <v>385</v>
      </c>
      <c r="I428" s="93"/>
    </row>
    <row r="429" spans="1:9" x14ac:dyDescent="0.25">
      <c r="A429" s="199" t="s">
        <v>797</v>
      </c>
      <c r="B429" s="262"/>
      <c r="C429" s="259"/>
      <c r="D429" s="259"/>
      <c r="E429" s="259"/>
      <c r="F429" s="93"/>
      <c r="G429" s="93" t="s">
        <v>706</v>
      </c>
      <c r="H429" s="67" t="s">
        <v>385</v>
      </c>
      <c r="I429" s="93"/>
    </row>
    <row r="430" spans="1:9" x14ac:dyDescent="0.25">
      <c r="A430" s="199" t="s">
        <v>796</v>
      </c>
      <c r="B430" s="263"/>
      <c r="C430" s="260"/>
      <c r="D430" s="259"/>
      <c r="E430" s="259"/>
      <c r="F430" s="93"/>
      <c r="G430" s="93" t="s">
        <v>707</v>
      </c>
      <c r="H430" s="67" t="s">
        <v>385</v>
      </c>
      <c r="I430" s="93"/>
    </row>
    <row r="431" spans="1:9" x14ac:dyDescent="0.25">
      <c r="A431" s="199" t="s">
        <v>795</v>
      </c>
      <c r="B431" s="261"/>
      <c r="C431" s="258"/>
      <c r="D431" s="260"/>
      <c r="E431" s="260"/>
      <c r="F431" s="93"/>
      <c r="G431" s="93" t="s">
        <v>708</v>
      </c>
      <c r="H431" s="67" t="s">
        <v>385</v>
      </c>
      <c r="I431" s="93"/>
    </row>
    <row r="432" spans="1:9" ht="38.25" x14ac:dyDescent="0.25">
      <c r="A432" s="199" t="s">
        <v>794</v>
      </c>
      <c r="B432" s="262"/>
      <c r="C432" s="259"/>
      <c r="D432" s="258" t="s">
        <v>383</v>
      </c>
      <c r="E432" s="258"/>
      <c r="F432" s="93"/>
      <c r="G432" s="93" t="s">
        <v>709</v>
      </c>
      <c r="H432" s="67" t="s">
        <v>3</v>
      </c>
      <c r="I432" s="93"/>
    </row>
    <row r="433" spans="1:9" x14ac:dyDescent="0.25">
      <c r="A433" s="199" t="s">
        <v>793</v>
      </c>
      <c r="B433" s="262"/>
      <c r="C433" s="259"/>
      <c r="D433" s="259"/>
      <c r="E433" s="259"/>
      <c r="F433" s="93"/>
      <c r="G433" s="93" t="s">
        <v>710</v>
      </c>
      <c r="H433" s="67" t="s">
        <v>3</v>
      </c>
      <c r="I433" s="93"/>
    </row>
    <row r="434" spans="1:9" x14ac:dyDescent="0.25">
      <c r="A434" s="199" t="s">
        <v>792</v>
      </c>
      <c r="B434" s="262"/>
      <c r="C434" s="259"/>
      <c r="D434" s="259"/>
      <c r="E434" s="259"/>
      <c r="F434" s="93"/>
      <c r="G434" s="93" t="s">
        <v>711</v>
      </c>
      <c r="H434" s="67" t="s">
        <v>3</v>
      </c>
      <c r="I434" s="93"/>
    </row>
    <row r="435" spans="1:9" x14ac:dyDescent="0.25">
      <c r="A435" s="199" t="s">
        <v>791</v>
      </c>
      <c r="B435" s="263"/>
      <c r="C435" s="260"/>
      <c r="D435" s="260"/>
      <c r="E435" s="260"/>
      <c r="F435" s="93"/>
      <c r="G435" s="93" t="s">
        <v>712</v>
      </c>
      <c r="H435" s="67" t="s">
        <v>3</v>
      </c>
      <c r="I435" s="93"/>
    </row>
    <row r="436" spans="1:9" ht="51" x14ac:dyDescent="0.25">
      <c r="A436" s="199" t="s">
        <v>790</v>
      </c>
      <c r="B436" s="270" t="s">
        <v>324</v>
      </c>
      <c r="C436" s="264"/>
      <c r="D436" s="258" t="s">
        <v>713</v>
      </c>
      <c r="E436" s="258"/>
      <c r="F436" s="93"/>
      <c r="G436" s="93" t="s">
        <v>714</v>
      </c>
      <c r="H436" s="67" t="s">
        <v>3</v>
      </c>
      <c r="I436" s="93"/>
    </row>
    <row r="437" spans="1:9" x14ac:dyDescent="0.25">
      <c r="A437" s="199" t="s">
        <v>789</v>
      </c>
      <c r="B437" s="271"/>
      <c r="C437" s="265"/>
      <c r="D437" s="259"/>
      <c r="E437" s="259"/>
      <c r="F437" s="93"/>
      <c r="G437" s="93" t="s">
        <v>715</v>
      </c>
      <c r="H437" s="67" t="s">
        <v>3</v>
      </c>
      <c r="I437" s="93"/>
    </row>
    <row r="438" spans="1:9" x14ac:dyDescent="0.25">
      <c r="A438" s="199" t="s">
        <v>788</v>
      </c>
      <c r="B438" s="271"/>
      <c r="C438" s="265"/>
      <c r="D438" s="259"/>
      <c r="E438" s="259"/>
      <c r="F438" s="93"/>
      <c r="G438" s="93" t="s">
        <v>716</v>
      </c>
      <c r="H438" s="67" t="s">
        <v>3</v>
      </c>
      <c r="I438" s="93"/>
    </row>
    <row r="439" spans="1:9" x14ac:dyDescent="0.25">
      <c r="A439" s="199" t="s">
        <v>787</v>
      </c>
      <c r="B439" s="271"/>
      <c r="C439" s="265"/>
      <c r="D439" s="260"/>
      <c r="E439" s="260"/>
      <c r="F439" s="93"/>
      <c r="G439" s="93" t="s">
        <v>717</v>
      </c>
      <c r="H439" s="67" t="s">
        <v>3</v>
      </c>
      <c r="I439" s="93"/>
    </row>
    <row r="440" spans="1:9" ht="38.25" x14ac:dyDescent="0.25">
      <c r="A440" s="199" t="s">
        <v>786</v>
      </c>
      <c r="B440" s="271"/>
      <c r="C440" s="265"/>
      <c r="D440" s="258" t="s">
        <v>718</v>
      </c>
      <c r="E440" s="258"/>
      <c r="F440" s="93"/>
      <c r="G440" s="93" t="s">
        <v>719</v>
      </c>
      <c r="H440" s="67" t="s">
        <v>3</v>
      </c>
      <c r="I440" s="93"/>
    </row>
    <row r="441" spans="1:9" x14ac:dyDescent="0.25">
      <c r="A441" s="199" t="s">
        <v>785</v>
      </c>
      <c r="B441" s="271"/>
      <c r="C441" s="265"/>
      <c r="D441" s="259"/>
      <c r="E441" s="259"/>
      <c r="F441" s="93"/>
      <c r="G441" s="93" t="s">
        <v>720</v>
      </c>
      <c r="H441" s="67" t="s">
        <v>3</v>
      </c>
      <c r="I441" s="93"/>
    </row>
    <row r="442" spans="1:9" x14ac:dyDescent="0.25">
      <c r="A442" s="199" t="s">
        <v>784</v>
      </c>
      <c r="B442" s="271"/>
      <c r="C442" s="265"/>
      <c r="D442" s="259"/>
      <c r="E442" s="259"/>
      <c r="F442" s="93"/>
      <c r="G442" s="93" t="s">
        <v>721</v>
      </c>
      <c r="H442" s="67" t="s">
        <v>3</v>
      </c>
      <c r="I442" s="93"/>
    </row>
    <row r="443" spans="1:9" x14ac:dyDescent="0.25">
      <c r="A443" s="199" t="s">
        <v>783</v>
      </c>
      <c r="B443" s="271"/>
      <c r="C443" s="266"/>
      <c r="D443" s="260"/>
      <c r="E443" s="260"/>
      <c r="F443" s="93"/>
      <c r="G443" s="93" t="s">
        <v>722</v>
      </c>
      <c r="H443" s="67" t="s">
        <v>3</v>
      </c>
      <c r="I443" s="93"/>
    </row>
    <row r="444" spans="1:9" ht="89.25" x14ac:dyDescent="0.25">
      <c r="A444" s="199" t="s">
        <v>782</v>
      </c>
      <c r="B444" s="272"/>
      <c r="C444" s="264"/>
      <c r="D444" s="307" t="s">
        <v>723</v>
      </c>
      <c r="E444" s="258"/>
      <c r="F444" s="93"/>
      <c r="G444" s="93" t="s">
        <v>724</v>
      </c>
      <c r="H444" s="67" t="s">
        <v>3</v>
      </c>
      <c r="I444" s="93"/>
    </row>
    <row r="445" spans="1:9" ht="25.5" x14ac:dyDescent="0.25">
      <c r="A445" s="199" t="s">
        <v>781</v>
      </c>
      <c r="B445" s="167"/>
      <c r="C445" s="265"/>
      <c r="D445" s="308"/>
      <c r="E445" s="259"/>
      <c r="F445" s="93"/>
      <c r="G445" s="93" t="s">
        <v>725</v>
      </c>
      <c r="H445" s="67" t="s">
        <v>3</v>
      </c>
      <c r="I445" s="93"/>
    </row>
    <row r="446" spans="1:9" x14ac:dyDescent="0.25">
      <c r="A446" s="199" t="s">
        <v>780</v>
      </c>
      <c r="B446" s="167"/>
      <c r="C446" s="265"/>
      <c r="D446" s="308"/>
      <c r="E446" s="259"/>
      <c r="F446" s="93"/>
      <c r="G446" s="93" t="s">
        <v>726</v>
      </c>
      <c r="H446" s="67" t="s">
        <v>3</v>
      </c>
      <c r="I446" s="93"/>
    </row>
    <row r="447" spans="1:9" x14ac:dyDescent="0.25">
      <c r="A447" s="199" t="s">
        <v>779</v>
      </c>
      <c r="B447" s="167"/>
      <c r="C447" s="265"/>
      <c r="D447" s="308"/>
      <c r="E447" s="259"/>
      <c r="F447" s="93"/>
      <c r="G447" s="93" t="s">
        <v>727</v>
      </c>
      <c r="H447" s="67" t="s">
        <v>3</v>
      </c>
      <c r="I447" s="93"/>
    </row>
    <row r="448" spans="1:9" x14ac:dyDescent="0.25">
      <c r="A448" s="199" t="s">
        <v>778</v>
      </c>
      <c r="B448" s="167"/>
      <c r="C448" s="265"/>
      <c r="D448" s="308"/>
      <c r="E448" s="259"/>
      <c r="F448" s="93"/>
      <c r="G448" s="93" t="s">
        <v>728</v>
      </c>
      <c r="H448" s="67" t="s">
        <v>3</v>
      </c>
      <c r="I448" s="93"/>
    </row>
    <row r="449" spans="1:151" ht="76.5" x14ac:dyDescent="0.25">
      <c r="A449" s="199" t="s">
        <v>777</v>
      </c>
      <c r="B449" s="167"/>
      <c r="C449" s="266"/>
      <c r="D449" s="309"/>
      <c r="E449" s="260"/>
      <c r="F449" s="93"/>
      <c r="G449" s="93" t="s">
        <v>729</v>
      </c>
      <c r="H449" s="67" t="s">
        <v>3</v>
      </c>
      <c r="I449" s="93"/>
    </row>
    <row r="450" spans="1:151" ht="102" x14ac:dyDescent="0.2">
      <c r="A450" s="199" t="s">
        <v>776</v>
      </c>
      <c r="B450" s="64"/>
      <c r="C450" s="95"/>
      <c r="D450" s="65" t="s">
        <v>730</v>
      </c>
      <c r="E450" s="65"/>
      <c r="F450" s="93"/>
      <c r="G450" s="93" t="s">
        <v>775</v>
      </c>
      <c r="H450" s="67" t="s">
        <v>3</v>
      </c>
      <c r="I450" s="93" t="s">
        <v>774</v>
      </c>
    </row>
    <row r="451" spans="1:151" x14ac:dyDescent="0.25">
      <c r="A451" s="199" t="s">
        <v>773</v>
      </c>
      <c r="B451" s="96"/>
      <c r="C451" s="258" t="s">
        <v>772</v>
      </c>
      <c r="D451" s="258"/>
      <c r="E451" s="68" t="s">
        <v>771</v>
      </c>
      <c r="F451" s="93"/>
      <c r="G451" s="68"/>
      <c r="H451" s="67" t="s">
        <v>385</v>
      </c>
      <c r="I451" s="93"/>
      <c r="J451" s="110"/>
      <c r="K451" s="110"/>
      <c r="L451" s="110"/>
      <c r="M451" s="110"/>
      <c r="N451" s="110"/>
      <c r="O451" s="110"/>
      <c r="P451" s="110"/>
      <c r="Q451" s="110"/>
      <c r="R451" s="110"/>
      <c r="S451" s="110"/>
      <c r="T451" s="110"/>
      <c r="U451" s="110"/>
      <c r="V451" s="110"/>
      <c r="W451" s="110"/>
      <c r="X451" s="110"/>
      <c r="Y451" s="110"/>
      <c r="Z451" s="110"/>
      <c r="AA451" s="110"/>
      <c r="AB451" s="110"/>
      <c r="AC451" s="110"/>
      <c r="AD451" s="110"/>
      <c r="AE451" s="110"/>
      <c r="AF451" s="110"/>
      <c r="AG451" s="110"/>
      <c r="AH451" s="110"/>
      <c r="AI451" s="110"/>
      <c r="AJ451" s="110"/>
      <c r="AK451" s="110"/>
      <c r="AL451" s="110"/>
      <c r="AM451" s="110"/>
      <c r="AN451" s="110"/>
      <c r="AO451" s="110"/>
      <c r="AP451" s="110"/>
      <c r="AQ451" s="110"/>
      <c r="AR451" s="110"/>
      <c r="AS451" s="110"/>
      <c r="AT451" s="110"/>
      <c r="AU451" s="110"/>
      <c r="AV451" s="110"/>
      <c r="AW451" s="110"/>
      <c r="AX451" s="110"/>
      <c r="AY451" s="110"/>
      <c r="AZ451" s="110"/>
      <c r="BA451" s="110"/>
      <c r="BB451" s="110"/>
      <c r="BC451" s="110"/>
      <c r="BD451" s="110"/>
      <c r="BE451" s="110"/>
      <c r="BF451" s="110"/>
      <c r="BG451" s="110"/>
      <c r="BH451" s="110"/>
      <c r="BI451" s="110"/>
      <c r="BJ451" s="110"/>
      <c r="BK451" s="110"/>
      <c r="BL451" s="110"/>
      <c r="BM451" s="110"/>
      <c r="BN451" s="110"/>
      <c r="BO451" s="110"/>
      <c r="BP451" s="110"/>
      <c r="BQ451" s="110"/>
      <c r="BR451" s="110"/>
      <c r="BS451" s="110"/>
      <c r="BT451" s="110"/>
      <c r="BU451" s="110"/>
      <c r="BV451" s="110"/>
      <c r="BW451" s="110"/>
      <c r="BX451" s="110"/>
      <c r="BY451" s="110"/>
      <c r="BZ451" s="110"/>
      <c r="CA451" s="110"/>
      <c r="CB451" s="110"/>
      <c r="CC451" s="110"/>
      <c r="CD451" s="110"/>
      <c r="CE451" s="110"/>
      <c r="CF451" s="110"/>
      <c r="CG451" s="110"/>
      <c r="CH451" s="110"/>
      <c r="CI451" s="110"/>
      <c r="CJ451" s="110"/>
      <c r="CK451" s="110"/>
      <c r="CL451" s="110"/>
      <c r="CM451" s="110"/>
      <c r="CN451" s="110"/>
      <c r="CO451" s="110"/>
      <c r="CP451" s="110"/>
      <c r="CQ451" s="110"/>
      <c r="CR451" s="110"/>
      <c r="CS451" s="110"/>
      <c r="CT451" s="110"/>
      <c r="CU451" s="110"/>
      <c r="CV451" s="110"/>
      <c r="CW451" s="110"/>
      <c r="CX451" s="110"/>
      <c r="CY451" s="110"/>
      <c r="CZ451" s="110"/>
      <c r="DA451" s="110"/>
      <c r="DB451" s="110"/>
      <c r="DC451" s="110"/>
      <c r="DD451" s="110"/>
      <c r="DE451" s="110"/>
      <c r="DF451" s="110"/>
      <c r="DG451" s="110"/>
      <c r="DH451" s="110"/>
      <c r="DI451" s="110"/>
      <c r="DJ451" s="110"/>
      <c r="DK451" s="110"/>
      <c r="DL451" s="110"/>
      <c r="DM451" s="110"/>
      <c r="DN451" s="110"/>
      <c r="DO451" s="110"/>
      <c r="DP451" s="110"/>
      <c r="DQ451" s="110"/>
      <c r="DR451" s="110"/>
      <c r="DS451" s="110"/>
      <c r="DT451" s="110"/>
      <c r="DU451" s="110"/>
      <c r="DV451" s="110"/>
      <c r="DW451" s="110"/>
      <c r="DX451" s="110"/>
      <c r="DY451" s="110"/>
      <c r="DZ451" s="110"/>
      <c r="EA451" s="110"/>
      <c r="EB451" s="110"/>
      <c r="EC451" s="110"/>
      <c r="ED451" s="110"/>
      <c r="EE451" s="110"/>
      <c r="EF451" s="110"/>
      <c r="EG451" s="110"/>
      <c r="EH451" s="110"/>
      <c r="EI451" s="110"/>
      <c r="EJ451" s="110"/>
      <c r="EK451" s="110"/>
      <c r="EL451" s="110"/>
      <c r="EM451" s="110"/>
      <c r="EN451" s="110"/>
      <c r="EO451" s="110"/>
      <c r="EP451" s="110"/>
      <c r="EQ451" s="110"/>
      <c r="ER451" s="110"/>
      <c r="ES451" s="110"/>
      <c r="ET451" s="110"/>
      <c r="EU451" s="110"/>
    </row>
    <row r="452" spans="1:151" x14ac:dyDescent="0.25">
      <c r="A452" s="199" t="s">
        <v>770</v>
      </c>
      <c r="B452" s="96"/>
      <c r="C452" s="259"/>
      <c r="D452" s="259"/>
      <c r="E452" s="68" t="s">
        <v>769</v>
      </c>
      <c r="F452" s="68" t="s">
        <v>768</v>
      </c>
      <c r="G452" s="68"/>
      <c r="H452" s="67" t="s">
        <v>385</v>
      </c>
      <c r="I452" s="93"/>
      <c r="J452" s="110"/>
      <c r="K452" s="110"/>
      <c r="L452" s="110"/>
      <c r="M452" s="110"/>
      <c r="N452" s="110"/>
      <c r="O452" s="110"/>
      <c r="P452" s="110"/>
      <c r="Q452" s="110"/>
      <c r="R452" s="110"/>
      <c r="S452" s="110"/>
      <c r="T452" s="110"/>
      <c r="U452" s="110"/>
      <c r="V452" s="110"/>
      <c r="W452" s="110"/>
      <c r="X452" s="110"/>
      <c r="Y452" s="110"/>
      <c r="Z452" s="110"/>
      <c r="AA452" s="110"/>
      <c r="AB452" s="110"/>
      <c r="AC452" s="110"/>
      <c r="AD452" s="110"/>
      <c r="AE452" s="110"/>
      <c r="AF452" s="110"/>
      <c r="AG452" s="110"/>
      <c r="AH452" s="110"/>
      <c r="AI452" s="110"/>
      <c r="AJ452" s="110"/>
      <c r="AK452" s="110"/>
      <c r="AL452" s="110"/>
      <c r="AM452" s="110"/>
      <c r="AN452" s="110"/>
      <c r="AO452" s="110"/>
      <c r="AP452" s="110"/>
      <c r="AQ452" s="110"/>
      <c r="AR452" s="110"/>
      <c r="AS452" s="110"/>
      <c r="AT452" s="110"/>
      <c r="AU452" s="110"/>
      <c r="AV452" s="110"/>
      <c r="AW452" s="110"/>
      <c r="AX452" s="110"/>
      <c r="AY452" s="110"/>
      <c r="AZ452" s="110"/>
      <c r="BA452" s="110"/>
      <c r="BB452" s="110"/>
      <c r="BC452" s="110"/>
      <c r="BD452" s="110"/>
      <c r="BE452" s="110"/>
      <c r="BF452" s="110"/>
      <c r="BG452" s="110"/>
      <c r="BH452" s="110"/>
      <c r="BI452" s="110"/>
      <c r="BJ452" s="110"/>
      <c r="BK452" s="110"/>
      <c r="BL452" s="110"/>
      <c r="BM452" s="110"/>
      <c r="BN452" s="110"/>
      <c r="BO452" s="110"/>
      <c r="BP452" s="110"/>
      <c r="BQ452" s="110"/>
      <c r="BR452" s="110"/>
      <c r="BS452" s="110"/>
      <c r="BT452" s="110"/>
      <c r="BU452" s="110"/>
      <c r="BV452" s="110"/>
      <c r="BW452" s="110"/>
      <c r="BX452" s="110"/>
      <c r="BY452" s="110"/>
      <c r="BZ452" s="110"/>
      <c r="CA452" s="110"/>
      <c r="CB452" s="110"/>
      <c r="CC452" s="110"/>
      <c r="CD452" s="110"/>
      <c r="CE452" s="110"/>
      <c r="CF452" s="110"/>
      <c r="CG452" s="110"/>
      <c r="CH452" s="110"/>
      <c r="CI452" s="110"/>
      <c r="CJ452" s="110"/>
      <c r="CK452" s="110"/>
      <c r="CL452" s="110"/>
      <c r="CM452" s="110"/>
      <c r="CN452" s="110"/>
      <c r="CO452" s="110"/>
      <c r="CP452" s="110"/>
      <c r="CQ452" s="110"/>
      <c r="CR452" s="110"/>
      <c r="CS452" s="110"/>
      <c r="CT452" s="110"/>
      <c r="CU452" s="110"/>
      <c r="CV452" s="110"/>
      <c r="CW452" s="110"/>
      <c r="CX452" s="110"/>
      <c r="CY452" s="110"/>
      <c r="CZ452" s="110"/>
      <c r="DA452" s="110"/>
      <c r="DB452" s="110"/>
      <c r="DC452" s="110"/>
      <c r="DD452" s="110"/>
      <c r="DE452" s="110"/>
      <c r="DF452" s="110"/>
      <c r="DG452" s="110"/>
      <c r="DH452" s="110"/>
      <c r="DI452" s="110"/>
      <c r="DJ452" s="110"/>
      <c r="DK452" s="110"/>
      <c r="DL452" s="110"/>
      <c r="DM452" s="110"/>
      <c r="DN452" s="110"/>
      <c r="DO452" s="110"/>
      <c r="DP452" s="110"/>
      <c r="DQ452" s="110"/>
      <c r="DR452" s="110"/>
      <c r="DS452" s="110"/>
      <c r="DT452" s="110"/>
      <c r="DU452" s="110"/>
      <c r="DV452" s="110"/>
      <c r="DW452" s="110"/>
      <c r="DX452" s="110"/>
      <c r="DY452" s="110"/>
      <c r="DZ452" s="110"/>
      <c r="EA452" s="110"/>
      <c r="EB452" s="110"/>
      <c r="EC452" s="110"/>
      <c r="ED452" s="110"/>
      <c r="EE452" s="110"/>
      <c r="EF452" s="110"/>
      <c r="EG452" s="110"/>
      <c r="EH452" s="110"/>
      <c r="EI452" s="110"/>
      <c r="EJ452" s="110"/>
      <c r="EK452" s="110"/>
      <c r="EL452" s="110"/>
      <c r="EM452" s="110"/>
      <c r="EN452" s="110"/>
      <c r="EO452" s="110"/>
      <c r="EP452" s="110"/>
      <c r="EQ452" s="110"/>
      <c r="ER452" s="110"/>
      <c r="ES452" s="110"/>
      <c r="ET452" s="110"/>
      <c r="EU452" s="110"/>
    </row>
    <row r="453" spans="1:151" ht="63.75" x14ac:dyDescent="0.25">
      <c r="A453" s="199" t="s">
        <v>767</v>
      </c>
      <c r="B453" s="96"/>
      <c r="C453" s="259"/>
      <c r="D453" s="259"/>
      <c r="E453" s="68" t="s">
        <v>766</v>
      </c>
      <c r="F453" s="68" t="s">
        <v>765</v>
      </c>
      <c r="G453" s="68"/>
      <c r="H453" s="67" t="s">
        <v>385</v>
      </c>
      <c r="I453" s="93"/>
      <c r="J453" s="110"/>
      <c r="K453" s="110"/>
      <c r="L453" s="110"/>
      <c r="M453" s="110"/>
      <c r="N453" s="110"/>
      <c r="O453" s="110"/>
      <c r="P453" s="110"/>
      <c r="Q453" s="110"/>
      <c r="R453" s="110"/>
      <c r="S453" s="110"/>
      <c r="T453" s="110"/>
      <c r="U453" s="110"/>
      <c r="V453" s="110"/>
      <c r="W453" s="110"/>
      <c r="X453" s="110"/>
      <c r="Y453" s="110"/>
      <c r="Z453" s="110"/>
      <c r="AA453" s="110"/>
      <c r="AB453" s="110"/>
      <c r="AC453" s="110"/>
      <c r="AD453" s="110"/>
      <c r="AE453" s="110"/>
      <c r="AF453" s="110"/>
      <c r="AG453" s="110"/>
      <c r="AH453" s="110"/>
      <c r="AI453" s="110"/>
      <c r="AJ453" s="110"/>
      <c r="AK453" s="110"/>
      <c r="AL453" s="110"/>
      <c r="AM453" s="110"/>
      <c r="AN453" s="110"/>
      <c r="AO453" s="110"/>
      <c r="AP453" s="110"/>
      <c r="AQ453" s="110"/>
      <c r="AR453" s="110"/>
      <c r="AS453" s="110"/>
      <c r="AT453" s="110"/>
      <c r="AU453" s="110"/>
      <c r="AV453" s="110"/>
      <c r="AW453" s="110"/>
      <c r="AX453" s="110"/>
      <c r="AY453" s="110"/>
      <c r="AZ453" s="110"/>
      <c r="BA453" s="110"/>
      <c r="BB453" s="110"/>
      <c r="BC453" s="110"/>
      <c r="BD453" s="110"/>
      <c r="BE453" s="110"/>
      <c r="BF453" s="110"/>
      <c r="BG453" s="110"/>
      <c r="BH453" s="110"/>
      <c r="BI453" s="110"/>
      <c r="BJ453" s="110"/>
      <c r="BK453" s="110"/>
      <c r="BL453" s="110"/>
      <c r="BM453" s="110"/>
      <c r="BN453" s="110"/>
      <c r="BO453" s="110"/>
      <c r="BP453" s="110"/>
      <c r="BQ453" s="110"/>
      <c r="BR453" s="110"/>
      <c r="BS453" s="110"/>
      <c r="BT453" s="110"/>
      <c r="BU453" s="110"/>
      <c r="BV453" s="110"/>
      <c r="BW453" s="110"/>
      <c r="BX453" s="110"/>
      <c r="BY453" s="110"/>
      <c r="BZ453" s="110"/>
      <c r="CA453" s="110"/>
      <c r="CB453" s="110"/>
      <c r="CC453" s="110"/>
      <c r="CD453" s="110"/>
      <c r="CE453" s="110"/>
      <c r="CF453" s="110"/>
      <c r="CG453" s="110"/>
      <c r="CH453" s="110"/>
      <c r="CI453" s="110"/>
      <c r="CJ453" s="110"/>
      <c r="CK453" s="110"/>
      <c r="CL453" s="110"/>
      <c r="CM453" s="110"/>
      <c r="CN453" s="110"/>
      <c r="CO453" s="110"/>
      <c r="CP453" s="110"/>
      <c r="CQ453" s="110"/>
      <c r="CR453" s="110"/>
      <c r="CS453" s="110"/>
      <c r="CT453" s="110"/>
      <c r="CU453" s="110"/>
      <c r="CV453" s="110"/>
      <c r="CW453" s="110"/>
      <c r="CX453" s="110"/>
      <c r="CY453" s="110"/>
      <c r="CZ453" s="110"/>
      <c r="DA453" s="110"/>
      <c r="DB453" s="110"/>
      <c r="DC453" s="110"/>
      <c r="DD453" s="110"/>
      <c r="DE453" s="110"/>
      <c r="DF453" s="110"/>
      <c r="DG453" s="110"/>
      <c r="DH453" s="110"/>
      <c r="DI453" s="110"/>
      <c r="DJ453" s="110"/>
      <c r="DK453" s="110"/>
      <c r="DL453" s="110"/>
      <c r="DM453" s="110"/>
      <c r="DN453" s="110"/>
      <c r="DO453" s="110"/>
      <c r="DP453" s="110"/>
      <c r="DQ453" s="110"/>
      <c r="DR453" s="110"/>
      <c r="DS453" s="110"/>
      <c r="DT453" s="110"/>
      <c r="DU453" s="110"/>
      <c r="DV453" s="110"/>
      <c r="DW453" s="110"/>
      <c r="DX453" s="110"/>
      <c r="DY453" s="110"/>
      <c r="DZ453" s="110"/>
      <c r="EA453" s="110"/>
      <c r="EB453" s="110"/>
      <c r="EC453" s="110"/>
      <c r="ED453" s="110"/>
      <c r="EE453" s="110"/>
      <c r="EF453" s="110"/>
      <c r="EG453" s="110"/>
      <c r="EH453" s="110"/>
      <c r="EI453" s="110"/>
      <c r="EJ453" s="110"/>
      <c r="EK453" s="110"/>
      <c r="EL453" s="110"/>
      <c r="EM453" s="110"/>
      <c r="EN453" s="110"/>
      <c r="EO453" s="110"/>
      <c r="EP453" s="110"/>
      <c r="EQ453" s="110"/>
      <c r="ER453" s="110"/>
      <c r="ES453" s="110"/>
      <c r="ET453" s="110"/>
      <c r="EU453" s="110"/>
    </row>
    <row r="454" spans="1:151" ht="63.75" x14ac:dyDescent="0.25">
      <c r="A454" s="199" t="s">
        <v>764</v>
      </c>
      <c r="B454" s="96"/>
      <c r="C454" s="259"/>
      <c r="D454" s="259"/>
      <c r="E454" s="68" t="s">
        <v>763</v>
      </c>
      <c r="F454" s="68" t="s">
        <v>762</v>
      </c>
      <c r="G454" s="68"/>
      <c r="H454" s="67" t="s">
        <v>385</v>
      </c>
      <c r="I454" s="93"/>
      <c r="J454" s="110"/>
      <c r="K454" s="110"/>
      <c r="L454" s="110"/>
      <c r="M454" s="110"/>
      <c r="N454" s="110"/>
      <c r="O454" s="110"/>
      <c r="P454" s="110"/>
      <c r="Q454" s="110"/>
      <c r="R454" s="110"/>
      <c r="S454" s="110"/>
      <c r="T454" s="110"/>
      <c r="U454" s="110"/>
      <c r="V454" s="110"/>
      <c r="W454" s="110"/>
      <c r="X454" s="110"/>
      <c r="Y454" s="110"/>
      <c r="Z454" s="110"/>
      <c r="AA454" s="110"/>
      <c r="AB454" s="110"/>
      <c r="AC454" s="110"/>
      <c r="AD454" s="110"/>
      <c r="AE454" s="110"/>
      <c r="AF454" s="110"/>
      <c r="AG454" s="110"/>
      <c r="AH454" s="110"/>
      <c r="AI454" s="110"/>
      <c r="AJ454" s="110"/>
      <c r="AK454" s="110"/>
      <c r="AL454" s="110"/>
      <c r="AM454" s="110"/>
      <c r="AN454" s="110"/>
      <c r="AO454" s="110"/>
      <c r="AP454" s="110"/>
      <c r="AQ454" s="110"/>
      <c r="AR454" s="110"/>
      <c r="AS454" s="110"/>
      <c r="AT454" s="110"/>
      <c r="AU454" s="110"/>
      <c r="AV454" s="110"/>
      <c r="AW454" s="110"/>
      <c r="AX454" s="110"/>
      <c r="AY454" s="110"/>
      <c r="AZ454" s="110"/>
      <c r="BA454" s="110"/>
      <c r="BB454" s="110"/>
      <c r="BC454" s="110"/>
      <c r="BD454" s="110"/>
      <c r="BE454" s="110"/>
      <c r="BF454" s="110"/>
      <c r="BG454" s="110"/>
      <c r="BH454" s="110"/>
      <c r="BI454" s="110"/>
      <c r="BJ454" s="110"/>
      <c r="BK454" s="110"/>
      <c r="BL454" s="110"/>
      <c r="BM454" s="110"/>
      <c r="BN454" s="110"/>
      <c r="BO454" s="110"/>
      <c r="BP454" s="110"/>
      <c r="BQ454" s="110"/>
      <c r="BR454" s="110"/>
      <c r="BS454" s="110"/>
      <c r="BT454" s="110"/>
      <c r="BU454" s="110"/>
      <c r="BV454" s="110"/>
      <c r="BW454" s="110"/>
      <c r="BX454" s="110"/>
      <c r="BY454" s="110"/>
      <c r="BZ454" s="110"/>
      <c r="CA454" s="110"/>
      <c r="CB454" s="110"/>
      <c r="CC454" s="110"/>
      <c r="CD454" s="110"/>
      <c r="CE454" s="110"/>
      <c r="CF454" s="110"/>
      <c r="CG454" s="110"/>
      <c r="CH454" s="110"/>
      <c r="CI454" s="110"/>
      <c r="CJ454" s="110"/>
      <c r="CK454" s="110"/>
      <c r="CL454" s="110"/>
      <c r="CM454" s="110"/>
      <c r="CN454" s="110"/>
      <c r="CO454" s="110"/>
      <c r="CP454" s="110"/>
      <c r="CQ454" s="110"/>
      <c r="CR454" s="110"/>
      <c r="CS454" s="110"/>
      <c r="CT454" s="110"/>
      <c r="CU454" s="110"/>
      <c r="CV454" s="110"/>
      <c r="CW454" s="110"/>
      <c r="CX454" s="110"/>
      <c r="CY454" s="110"/>
      <c r="CZ454" s="110"/>
      <c r="DA454" s="110"/>
      <c r="DB454" s="110"/>
      <c r="DC454" s="110"/>
      <c r="DD454" s="110"/>
      <c r="DE454" s="110"/>
      <c r="DF454" s="110"/>
      <c r="DG454" s="110"/>
      <c r="DH454" s="110"/>
      <c r="DI454" s="110"/>
      <c r="DJ454" s="110"/>
      <c r="DK454" s="110"/>
      <c r="DL454" s="110"/>
      <c r="DM454" s="110"/>
      <c r="DN454" s="110"/>
      <c r="DO454" s="110"/>
      <c r="DP454" s="110"/>
      <c r="DQ454" s="110"/>
      <c r="DR454" s="110"/>
      <c r="DS454" s="110"/>
      <c r="DT454" s="110"/>
      <c r="DU454" s="110"/>
      <c r="DV454" s="110"/>
      <c r="DW454" s="110"/>
      <c r="DX454" s="110"/>
      <c r="DY454" s="110"/>
      <c r="DZ454" s="110"/>
      <c r="EA454" s="110"/>
      <c r="EB454" s="110"/>
      <c r="EC454" s="110"/>
      <c r="ED454" s="110"/>
      <c r="EE454" s="110"/>
      <c r="EF454" s="110"/>
      <c r="EG454" s="110"/>
      <c r="EH454" s="110"/>
      <c r="EI454" s="110"/>
      <c r="EJ454" s="110"/>
      <c r="EK454" s="110"/>
      <c r="EL454" s="110"/>
      <c r="EM454" s="110"/>
      <c r="EN454" s="110"/>
      <c r="EO454" s="110"/>
      <c r="EP454" s="110"/>
      <c r="EQ454" s="110"/>
      <c r="ER454" s="110"/>
      <c r="ES454" s="110"/>
      <c r="ET454" s="110"/>
      <c r="EU454" s="110"/>
    </row>
    <row r="455" spans="1:151" x14ac:dyDescent="0.25">
      <c r="A455" s="199" t="s">
        <v>761</v>
      </c>
      <c r="B455" s="96"/>
      <c r="C455" s="259"/>
      <c r="D455" s="259"/>
      <c r="E455" s="68" t="s">
        <v>760</v>
      </c>
      <c r="F455" s="68" t="s">
        <v>757</v>
      </c>
      <c r="G455" s="68"/>
      <c r="H455" s="67" t="s">
        <v>385</v>
      </c>
      <c r="I455" s="93"/>
      <c r="J455" s="110"/>
      <c r="K455" s="110"/>
      <c r="L455" s="110"/>
      <c r="M455" s="110"/>
      <c r="N455" s="110"/>
      <c r="O455" s="110"/>
      <c r="P455" s="110"/>
      <c r="Q455" s="110"/>
      <c r="R455" s="110"/>
      <c r="S455" s="110"/>
      <c r="T455" s="110"/>
      <c r="U455" s="110"/>
      <c r="V455" s="110"/>
      <c r="W455" s="110"/>
      <c r="X455" s="110"/>
      <c r="Y455" s="110"/>
      <c r="Z455" s="110"/>
      <c r="AA455" s="110"/>
      <c r="AB455" s="110"/>
      <c r="AC455" s="110"/>
      <c r="AD455" s="110"/>
      <c r="AE455" s="110"/>
      <c r="AF455" s="110"/>
      <c r="AG455" s="110"/>
      <c r="AH455" s="110"/>
      <c r="AI455" s="110"/>
      <c r="AJ455" s="110"/>
      <c r="AK455" s="110"/>
      <c r="AL455" s="110"/>
      <c r="AM455" s="110"/>
      <c r="AN455" s="110"/>
      <c r="AO455" s="110"/>
      <c r="AP455" s="110"/>
      <c r="AQ455" s="110"/>
      <c r="AR455" s="110"/>
      <c r="AS455" s="110"/>
      <c r="AT455" s="110"/>
      <c r="AU455" s="110"/>
      <c r="AV455" s="110"/>
      <c r="AW455" s="110"/>
      <c r="AX455" s="110"/>
      <c r="AY455" s="110"/>
      <c r="AZ455" s="110"/>
      <c r="BA455" s="110"/>
      <c r="BB455" s="110"/>
      <c r="BC455" s="110"/>
      <c r="BD455" s="110"/>
      <c r="BE455" s="110"/>
      <c r="BF455" s="110"/>
      <c r="BG455" s="110"/>
      <c r="BH455" s="110"/>
      <c r="BI455" s="110"/>
      <c r="BJ455" s="110"/>
      <c r="BK455" s="110"/>
      <c r="BL455" s="110"/>
      <c r="BM455" s="110"/>
      <c r="BN455" s="110"/>
      <c r="BO455" s="110"/>
      <c r="BP455" s="110"/>
      <c r="BQ455" s="110"/>
      <c r="BR455" s="110"/>
      <c r="BS455" s="110"/>
      <c r="BT455" s="110"/>
      <c r="BU455" s="110"/>
      <c r="BV455" s="110"/>
      <c r="BW455" s="110"/>
      <c r="BX455" s="110"/>
      <c r="BY455" s="110"/>
      <c r="BZ455" s="110"/>
      <c r="CA455" s="110"/>
      <c r="CB455" s="110"/>
      <c r="CC455" s="110"/>
      <c r="CD455" s="110"/>
      <c r="CE455" s="110"/>
      <c r="CF455" s="110"/>
      <c r="CG455" s="110"/>
      <c r="CH455" s="110"/>
      <c r="CI455" s="110"/>
      <c r="CJ455" s="110"/>
      <c r="CK455" s="110"/>
      <c r="CL455" s="110"/>
      <c r="CM455" s="110"/>
      <c r="CN455" s="110"/>
      <c r="CO455" s="110"/>
      <c r="CP455" s="110"/>
      <c r="CQ455" s="110"/>
      <c r="CR455" s="110"/>
      <c r="CS455" s="110"/>
      <c r="CT455" s="110"/>
      <c r="CU455" s="110"/>
      <c r="CV455" s="110"/>
      <c r="CW455" s="110"/>
      <c r="CX455" s="110"/>
      <c r="CY455" s="110"/>
      <c r="CZ455" s="110"/>
      <c r="DA455" s="110"/>
      <c r="DB455" s="110"/>
      <c r="DC455" s="110"/>
      <c r="DD455" s="110"/>
      <c r="DE455" s="110"/>
      <c r="DF455" s="110"/>
      <c r="DG455" s="110"/>
      <c r="DH455" s="110"/>
      <c r="DI455" s="110"/>
      <c r="DJ455" s="110"/>
      <c r="DK455" s="110"/>
      <c r="DL455" s="110"/>
      <c r="DM455" s="110"/>
      <c r="DN455" s="110"/>
      <c r="DO455" s="110"/>
      <c r="DP455" s="110"/>
      <c r="DQ455" s="110"/>
      <c r="DR455" s="110"/>
      <c r="DS455" s="110"/>
      <c r="DT455" s="110"/>
      <c r="DU455" s="110"/>
      <c r="DV455" s="110"/>
      <c r="DW455" s="110"/>
      <c r="DX455" s="110"/>
      <c r="DY455" s="110"/>
      <c r="DZ455" s="110"/>
      <c r="EA455" s="110"/>
      <c r="EB455" s="110"/>
      <c r="EC455" s="110"/>
      <c r="ED455" s="110"/>
      <c r="EE455" s="110"/>
      <c r="EF455" s="110"/>
      <c r="EG455" s="110"/>
      <c r="EH455" s="110"/>
      <c r="EI455" s="110"/>
      <c r="EJ455" s="110"/>
      <c r="EK455" s="110"/>
      <c r="EL455" s="110"/>
      <c r="EM455" s="110"/>
      <c r="EN455" s="110"/>
      <c r="EO455" s="110"/>
      <c r="EP455" s="110"/>
      <c r="EQ455" s="110"/>
      <c r="ER455" s="110"/>
      <c r="ES455" s="110"/>
      <c r="ET455" s="110"/>
      <c r="EU455" s="110"/>
    </row>
    <row r="456" spans="1:151" ht="114.75" x14ac:dyDescent="0.25">
      <c r="A456" s="199" t="s">
        <v>759</v>
      </c>
      <c r="B456" s="96"/>
      <c r="C456" s="259"/>
      <c r="D456" s="259"/>
      <c r="E456" s="68" t="s">
        <v>758</v>
      </c>
      <c r="F456" s="68" t="s">
        <v>757</v>
      </c>
      <c r="G456" s="68"/>
      <c r="H456" s="67" t="s">
        <v>385</v>
      </c>
      <c r="I456" s="93"/>
      <c r="J456" s="110"/>
      <c r="K456" s="110"/>
      <c r="L456" s="110"/>
      <c r="M456" s="110"/>
      <c r="N456" s="110"/>
      <c r="O456" s="110"/>
      <c r="P456" s="110"/>
      <c r="Q456" s="110"/>
      <c r="R456" s="110"/>
      <c r="S456" s="110"/>
      <c r="T456" s="110"/>
      <c r="U456" s="110"/>
      <c r="V456" s="110"/>
      <c r="W456" s="110"/>
      <c r="X456" s="110"/>
      <c r="Y456" s="110"/>
      <c r="Z456" s="110"/>
      <c r="AA456" s="110"/>
      <c r="AB456" s="110"/>
      <c r="AC456" s="110"/>
      <c r="AD456" s="110"/>
      <c r="AE456" s="110"/>
      <c r="AF456" s="110"/>
      <c r="AG456" s="110"/>
      <c r="AH456" s="110"/>
      <c r="AI456" s="110"/>
      <c r="AJ456" s="110"/>
      <c r="AK456" s="110"/>
      <c r="AL456" s="110"/>
      <c r="AM456" s="110"/>
      <c r="AN456" s="110"/>
      <c r="AO456" s="110"/>
      <c r="AP456" s="110"/>
      <c r="AQ456" s="110"/>
      <c r="AR456" s="110"/>
      <c r="AS456" s="110"/>
      <c r="AT456" s="110"/>
      <c r="AU456" s="110"/>
      <c r="AV456" s="110"/>
      <c r="AW456" s="110"/>
      <c r="AX456" s="110"/>
      <c r="AY456" s="110"/>
      <c r="AZ456" s="110"/>
      <c r="BA456" s="110"/>
      <c r="BB456" s="110"/>
      <c r="BC456" s="110"/>
      <c r="BD456" s="110"/>
      <c r="BE456" s="110"/>
      <c r="BF456" s="110"/>
      <c r="BG456" s="110"/>
      <c r="BH456" s="110"/>
      <c r="BI456" s="110"/>
      <c r="BJ456" s="110"/>
      <c r="BK456" s="110"/>
      <c r="BL456" s="110"/>
      <c r="BM456" s="110"/>
      <c r="BN456" s="110"/>
      <c r="BO456" s="110"/>
      <c r="BP456" s="110"/>
      <c r="BQ456" s="110"/>
      <c r="BR456" s="110"/>
      <c r="BS456" s="110"/>
      <c r="BT456" s="110"/>
      <c r="BU456" s="110"/>
      <c r="BV456" s="110"/>
      <c r="BW456" s="110"/>
      <c r="BX456" s="110"/>
      <c r="BY456" s="110"/>
      <c r="BZ456" s="110"/>
      <c r="CA456" s="110"/>
      <c r="CB456" s="110"/>
      <c r="CC456" s="110"/>
      <c r="CD456" s="110"/>
      <c r="CE456" s="110"/>
      <c r="CF456" s="110"/>
      <c r="CG456" s="110"/>
      <c r="CH456" s="110"/>
      <c r="CI456" s="110"/>
      <c r="CJ456" s="110"/>
      <c r="CK456" s="110"/>
      <c r="CL456" s="110"/>
      <c r="CM456" s="110"/>
      <c r="CN456" s="110"/>
      <c r="CO456" s="110"/>
      <c r="CP456" s="110"/>
      <c r="CQ456" s="110"/>
      <c r="CR456" s="110"/>
      <c r="CS456" s="110"/>
      <c r="CT456" s="110"/>
      <c r="CU456" s="110"/>
      <c r="CV456" s="110"/>
      <c r="CW456" s="110"/>
      <c r="CX456" s="110"/>
      <c r="CY456" s="110"/>
      <c r="CZ456" s="110"/>
      <c r="DA456" s="110"/>
      <c r="DB456" s="110"/>
      <c r="DC456" s="110"/>
      <c r="DD456" s="110"/>
      <c r="DE456" s="110"/>
      <c r="DF456" s="110"/>
      <c r="DG456" s="110"/>
      <c r="DH456" s="110"/>
      <c r="DI456" s="110"/>
      <c r="DJ456" s="110"/>
      <c r="DK456" s="110"/>
      <c r="DL456" s="110"/>
      <c r="DM456" s="110"/>
      <c r="DN456" s="110"/>
      <c r="DO456" s="110"/>
      <c r="DP456" s="110"/>
      <c r="DQ456" s="110"/>
      <c r="DR456" s="110"/>
      <c r="DS456" s="110"/>
      <c r="DT456" s="110"/>
      <c r="DU456" s="110"/>
      <c r="DV456" s="110"/>
      <c r="DW456" s="110"/>
      <c r="DX456" s="110"/>
      <c r="DY456" s="110"/>
      <c r="DZ456" s="110"/>
      <c r="EA456" s="110"/>
      <c r="EB456" s="110"/>
      <c r="EC456" s="110"/>
      <c r="ED456" s="110"/>
      <c r="EE456" s="110"/>
      <c r="EF456" s="110"/>
      <c r="EG456" s="110"/>
      <c r="EH456" s="110"/>
      <c r="EI456" s="110"/>
      <c r="EJ456" s="110"/>
      <c r="EK456" s="110"/>
      <c r="EL456" s="110"/>
      <c r="EM456" s="110"/>
      <c r="EN456" s="110"/>
      <c r="EO456" s="110"/>
      <c r="EP456" s="110"/>
      <c r="EQ456" s="110"/>
      <c r="ER456" s="110"/>
      <c r="ES456" s="110"/>
      <c r="ET456" s="110"/>
      <c r="EU456" s="110"/>
    </row>
    <row r="457" spans="1:151" x14ac:dyDescent="0.25">
      <c r="A457" s="199" t="s">
        <v>756</v>
      </c>
      <c r="B457" s="93"/>
      <c r="C457" s="260"/>
      <c r="D457" s="260"/>
      <c r="E457" s="68"/>
      <c r="F457" s="68" t="s">
        <v>755</v>
      </c>
      <c r="G457" s="68"/>
      <c r="H457" s="67" t="s">
        <v>385</v>
      </c>
      <c r="I457" s="93"/>
      <c r="J457" s="110"/>
      <c r="K457" s="110"/>
      <c r="L457" s="110"/>
      <c r="M457" s="110"/>
      <c r="N457" s="110"/>
      <c r="O457" s="110"/>
      <c r="P457" s="110"/>
      <c r="Q457" s="110"/>
      <c r="R457" s="110"/>
      <c r="S457" s="110"/>
      <c r="T457" s="110"/>
      <c r="U457" s="110"/>
      <c r="V457" s="110"/>
      <c r="W457" s="110"/>
      <c r="X457" s="110"/>
      <c r="Y457" s="110"/>
      <c r="Z457" s="110"/>
      <c r="AA457" s="110"/>
      <c r="AB457" s="110"/>
      <c r="AC457" s="110"/>
      <c r="AD457" s="110"/>
      <c r="AE457" s="110"/>
      <c r="AF457" s="110"/>
      <c r="AG457" s="110"/>
      <c r="AH457" s="110"/>
      <c r="AI457" s="110"/>
      <c r="AJ457" s="110"/>
      <c r="AK457" s="110"/>
      <c r="AL457" s="110"/>
      <c r="AM457" s="110"/>
      <c r="AN457" s="110"/>
      <c r="AO457" s="110"/>
      <c r="AP457" s="110"/>
      <c r="AQ457" s="110"/>
      <c r="AR457" s="110"/>
      <c r="AS457" s="110"/>
      <c r="AT457" s="110"/>
      <c r="AU457" s="110"/>
      <c r="AV457" s="110"/>
      <c r="AW457" s="110"/>
      <c r="AX457" s="110"/>
      <c r="AY457" s="110"/>
      <c r="AZ457" s="110"/>
      <c r="BA457" s="110"/>
      <c r="BB457" s="110"/>
      <c r="BC457" s="110"/>
      <c r="BD457" s="110"/>
      <c r="BE457" s="110"/>
      <c r="BF457" s="110"/>
      <c r="BG457" s="110"/>
      <c r="BH457" s="110"/>
      <c r="BI457" s="110"/>
      <c r="BJ457" s="110"/>
      <c r="BK457" s="110"/>
      <c r="BL457" s="110"/>
      <c r="BM457" s="110"/>
      <c r="BN457" s="110"/>
      <c r="BO457" s="110"/>
      <c r="BP457" s="110"/>
      <c r="BQ457" s="110"/>
      <c r="BR457" s="110"/>
      <c r="BS457" s="110"/>
      <c r="BT457" s="110"/>
      <c r="BU457" s="110"/>
      <c r="BV457" s="110"/>
      <c r="BW457" s="110"/>
      <c r="BX457" s="110"/>
      <c r="BY457" s="110"/>
      <c r="BZ457" s="110"/>
      <c r="CA457" s="110"/>
      <c r="CB457" s="110"/>
      <c r="CC457" s="110"/>
      <c r="CD457" s="110"/>
      <c r="CE457" s="110"/>
      <c r="CF457" s="110"/>
      <c r="CG457" s="110"/>
      <c r="CH457" s="110"/>
      <c r="CI457" s="110"/>
      <c r="CJ457" s="110"/>
      <c r="CK457" s="110"/>
      <c r="CL457" s="110"/>
      <c r="CM457" s="110"/>
      <c r="CN457" s="110"/>
      <c r="CO457" s="110"/>
      <c r="CP457" s="110"/>
      <c r="CQ457" s="110"/>
      <c r="CR457" s="110"/>
      <c r="CS457" s="110"/>
      <c r="CT457" s="110"/>
      <c r="CU457" s="110"/>
      <c r="CV457" s="110"/>
      <c r="CW457" s="110"/>
      <c r="CX457" s="110"/>
      <c r="CY457" s="110"/>
      <c r="CZ457" s="110"/>
      <c r="DA457" s="110"/>
      <c r="DB457" s="110"/>
      <c r="DC457" s="110"/>
      <c r="DD457" s="110"/>
      <c r="DE457" s="110"/>
      <c r="DF457" s="110"/>
      <c r="DG457" s="110"/>
      <c r="DH457" s="110"/>
      <c r="DI457" s="110"/>
      <c r="DJ457" s="110"/>
      <c r="DK457" s="110"/>
      <c r="DL457" s="110"/>
      <c r="DM457" s="110"/>
      <c r="DN457" s="110"/>
      <c r="DO457" s="110"/>
      <c r="DP457" s="110"/>
      <c r="DQ457" s="110"/>
      <c r="DR457" s="110"/>
      <c r="DS457" s="110"/>
      <c r="DT457" s="110"/>
      <c r="DU457" s="110"/>
      <c r="DV457" s="110"/>
      <c r="DW457" s="110"/>
      <c r="DX457" s="110"/>
      <c r="DY457" s="110"/>
      <c r="DZ457" s="110"/>
      <c r="EA457" s="110"/>
      <c r="EB457" s="110"/>
      <c r="EC457" s="110"/>
      <c r="ED457" s="110"/>
      <c r="EE457" s="110"/>
      <c r="EF457" s="110"/>
      <c r="EG457" s="110"/>
      <c r="EH457" s="110"/>
      <c r="EI457" s="110"/>
      <c r="EJ457" s="110"/>
      <c r="EK457" s="110"/>
      <c r="EL457" s="110"/>
      <c r="EM457" s="110"/>
      <c r="EN457" s="110"/>
      <c r="EO457" s="110"/>
      <c r="EP457" s="110"/>
      <c r="EQ457" s="110"/>
      <c r="ER457" s="110"/>
      <c r="ES457" s="110"/>
      <c r="ET457" s="110"/>
      <c r="EU457" s="110"/>
    </row>
  </sheetData>
  <mergeCells count="149">
    <mergeCell ref="E386:E388"/>
    <mergeCell ref="D387:D388"/>
    <mergeCell ref="D390:D396"/>
    <mergeCell ref="E390:E396"/>
    <mergeCell ref="D349:D360"/>
    <mergeCell ref="E349:E360"/>
    <mergeCell ref="D361:D373"/>
    <mergeCell ref="D374:D377"/>
    <mergeCell ref="C451:C457"/>
    <mergeCell ref="D451:D457"/>
    <mergeCell ref="D444:D449"/>
    <mergeCell ref="E444:E449"/>
    <mergeCell ref="C444:C449"/>
    <mergeCell ref="D440:D443"/>
    <mergeCell ref="E440:E443"/>
    <mergeCell ref="E436:E439"/>
    <mergeCell ref="D436:D439"/>
    <mergeCell ref="E403:E406"/>
    <mergeCell ref="D379:D386"/>
    <mergeCell ref="C403:C406"/>
    <mergeCell ref="A1:K1"/>
    <mergeCell ref="E258:E263"/>
    <mergeCell ref="E379:E385"/>
    <mergeCell ref="B379:B385"/>
    <mergeCell ref="C342:C348"/>
    <mergeCell ref="E400:E401"/>
    <mergeCell ref="D400:D401"/>
    <mergeCell ref="E333:E341"/>
    <mergeCell ref="B363:B373"/>
    <mergeCell ref="C269:C341"/>
    <mergeCell ref="B5:B10"/>
    <mergeCell ref="D5:D10"/>
    <mergeCell ref="B11:B17"/>
    <mergeCell ref="D11:D16"/>
    <mergeCell ref="A19:I19"/>
    <mergeCell ref="E361:E373"/>
    <mergeCell ref="E293:E302"/>
    <mergeCell ref="D303:D309"/>
    <mergeCell ref="E303:E309"/>
    <mergeCell ref="E242:E248"/>
    <mergeCell ref="E374:E377"/>
    <mergeCell ref="C361:C362"/>
    <mergeCell ref="D320:D325"/>
    <mergeCell ref="E320:E325"/>
    <mergeCell ref="B403:B406"/>
    <mergeCell ref="B387:B397"/>
    <mergeCell ref="D403:D406"/>
    <mergeCell ref="B361:B362"/>
    <mergeCell ref="C400:C402"/>
    <mergeCell ref="B374:B377"/>
    <mergeCell ref="C374:C377"/>
    <mergeCell ref="C363:C373"/>
    <mergeCell ref="E141:E148"/>
    <mergeCell ref="E150:E157"/>
    <mergeCell ref="E163:E168"/>
    <mergeCell ref="D170:D176"/>
    <mergeCell ref="E170:E176"/>
    <mergeCell ref="E178:E183"/>
    <mergeCell ref="D163:D168"/>
    <mergeCell ref="E202:E204"/>
    <mergeCell ref="E205:E209"/>
    <mergeCell ref="E159:E161"/>
    <mergeCell ref="E342:E348"/>
    <mergeCell ref="D211:D215"/>
    <mergeCell ref="E211:E215"/>
    <mergeCell ref="E223:E232"/>
    <mergeCell ref="D217:D221"/>
    <mergeCell ref="E217:E221"/>
    <mergeCell ref="B349:B360"/>
    <mergeCell ref="D200:D204"/>
    <mergeCell ref="D234:D248"/>
    <mergeCell ref="D258:D263"/>
    <mergeCell ref="D333:D341"/>
    <mergeCell ref="C32:C194"/>
    <mergeCell ref="C349:C360"/>
    <mergeCell ref="C258:C263"/>
    <mergeCell ref="C264:C268"/>
    <mergeCell ref="B334:B341"/>
    <mergeCell ref="B342:B348"/>
    <mergeCell ref="C200:C257"/>
    <mergeCell ref="D252:D257"/>
    <mergeCell ref="D69:D76"/>
    <mergeCell ref="D178:D190"/>
    <mergeCell ref="D192:D193"/>
    <mergeCell ref="D205:D209"/>
    <mergeCell ref="D250:D251"/>
    <mergeCell ref="D326:D332"/>
    <mergeCell ref="D310:D319"/>
    <mergeCell ref="D269:D275"/>
    <mergeCell ref="D276:D284"/>
    <mergeCell ref="D285:D292"/>
    <mergeCell ref="D293:D302"/>
    <mergeCell ref="E37:E39"/>
    <mergeCell ref="E41:E49"/>
    <mergeCell ref="E77:E82"/>
    <mergeCell ref="E84:E89"/>
    <mergeCell ref="E91:E95"/>
    <mergeCell ref="E97:E101"/>
    <mergeCell ref="E115:E119"/>
    <mergeCell ref="E120:E124"/>
    <mergeCell ref="E126:E130"/>
    <mergeCell ref="E132:E139"/>
    <mergeCell ref="E64:E67"/>
    <mergeCell ref="E69:E76"/>
    <mergeCell ref="E109:E113"/>
    <mergeCell ref="E250:E251"/>
    <mergeCell ref="E25:E26"/>
    <mergeCell ref="E28:E31"/>
    <mergeCell ref="C27:C31"/>
    <mergeCell ref="B32:B333"/>
    <mergeCell ref="E51:E62"/>
    <mergeCell ref="B22:B26"/>
    <mergeCell ref="C22:C26"/>
    <mergeCell ref="B27:B28"/>
    <mergeCell ref="D194:D199"/>
    <mergeCell ref="D223:D232"/>
    <mergeCell ref="E192:E193"/>
    <mergeCell ref="E194:E199"/>
    <mergeCell ref="E185:E190"/>
    <mergeCell ref="E326:E332"/>
    <mergeCell ref="E252:E257"/>
    <mergeCell ref="E310:E319"/>
    <mergeCell ref="E269:E275"/>
    <mergeCell ref="E276:E284"/>
    <mergeCell ref="E285:E292"/>
    <mergeCell ref="I258:I263"/>
    <mergeCell ref="I264:I268"/>
    <mergeCell ref="D418:D426"/>
    <mergeCell ref="B431:B435"/>
    <mergeCell ref="C436:C443"/>
    <mergeCell ref="B408:B418"/>
    <mergeCell ref="B427:B430"/>
    <mergeCell ref="B398:B399"/>
    <mergeCell ref="C378:C397"/>
    <mergeCell ref="B400:B402"/>
    <mergeCell ref="B436:B444"/>
    <mergeCell ref="C407:C427"/>
    <mergeCell ref="E408:E412"/>
    <mergeCell ref="D413:D417"/>
    <mergeCell ref="E413:E417"/>
    <mergeCell ref="C428:C430"/>
    <mergeCell ref="D408:D412"/>
    <mergeCell ref="B419:B426"/>
    <mergeCell ref="E418:E426"/>
    <mergeCell ref="D427:D431"/>
    <mergeCell ref="E427:E431"/>
    <mergeCell ref="E432:E435"/>
    <mergeCell ref="D432:D435"/>
    <mergeCell ref="C431:C435"/>
  </mergeCells>
  <conditionalFormatting sqref="G400:G401 F64:F76 G27:G76 F83:H83 F90:H90 F96:H96 F102:H102 F108:H108 F114:H114 F120:H120 F125:H125 F131:H131 F140:H140 F149:H149 F158:H158 F162:H162 F169:H169 F177:H177 F184:H184 F191:H191 F210:H210 F216:H216 F222:H222 F233:H233 F241:H241 F249:H249 H84:H89 H91:H95 H97:H101 H103:H107 H109:H113 H115:H119 H121:H124 H211:H215 H234:H248 H217:H232 H126:H209 H250:H457 H21:H82">
    <cfRule type="cellIs" dxfId="142" priority="109" operator="equal">
      <formula>"Not Tested"</formula>
    </cfRule>
    <cfRule type="cellIs" dxfId="141" priority="110" operator="equal">
      <formula>"Pending"</formula>
    </cfRule>
    <cfRule type="cellIs" dxfId="140" priority="111" operator="equal">
      <formula>"Ongoing"</formula>
    </cfRule>
    <cfRule type="cellIs" dxfId="139" priority="112" operator="equal">
      <formula>"Blocked"</formula>
    </cfRule>
    <cfRule type="cellIs" dxfId="138" priority="113" operator="equal">
      <formula>"Fail"</formula>
    </cfRule>
    <cfRule type="cellIs" dxfId="137" priority="114" operator="equal">
      <formula>"Partially Fail"</formula>
    </cfRule>
    <cfRule type="cellIs" dxfId="136" priority="115" operator="equal">
      <formula>"Pass"</formula>
    </cfRule>
  </conditionalFormatting>
  <conditionalFormatting sqref="G400:G401 F64:F76 G27:G76 F83:H83 F90:H90 F96:H96 F102:H102 F108:H108 F114:H114 F120:H120 F125:H125 F131:H131 F140:H140 F149:H149 F158:H158 F162:H162 F169:H169 F177:H177 F184:H184 F191:H191 F210:H210 F216:H216 F222:H222 F233:H233 F241:H241 F249:H249 H84:H89 H91:H95 H97:H101 H103:H107 H109:H113 H115:H119 H121:H124 H211:H215 H234:H248 H217:H232 H126:H209 H250:H457 H21:H82">
    <cfRule type="cellIs" dxfId="135" priority="102" operator="equal">
      <formula>"Not Tested"</formula>
    </cfRule>
    <cfRule type="cellIs" dxfId="134" priority="103" operator="equal">
      <formula>"Pending"</formula>
    </cfRule>
    <cfRule type="cellIs" dxfId="133" priority="104" operator="equal">
      <formula>"Ongoing"</formula>
    </cfRule>
    <cfRule type="cellIs" dxfId="132" priority="105" operator="equal">
      <formula>"Blocked"</formula>
    </cfRule>
    <cfRule type="cellIs" dxfId="131" priority="106" operator="equal">
      <formula>"Fail"</formula>
    </cfRule>
    <cfRule type="cellIs" dxfId="130" priority="107" operator="equal">
      <formula>"Partially Pass"</formula>
    </cfRule>
    <cfRule type="cellIs" dxfId="129" priority="108" operator="equal">
      <formula>"Pass"</formula>
    </cfRule>
  </conditionalFormatting>
  <conditionalFormatting sqref="H21:H457">
    <cfRule type="cellIs" dxfId="128" priority="95" operator="equal">
      <formula>"Not Tested"</formula>
    </cfRule>
    <cfRule type="cellIs" dxfId="127" priority="96" operator="equal">
      <formula>"Pending"</formula>
    </cfRule>
    <cfRule type="cellIs" dxfId="126" priority="97" operator="equal">
      <formula>"Ongoing"</formula>
    </cfRule>
    <cfRule type="cellIs" dxfId="125" priority="98" operator="equal">
      <formula>"Blocked"</formula>
    </cfRule>
    <cfRule type="cellIs" dxfId="124" priority="99" operator="equal">
      <formula>"Fail"</formula>
    </cfRule>
    <cfRule type="cellIs" dxfId="123" priority="100" operator="equal">
      <formula>"Partially Fail"</formula>
    </cfRule>
    <cfRule type="cellIs" dxfId="122" priority="101" operator="equal">
      <formula>"Pass"</formula>
    </cfRule>
  </conditionalFormatting>
  <conditionalFormatting sqref="H21:H457">
    <cfRule type="cellIs" dxfId="121" priority="88" operator="equal">
      <formula>"Not Tested"</formula>
    </cfRule>
    <cfRule type="cellIs" dxfId="120" priority="89" operator="equal">
      <formula>"Pending"</formula>
    </cfRule>
    <cfRule type="cellIs" dxfId="119" priority="90" operator="equal">
      <formula>"Ongoing"</formula>
    </cfRule>
    <cfRule type="cellIs" dxfId="118" priority="91" operator="equal">
      <formula>"Blocked"</formula>
    </cfRule>
    <cfRule type="cellIs" dxfId="117" priority="92" operator="equal">
      <formula>"Fail"</formula>
    </cfRule>
    <cfRule type="cellIs" dxfId="116" priority="93" operator="equal">
      <formula>"Partially Pass"</formula>
    </cfRule>
    <cfRule type="cellIs" dxfId="115" priority="94" operator="equal">
      <formula>"Pass"</formula>
    </cfRule>
  </conditionalFormatting>
  <conditionalFormatting sqref="H21:H457">
    <cfRule type="cellIs" dxfId="114" priority="80" operator="equal">
      <formula>"Not Tested"</formula>
    </cfRule>
    <cfRule type="cellIs" dxfId="113" priority="81" operator="equal">
      <formula>"Not Tested"</formula>
    </cfRule>
    <cfRule type="cellIs" dxfId="112" priority="82" operator="equal">
      <formula>"Pending"</formula>
    </cfRule>
    <cfRule type="cellIs" dxfId="111" priority="83" operator="equal">
      <formula>"Ongoing"</formula>
    </cfRule>
    <cfRule type="cellIs" dxfId="110" priority="84" operator="equal">
      <formula>"Blocked"</formula>
    </cfRule>
    <cfRule type="cellIs" dxfId="109" priority="85" operator="equal">
      <formula>"Fail"</formula>
    </cfRule>
    <cfRule type="cellIs" dxfId="108" priority="86" operator="equal">
      <formula>"Partially Fail"</formula>
    </cfRule>
    <cfRule type="cellIs" dxfId="107" priority="87" operator="equal">
      <formula>"Pass"</formula>
    </cfRule>
  </conditionalFormatting>
  <conditionalFormatting sqref="H21:H457">
    <cfRule type="cellIs" dxfId="106" priority="74" operator="equal">
      <formula>"Pending"</formula>
    </cfRule>
    <cfRule type="cellIs" dxfId="105" priority="75" operator="equal">
      <formula>"Ongoing"</formula>
    </cfRule>
    <cfRule type="cellIs" dxfId="104" priority="76" operator="equal">
      <formula>"Blocked"</formula>
    </cfRule>
    <cfRule type="cellIs" dxfId="103" priority="77" operator="equal">
      <formula>"Fail"</formula>
    </cfRule>
    <cfRule type="cellIs" dxfId="102" priority="78" operator="equal">
      <formula>"Partially Pass"</formula>
    </cfRule>
    <cfRule type="cellIs" dxfId="101" priority="79" operator="equal">
      <formula>"Pass"</formula>
    </cfRule>
  </conditionalFormatting>
  <conditionalFormatting sqref="H21:H457">
    <cfRule type="cellIs" dxfId="100" priority="65" stopIfTrue="1" operator="equal">
      <formula>"Pending"</formula>
    </cfRule>
    <cfRule type="cellIs" dxfId="99" priority="66" stopIfTrue="1" operator="equal">
      <formula>"Ongoing"</formula>
    </cfRule>
    <cfRule type="cellIs" dxfId="98" priority="67" operator="equal">
      <formula>"Not Tested"</formula>
    </cfRule>
    <cfRule type="cellIs" dxfId="97" priority="68" operator="equal">
      <formula>"Pending"</formula>
    </cfRule>
    <cfRule type="cellIs" dxfId="96" priority="69" operator="equal">
      <formula>"Ongoing"</formula>
    </cfRule>
    <cfRule type="cellIs" dxfId="95" priority="70" operator="equal">
      <formula>"Blocked"</formula>
    </cfRule>
    <cfRule type="cellIs" dxfId="94" priority="71" operator="equal">
      <formula>"Fail"</formula>
    </cfRule>
    <cfRule type="cellIs" dxfId="93" priority="72" operator="equal">
      <formula>"Partially Fail"</formula>
    </cfRule>
    <cfRule type="cellIs" dxfId="92" priority="73" operator="equal">
      <formula>"Pass"</formula>
    </cfRule>
  </conditionalFormatting>
  <conditionalFormatting sqref="H21:H457">
    <cfRule type="cellIs" dxfId="91" priority="61" stopIfTrue="1" operator="equal">
      <formula>"Blocked"</formula>
    </cfRule>
    <cfRule type="cellIs" dxfId="90" priority="62" stopIfTrue="1" operator="equal">
      <formula>"Fail"</formula>
    </cfRule>
    <cfRule type="cellIs" dxfId="89" priority="63" stopIfTrue="1" operator="equal">
      <formula>"Partially Pass"</formula>
    </cfRule>
    <cfRule type="cellIs" dxfId="88" priority="64" stopIfTrue="1" operator="equal">
      <formula>"Pass"</formula>
    </cfRule>
  </conditionalFormatting>
  <conditionalFormatting sqref="I5:I17">
    <cfRule type="cellIs" dxfId="87" priority="59" operator="equal">
      <formula>"N"</formula>
    </cfRule>
    <cfRule type="cellIs" dxfId="86" priority="60" operator="equal">
      <formula>"Y"</formula>
    </cfRule>
  </conditionalFormatting>
  <conditionalFormatting sqref="I5:I17">
    <cfRule type="containsText" dxfId="85" priority="58" operator="containsText" text="N">
      <formula>NOT(ISERROR(SEARCH("N",I5)))</formula>
    </cfRule>
  </conditionalFormatting>
  <conditionalFormatting sqref="H22:H457">
    <cfRule type="cellIs" dxfId="84" priority="57" operator="equal">
      <formula>"Not Applicable"</formula>
    </cfRule>
  </conditionalFormatting>
  <dataValidations count="1">
    <dataValidation type="list" allowBlank="1" showInputMessage="1" showErrorMessage="1" sqref="E22:E25">
      <formula1>"Paid,Incurred"</formula1>
    </dataValidation>
  </dataValidations>
  <hyperlinks>
    <hyperlink ref="G348" location="QM!A1" display="Click here to see QM Category list"/>
  </hyperlink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[4]Info!#REF!</xm:f>
          </x14:formula1>
          <xm:sqref>G451:G457</xm:sqref>
        </x14:dataValidation>
        <x14:dataValidation type="list" allowBlank="1" showInputMessage="1" showErrorMessage="1">
          <x14:formula1>
            <xm:f>Info!A3:A10</xm:f>
          </x14:formula1>
          <xm:sqref>H21:H457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3"/>
  <sheetViews>
    <sheetView workbookViewId="0"/>
  </sheetViews>
  <sheetFormatPr defaultRowHeight="15" x14ac:dyDescent="0.25"/>
  <cols>
    <col min="1" max="1" width="25" bestFit="1" customWidth="1"/>
    <col min="2" max="2" width="17.85546875" bestFit="1" customWidth="1"/>
    <col min="3" max="3" width="19.7109375" bestFit="1" customWidth="1"/>
    <col min="4" max="4" width="7.7109375" bestFit="1" customWidth="1"/>
    <col min="5" max="5" width="28.42578125" customWidth="1"/>
    <col min="6" max="6" width="15.7109375" customWidth="1"/>
    <col min="7" max="7" width="19.7109375" bestFit="1" customWidth="1"/>
    <col min="8" max="8" width="7.7109375" bestFit="1" customWidth="1"/>
  </cols>
  <sheetData>
    <row r="1" spans="1:8" x14ac:dyDescent="0.25">
      <c r="A1" s="25" t="s">
        <v>300</v>
      </c>
      <c r="E1" s="25" t="s">
        <v>301</v>
      </c>
    </row>
    <row r="2" spans="1:8" x14ac:dyDescent="0.25">
      <c r="B2" s="24" t="s">
        <v>298</v>
      </c>
      <c r="F2" s="24" t="s">
        <v>298</v>
      </c>
    </row>
    <row r="3" spans="1:8" x14ac:dyDescent="0.25">
      <c r="B3" s="11" t="s">
        <v>270</v>
      </c>
      <c r="F3" s="11" t="s">
        <v>302</v>
      </c>
    </row>
    <row r="4" spans="1:8" x14ac:dyDescent="0.25">
      <c r="B4" s="11" t="s">
        <v>271</v>
      </c>
      <c r="F4" s="11" t="s">
        <v>306</v>
      </c>
    </row>
    <row r="5" spans="1:8" x14ac:dyDescent="0.25">
      <c r="B5" s="11" t="s">
        <v>272</v>
      </c>
      <c r="F5" s="11" t="s">
        <v>272</v>
      </c>
    </row>
    <row r="6" spans="1:8" x14ac:dyDescent="0.25">
      <c r="B6" s="11" t="s">
        <v>274</v>
      </c>
      <c r="F6" s="11" t="s">
        <v>274</v>
      </c>
    </row>
    <row r="7" spans="1:8" x14ac:dyDescent="0.25">
      <c r="B7" s="11" t="s">
        <v>273</v>
      </c>
      <c r="C7" s="23" t="s">
        <v>297</v>
      </c>
      <c r="F7" s="11" t="s">
        <v>303</v>
      </c>
      <c r="G7" s="23" t="s">
        <v>297</v>
      </c>
    </row>
    <row r="8" spans="1:8" x14ac:dyDescent="0.25">
      <c r="B8" s="11" t="s">
        <v>275</v>
      </c>
      <c r="C8" s="11" t="s">
        <v>280</v>
      </c>
      <c r="F8" s="11" t="s">
        <v>304</v>
      </c>
      <c r="G8" s="11" t="s">
        <v>305</v>
      </c>
    </row>
    <row r="9" spans="1:8" x14ac:dyDescent="0.25">
      <c r="B9" s="11" t="s">
        <v>276</v>
      </c>
      <c r="C9" s="11" t="s">
        <v>281</v>
      </c>
      <c r="G9" s="11" t="s">
        <v>280</v>
      </c>
    </row>
    <row r="10" spans="1:8" x14ac:dyDescent="0.25">
      <c r="B10" s="11" t="s">
        <v>277</v>
      </c>
      <c r="C10" s="11" t="s">
        <v>282</v>
      </c>
      <c r="G10" s="11" t="s">
        <v>283</v>
      </c>
    </row>
    <row r="11" spans="1:8" x14ac:dyDescent="0.25">
      <c r="B11" s="11" t="s">
        <v>307</v>
      </c>
      <c r="C11" s="11" t="s">
        <v>283</v>
      </c>
      <c r="G11" s="11" t="s">
        <v>284</v>
      </c>
    </row>
    <row r="12" spans="1:8" x14ac:dyDescent="0.25">
      <c r="B12" s="11" t="s">
        <v>278</v>
      </c>
      <c r="C12" s="11" t="s">
        <v>284</v>
      </c>
      <c r="G12" s="11" t="s">
        <v>285</v>
      </c>
      <c r="H12" s="23" t="s">
        <v>296</v>
      </c>
    </row>
    <row r="13" spans="1:8" x14ac:dyDescent="0.25">
      <c r="B13" s="11" t="s">
        <v>279</v>
      </c>
      <c r="C13" s="11" t="s">
        <v>285</v>
      </c>
      <c r="H13" s="11" t="s">
        <v>293</v>
      </c>
    </row>
    <row r="14" spans="1:8" x14ac:dyDescent="0.25">
      <c r="C14" s="11" t="s">
        <v>291</v>
      </c>
      <c r="H14" s="11" t="s">
        <v>294</v>
      </c>
    </row>
    <row r="15" spans="1:8" x14ac:dyDescent="0.25">
      <c r="C15" s="11" t="s">
        <v>286</v>
      </c>
      <c r="H15" s="11" t="s">
        <v>295</v>
      </c>
    </row>
    <row r="16" spans="1:8" x14ac:dyDescent="0.25">
      <c r="C16" s="11" t="s">
        <v>287</v>
      </c>
    </row>
    <row r="17" spans="3:4" x14ac:dyDescent="0.25">
      <c r="C17" s="11" t="s">
        <v>288</v>
      </c>
    </row>
    <row r="18" spans="3:4" x14ac:dyDescent="0.25">
      <c r="C18" s="11" t="s">
        <v>305</v>
      </c>
    </row>
    <row r="19" spans="3:4" x14ac:dyDescent="0.25">
      <c r="C19" s="11" t="s">
        <v>292</v>
      </c>
    </row>
    <row r="20" spans="3:4" x14ac:dyDescent="0.25">
      <c r="C20" s="11" t="s">
        <v>290</v>
      </c>
      <c r="D20" s="23" t="s">
        <v>296</v>
      </c>
    </row>
    <row r="21" spans="3:4" x14ac:dyDescent="0.25">
      <c r="C21" s="11" t="s">
        <v>53</v>
      </c>
      <c r="D21" s="11" t="s">
        <v>293</v>
      </c>
    </row>
    <row r="22" spans="3:4" x14ac:dyDescent="0.25">
      <c r="C22" s="11" t="s">
        <v>289</v>
      </c>
      <c r="D22" s="11" t="s">
        <v>294</v>
      </c>
    </row>
    <row r="23" spans="3:4" x14ac:dyDescent="0.25">
      <c r="D23" s="11" t="s">
        <v>295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5"/>
  <sheetViews>
    <sheetView workbookViewId="0"/>
  </sheetViews>
  <sheetFormatPr defaultRowHeight="15" x14ac:dyDescent="0.25"/>
  <cols>
    <col min="1" max="1" width="21.140625" customWidth="1"/>
    <col min="2" max="2" width="22.140625" customWidth="1"/>
    <col min="3" max="3" width="4.85546875" bestFit="1" customWidth="1"/>
    <col min="4" max="4" width="98.28515625" bestFit="1" customWidth="1"/>
  </cols>
  <sheetData>
    <row r="1" spans="1:6" x14ac:dyDescent="0.25">
      <c r="A1" s="15"/>
      <c r="B1" s="13" t="s">
        <v>268</v>
      </c>
      <c r="C1" s="13"/>
      <c r="D1" s="14" t="s">
        <v>269</v>
      </c>
    </row>
    <row r="2" spans="1:6" x14ac:dyDescent="0.25">
      <c r="A2" s="15"/>
      <c r="B2" s="313" t="s">
        <v>148</v>
      </c>
      <c r="C2" s="314"/>
      <c r="D2" s="315"/>
    </row>
    <row r="3" spans="1:6" x14ac:dyDescent="0.25">
      <c r="A3" s="15"/>
      <c r="B3" s="310"/>
      <c r="C3" s="11" t="s">
        <v>149</v>
      </c>
      <c r="D3" s="20" t="s">
        <v>150</v>
      </c>
    </row>
    <row r="4" spans="1:6" x14ac:dyDescent="0.25">
      <c r="A4" s="15"/>
      <c r="B4" s="311"/>
      <c r="C4" s="11" t="s">
        <v>151</v>
      </c>
      <c r="D4" s="20" t="s">
        <v>152</v>
      </c>
    </row>
    <row r="5" spans="1:6" x14ac:dyDescent="0.25">
      <c r="A5" s="15"/>
      <c r="B5" s="312"/>
      <c r="C5" s="11" t="s">
        <v>153</v>
      </c>
      <c r="D5" s="20" t="s">
        <v>154</v>
      </c>
    </row>
    <row r="6" spans="1:6" x14ac:dyDescent="0.25">
      <c r="A6" s="15"/>
      <c r="B6" s="318" t="s">
        <v>140</v>
      </c>
      <c r="C6" s="318"/>
      <c r="D6" s="318"/>
    </row>
    <row r="7" spans="1:6" x14ac:dyDescent="0.25">
      <c r="A7" s="15"/>
      <c r="B7" s="310"/>
      <c r="C7" s="11" t="s">
        <v>155</v>
      </c>
      <c r="D7" s="20" t="s">
        <v>156</v>
      </c>
    </row>
    <row r="8" spans="1:6" x14ac:dyDescent="0.25">
      <c r="A8" s="15"/>
      <c r="B8" s="311"/>
      <c r="C8" s="11" t="s">
        <v>157</v>
      </c>
      <c r="D8" s="20" t="s">
        <v>158</v>
      </c>
      <c r="F8" s="15"/>
    </row>
    <row r="9" spans="1:6" x14ac:dyDescent="0.25">
      <c r="A9" s="15"/>
      <c r="B9" s="311"/>
      <c r="C9" s="11" t="s">
        <v>159</v>
      </c>
      <c r="D9" s="20" t="s">
        <v>160</v>
      </c>
    </row>
    <row r="10" spans="1:6" x14ac:dyDescent="0.25">
      <c r="A10" s="15"/>
      <c r="B10" s="311"/>
      <c r="C10" s="11" t="s">
        <v>161</v>
      </c>
      <c r="D10" s="20" t="s">
        <v>141</v>
      </c>
    </row>
    <row r="11" spans="1:6" x14ac:dyDescent="0.25">
      <c r="A11" s="15"/>
      <c r="B11" s="311"/>
      <c r="C11" s="11" t="s">
        <v>162</v>
      </c>
      <c r="D11" s="20" t="s">
        <v>142</v>
      </c>
    </row>
    <row r="12" spans="1:6" x14ac:dyDescent="0.25">
      <c r="A12" s="15"/>
      <c r="B12" s="311"/>
      <c r="C12" s="18" t="s">
        <v>163</v>
      </c>
      <c r="D12" s="21" t="s">
        <v>143</v>
      </c>
    </row>
    <row r="13" spans="1:6" x14ac:dyDescent="0.25">
      <c r="A13" s="15"/>
      <c r="B13" s="318" t="s">
        <v>135</v>
      </c>
      <c r="C13" s="318"/>
      <c r="D13" s="318"/>
      <c r="E13" s="15"/>
    </row>
    <row r="14" spans="1:6" x14ac:dyDescent="0.25">
      <c r="A14" s="15"/>
      <c r="B14" s="311"/>
      <c r="C14" s="19" t="s">
        <v>164</v>
      </c>
      <c r="D14" s="22" t="s">
        <v>165</v>
      </c>
    </row>
    <row r="15" spans="1:6" x14ac:dyDescent="0.25">
      <c r="A15" s="15"/>
      <c r="B15" s="311"/>
      <c r="C15" s="11" t="s">
        <v>166</v>
      </c>
      <c r="D15" s="20" t="s">
        <v>167</v>
      </c>
    </row>
    <row r="16" spans="1:6" x14ac:dyDescent="0.25">
      <c r="A16" s="15"/>
      <c r="B16" s="311"/>
      <c r="C16" s="11" t="s">
        <v>168</v>
      </c>
      <c r="D16" s="20" t="s">
        <v>169</v>
      </c>
    </row>
    <row r="17" spans="1:4" x14ac:dyDescent="0.25">
      <c r="A17" s="15"/>
      <c r="B17" s="311"/>
      <c r="C17" s="11" t="s">
        <v>170</v>
      </c>
      <c r="D17" s="20" t="s">
        <v>171</v>
      </c>
    </row>
    <row r="18" spans="1:4" x14ac:dyDescent="0.25">
      <c r="A18" s="15"/>
      <c r="B18" s="311"/>
      <c r="C18" s="11" t="s">
        <v>172</v>
      </c>
      <c r="D18" s="20" t="s">
        <v>173</v>
      </c>
    </row>
    <row r="19" spans="1:4" x14ac:dyDescent="0.25">
      <c r="A19" s="15"/>
      <c r="B19" s="311"/>
      <c r="C19" s="11" t="s">
        <v>174</v>
      </c>
      <c r="D19" s="20" t="s">
        <v>136</v>
      </c>
    </row>
    <row r="20" spans="1:4" x14ac:dyDescent="0.25">
      <c r="A20" s="15"/>
      <c r="B20" s="312"/>
      <c r="C20" s="11" t="s">
        <v>175</v>
      </c>
      <c r="D20" s="20" t="s">
        <v>137</v>
      </c>
    </row>
    <row r="21" spans="1:4" x14ac:dyDescent="0.25">
      <c r="A21" s="15"/>
      <c r="B21" s="318" t="s">
        <v>121</v>
      </c>
      <c r="C21" s="318"/>
      <c r="D21" s="318"/>
    </row>
    <row r="22" spans="1:4" x14ac:dyDescent="0.25">
      <c r="A22" s="15"/>
      <c r="B22" s="310"/>
      <c r="C22" s="11" t="s">
        <v>176</v>
      </c>
      <c r="D22" s="20" t="s">
        <v>177</v>
      </c>
    </row>
    <row r="23" spans="1:4" x14ac:dyDescent="0.25">
      <c r="A23" s="15"/>
      <c r="B23" s="311"/>
      <c r="C23" s="11" t="s">
        <v>178</v>
      </c>
      <c r="D23" s="20" t="s">
        <v>179</v>
      </c>
    </row>
    <row r="24" spans="1:4" x14ac:dyDescent="0.25">
      <c r="A24" s="15"/>
      <c r="B24" s="311"/>
      <c r="C24" s="11" t="s">
        <v>180</v>
      </c>
      <c r="D24" s="20" t="s">
        <v>181</v>
      </c>
    </row>
    <row r="25" spans="1:4" x14ac:dyDescent="0.25">
      <c r="A25" s="15"/>
      <c r="B25" s="311"/>
      <c r="C25" s="11" t="s">
        <v>182</v>
      </c>
      <c r="D25" s="20" t="s">
        <v>150</v>
      </c>
    </row>
    <row r="26" spans="1:4" x14ac:dyDescent="0.25">
      <c r="A26" s="15"/>
      <c r="B26" s="311"/>
      <c r="C26" s="11" t="s">
        <v>183</v>
      </c>
      <c r="D26" s="20" t="s">
        <v>184</v>
      </c>
    </row>
    <row r="27" spans="1:4" x14ac:dyDescent="0.25">
      <c r="A27" s="15"/>
      <c r="B27" s="311"/>
      <c r="C27" s="11" t="s">
        <v>185</v>
      </c>
      <c r="D27" s="20" t="s">
        <v>186</v>
      </c>
    </row>
    <row r="28" spans="1:4" x14ac:dyDescent="0.25">
      <c r="A28" s="15"/>
      <c r="B28" s="311"/>
      <c r="C28" s="11" t="s">
        <v>187</v>
      </c>
      <c r="D28" s="20" t="s">
        <v>122</v>
      </c>
    </row>
    <row r="29" spans="1:4" x14ac:dyDescent="0.25">
      <c r="A29" s="15"/>
      <c r="B29" s="311"/>
      <c r="C29" s="11" t="s">
        <v>188</v>
      </c>
      <c r="D29" s="20" t="s">
        <v>123</v>
      </c>
    </row>
    <row r="30" spans="1:4" x14ac:dyDescent="0.25">
      <c r="A30" s="15"/>
      <c r="B30" s="311"/>
      <c r="C30" s="16" t="s">
        <v>189</v>
      </c>
      <c r="D30" s="20" t="s">
        <v>124</v>
      </c>
    </row>
    <row r="31" spans="1:4" x14ac:dyDescent="0.25">
      <c r="A31" s="15"/>
      <c r="B31" s="311"/>
      <c r="C31" s="16" t="s">
        <v>190</v>
      </c>
      <c r="D31" s="20" t="s">
        <v>125</v>
      </c>
    </row>
    <row r="32" spans="1:4" x14ac:dyDescent="0.25">
      <c r="A32" s="15"/>
      <c r="B32" s="311"/>
      <c r="C32" s="16" t="s">
        <v>191</v>
      </c>
      <c r="D32" s="20" t="s">
        <v>126</v>
      </c>
    </row>
    <row r="33" spans="1:4" x14ac:dyDescent="0.25">
      <c r="A33" s="15"/>
      <c r="B33" s="311"/>
      <c r="C33" s="16" t="s">
        <v>192</v>
      </c>
      <c r="D33" s="20" t="s">
        <v>127</v>
      </c>
    </row>
    <row r="34" spans="1:4" x14ac:dyDescent="0.25">
      <c r="A34" s="15"/>
      <c r="B34" s="311"/>
      <c r="C34" s="16" t="s">
        <v>193</v>
      </c>
      <c r="D34" s="20" t="s">
        <v>128</v>
      </c>
    </row>
    <row r="35" spans="1:4" x14ac:dyDescent="0.25">
      <c r="A35" s="15"/>
      <c r="B35" s="311"/>
      <c r="C35" s="16" t="s">
        <v>194</v>
      </c>
      <c r="D35" s="20" t="s">
        <v>129</v>
      </c>
    </row>
    <row r="36" spans="1:4" x14ac:dyDescent="0.25">
      <c r="A36" s="15"/>
      <c r="B36" s="311"/>
      <c r="C36" s="16" t="s">
        <v>195</v>
      </c>
      <c r="D36" s="20" t="s">
        <v>130</v>
      </c>
    </row>
    <row r="37" spans="1:4" x14ac:dyDescent="0.25">
      <c r="A37" s="15"/>
      <c r="B37" s="312"/>
      <c r="C37" s="16" t="s">
        <v>196</v>
      </c>
      <c r="D37" s="20" t="s">
        <v>131</v>
      </c>
    </row>
    <row r="38" spans="1:4" x14ac:dyDescent="0.25">
      <c r="A38" s="15"/>
      <c r="B38" s="318" t="s">
        <v>89</v>
      </c>
      <c r="C38" s="318"/>
      <c r="D38" s="318"/>
    </row>
    <row r="39" spans="1:4" x14ac:dyDescent="0.25">
      <c r="A39" s="15"/>
      <c r="B39" s="310"/>
      <c r="C39" s="11" t="s">
        <v>197</v>
      </c>
      <c r="D39" s="20" t="s">
        <v>198</v>
      </c>
    </row>
    <row r="40" spans="1:4" x14ac:dyDescent="0.25">
      <c r="A40" s="15"/>
      <c r="B40" s="311"/>
      <c r="C40" s="11" t="s">
        <v>199</v>
      </c>
      <c r="D40" s="20" t="s">
        <v>200</v>
      </c>
    </row>
    <row r="41" spans="1:4" x14ac:dyDescent="0.25">
      <c r="A41" s="15"/>
      <c r="B41" s="311"/>
      <c r="C41" s="11" t="s">
        <v>201</v>
      </c>
      <c r="D41" s="20" t="s">
        <v>202</v>
      </c>
    </row>
    <row r="42" spans="1:4" x14ac:dyDescent="0.25">
      <c r="A42" s="15"/>
      <c r="B42" s="311"/>
      <c r="C42" s="11" t="s">
        <v>203</v>
      </c>
      <c r="D42" s="20" t="s">
        <v>204</v>
      </c>
    </row>
    <row r="43" spans="1:4" x14ac:dyDescent="0.25">
      <c r="A43" s="15"/>
      <c r="B43" s="311"/>
      <c r="C43" s="11" t="s">
        <v>205</v>
      </c>
      <c r="D43" s="20" t="s">
        <v>206</v>
      </c>
    </row>
    <row r="44" spans="1:4" x14ac:dyDescent="0.25">
      <c r="A44" s="15"/>
      <c r="B44" s="311"/>
      <c r="C44" s="11" t="s">
        <v>207</v>
      </c>
      <c r="D44" s="20" t="s">
        <v>90</v>
      </c>
    </row>
    <row r="45" spans="1:4" x14ac:dyDescent="0.25">
      <c r="A45" s="15"/>
      <c r="B45" s="311"/>
      <c r="C45" s="11" t="s">
        <v>208</v>
      </c>
      <c r="D45" s="20" t="s">
        <v>91</v>
      </c>
    </row>
    <row r="46" spans="1:4" x14ac:dyDescent="0.25">
      <c r="A46" s="15"/>
      <c r="B46" s="311"/>
      <c r="C46" s="11" t="s">
        <v>209</v>
      </c>
      <c r="D46" s="20" t="s">
        <v>92</v>
      </c>
    </row>
    <row r="47" spans="1:4" x14ac:dyDescent="0.25">
      <c r="A47" s="15"/>
      <c r="B47" s="311"/>
      <c r="C47" s="11" t="s">
        <v>210</v>
      </c>
      <c r="D47" s="20" t="s">
        <v>93</v>
      </c>
    </row>
    <row r="48" spans="1:4" x14ac:dyDescent="0.25">
      <c r="A48" s="15"/>
      <c r="B48" s="311"/>
      <c r="C48" s="11" t="s">
        <v>211</v>
      </c>
      <c r="D48" s="20" t="s">
        <v>94</v>
      </c>
    </row>
    <row r="49" spans="1:4" x14ac:dyDescent="0.25">
      <c r="A49" s="15"/>
      <c r="B49" s="311"/>
      <c r="C49" s="11" t="s">
        <v>212</v>
      </c>
      <c r="D49" s="20" t="s">
        <v>95</v>
      </c>
    </row>
    <row r="50" spans="1:4" x14ac:dyDescent="0.25">
      <c r="A50" s="15"/>
      <c r="B50" s="311"/>
      <c r="C50" s="11" t="s">
        <v>213</v>
      </c>
      <c r="D50" s="20" t="s">
        <v>96</v>
      </c>
    </row>
    <row r="51" spans="1:4" x14ac:dyDescent="0.25">
      <c r="A51" s="15"/>
      <c r="B51" s="311"/>
      <c r="C51" s="18" t="s">
        <v>214</v>
      </c>
      <c r="D51" s="21" t="s">
        <v>97</v>
      </c>
    </row>
    <row r="52" spans="1:4" x14ac:dyDescent="0.25">
      <c r="A52" s="15"/>
      <c r="B52" s="318" t="s">
        <v>132</v>
      </c>
      <c r="C52" s="318"/>
      <c r="D52" s="318"/>
    </row>
    <row r="53" spans="1:4" x14ac:dyDescent="0.25">
      <c r="A53" s="15"/>
      <c r="B53" s="311"/>
      <c r="C53" s="19" t="s">
        <v>215</v>
      </c>
      <c r="D53" s="22" t="s">
        <v>216</v>
      </c>
    </row>
    <row r="54" spans="1:4" x14ac:dyDescent="0.25">
      <c r="A54" s="15"/>
      <c r="B54" s="311"/>
      <c r="C54" s="11" t="s">
        <v>217</v>
      </c>
      <c r="D54" s="20" t="s">
        <v>150</v>
      </c>
    </row>
    <row r="55" spans="1:4" x14ac:dyDescent="0.25">
      <c r="A55" s="15"/>
      <c r="B55" s="311"/>
      <c r="C55" s="11" t="s">
        <v>218</v>
      </c>
      <c r="D55" s="20" t="s">
        <v>133</v>
      </c>
    </row>
    <row r="56" spans="1:4" x14ac:dyDescent="0.25">
      <c r="A56" s="15"/>
      <c r="B56" s="312"/>
      <c r="C56" s="11" t="s">
        <v>219</v>
      </c>
      <c r="D56" s="20" t="s">
        <v>134</v>
      </c>
    </row>
    <row r="57" spans="1:4" x14ac:dyDescent="0.25">
      <c r="A57" s="15"/>
      <c r="B57" s="313" t="s">
        <v>147</v>
      </c>
      <c r="C57" s="314"/>
      <c r="D57" s="315"/>
    </row>
    <row r="58" spans="1:4" x14ac:dyDescent="0.25">
      <c r="A58" s="15"/>
      <c r="B58" s="310"/>
      <c r="C58" s="11" t="s">
        <v>220</v>
      </c>
      <c r="D58" s="20" t="s">
        <v>221</v>
      </c>
    </row>
    <row r="59" spans="1:4" x14ac:dyDescent="0.25">
      <c r="A59" s="15"/>
      <c r="B59" s="311"/>
      <c r="C59" s="11" t="s">
        <v>222</v>
      </c>
      <c r="D59" s="20" t="s">
        <v>223</v>
      </c>
    </row>
    <row r="60" spans="1:4" x14ac:dyDescent="0.25">
      <c r="A60" s="15"/>
      <c r="B60" s="312"/>
      <c r="C60" s="11" t="s">
        <v>224</v>
      </c>
      <c r="D60" s="20" t="s">
        <v>225</v>
      </c>
    </row>
    <row r="61" spans="1:4" x14ac:dyDescent="0.25">
      <c r="A61" s="15"/>
      <c r="B61" s="12" t="s">
        <v>98</v>
      </c>
      <c r="D61" s="20"/>
    </row>
    <row r="62" spans="1:4" x14ac:dyDescent="0.25">
      <c r="A62" s="15"/>
      <c r="B62" s="310"/>
      <c r="C62" s="11" t="s">
        <v>226</v>
      </c>
      <c r="D62" s="20" t="s">
        <v>99</v>
      </c>
    </row>
    <row r="63" spans="1:4" x14ac:dyDescent="0.25">
      <c r="A63" s="15"/>
      <c r="B63" s="311"/>
      <c r="C63" s="11" t="s">
        <v>227</v>
      </c>
      <c r="D63" s="20" t="s">
        <v>100</v>
      </c>
    </row>
    <row r="64" spans="1:4" x14ac:dyDescent="0.25">
      <c r="A64" s="15"/>
      <c r="B64" s="311"/>
      <c r="C64" s="11" t="s">
        <v>228</v>
      </c>
      <c r="D64" s="20" t="s">
        <v>101</v>
      </c>
    </row>
    <row r="65" spans="1:4" x14ac:dyDescent="0.25">
      <c r="A65" s="15"/>
      <c r="B65" s="312"/>
      <c r="C65" s="11" t="s">
        <v>229</v>
      </c>
      <c r="D65" s="20" t="s">
        <v>102</v>
      </c>
    </row>
    <row r="66" spans="1:4" x14ac:dyDescent="0.25">
      <c r="A66" s="15"/>
      <c r="B66" s="313" t="s">
        <v>144</v>
      </c>
      <c r="C66" s="314"/>
      <c r="D66" s="315"/>
    </row>
    <row r="67" spans="1:4" x14ac:dyDescent="0.25">
      <c r="A67" s="15"/>
      <c r="B67" s="310"/>
      <c r="C67" s="11" t="s">
        <v>230</v>
      </c>
      <c r="D67" s="20" t="s">
        <v>145</v>
      </c>
    </row>
    <row r="68" spans="1:4" x14ac:dyDescent="0.25">
      <c r="A68" s="15"/>
      <c r="B68" s="312"/>
      <c r="C68" s="11" t="s">
        <v>231</v>
      </c>
      <c r="D68" s="20" t="s">
        <v>146</v>
      </c>
    </row>
    <row r="69" spans="1:4" x14ac:dyDescent="0.25">
      <c r="A69" s="15"/>
      <c r="B69" s="313" t="s">
        <v>84</v>
      </c>
      <c r="C69" s="314"/>
      <c r="D69" s="315"/>
    </row>
    <row r="70" spans="1:4" x14ac:dyDescent="0.25">
      <c r="A70" s="15"/>
      <c r="B70" s="310"/>
      <c r="C70" s="11" t="s">
        <v>232</v>
      </c>
      <c r="D70" s="20" t="s">
        <v>85</v>
      </c>
    </row>
    <row r="71" spans="1:4" x14ac:dyDescent="0.25">
      <c r="A71" s="15"/>
      <c r="B71" s="311"/>
      <c r="C71" s="11" t="s">
        <v>233</v>
      </c>
      <c r="D71" s="20" t="s">
        <v>86</v>
      </c>
    </row>
    <row r="72" spans="1:4" x14ac:dyDescent="0.25">
      <c r="A72" s="15"/>
      <c r="B72" s="311"/>
      <c r="C72" s="11" t="s">
        <v>234</v>
      </c>
      <c r="D72" s="20" t="s">
        <v>87</v>
      </c>
    </row>
    <row r="73" spans="1:4" x14ac:dyDescent="0.25">
      <c r="A73" s="15"/>
      <c r="B73" s="312"/>
      <c r="C73" s="11" t="s">
        <v>235</v>
      </c>
      <c r="D73" s="20" t="s">
        <v>88</v>
      </c>
    </row>
    <row r="74" spans="1:4" x14ac:dyDescent="0.25">
      <c r="A74" s="15"/>
      <c r="B74" s="313" t="s">
        <v>103</v>
      </c>
      <c r="C74" s="314"/>
      <c r="D74" s="315"/>
    </row>
    <row r="75" spans="1:4" x14ac:dyDescent="0.25">
      <c r="A75" s="15"/>
      <c r="B75" s="26"/>
      <c r="C75" s="17" t="s">
        <v>236</v>
      </c>
      <c r="D75" s="20" t="s">
        <v>109</v>
      </c>
    </row>
    <row r="76" spans="1:4" x14ac:dyDescent="0.25">
      <c r="A76" s="15"/>
      <c r="B76" s="27"/>
      <c r="C76" s="17" t="s">
        <v>237</v>
      </c>
      <c r="D76" s="20" t="s">
        <v>238</v>
      </c>
    </row>
    <row r="77" spans="1:4" x14ac:dyDescent="0.25">
      <c r="A77" s="15"/>
      <c r="B77" s="27"/>
      <c r="C77" s="17" t="s">
        <v>239</v>
      </c>
      <c r="D77" s="20" t="s">
        <v>104</v>
      </c>
    </row>
    <row r="78" spans="1:4" x14ac:dyDescent="0.25">
      <c r="A78" s="15"/>
      <c r="B78" s="27"/>
      <c r="C78" s="17" t="s">
        <v>240</v>
      </c>
      <c r="D78" s="20" t="s">
        <v>241</v>
      </c>
    </row>
    <row r="79" spans="1:4" x14ac:dyDescent="0.25">
      <c r="A79" s="15"/>
      <c r="B79" s="27"/>
      <c r="C79" s="17" t="s">
        <v>242</v>
      </c>
      <c r="D79" s="20" t="s">
        <v>243</v>
      </c>
    </row>
    <row r="80" spans="1:4" x14ac:dyDescent="0.25">
      <c r="A80" s="15"/>
      <c r="B80" s="27"/>
      <c r="C80" s="17" t="s">
        <v>244</v>
      </c>
      <c r="D80" s="20" t="s">
        <v>105</v>
      </c>
    </row>
    <row r="81" spans="1:4" x14ac:dyDescent="0.25">
      <c r="A81" s="15"/>
      <c r="B81" s="27"/>
      <c r="C81" s="17" t="s">
        <v>245</v>
      </c>
      <c r="D81" s="20" t="s">
        <v>106</v>
      </c>
    </row>
    <row r="82" spans="1:4" x14ac:dyDescent="0.25">
      <c r="A82" s="15"/>
      <c r="B82" s="27"/>
      <c r="C82" s="17" t="s">
        <v>246</v>
      </c>
      <c r="D82" s="20" t="s">
        <v>107</v>
      </c>
    </row>
    <row r="83" spans="1:4" x14ac:dyDescent="0.25">
      <c r="A83" s="15"/>
      <c r="B83" s="27"/>
      <c r="C83" s="17" t="s">
        <v>247</v>
      </c>
      <c r="D83" s="20" t="s">
        <v>108</v>
      </c>
    </row>
    <row r="84" spans="1:4" x14ac:dyDescent="0.25">
      <c r="A84" s="15"/>
      <c r="B84" s="27"/>
      <c r="C84" s="17" t="s">
        <v>248</v>
      </c>
      <c r="D84" s="20" t="s">
        <v>249</v>
      </c>
    </row>
    <row r="85" spans="1:4" x14ac:dyDescent="0.25">
      <c r="A85" s="15"/>
      <c r="B85" s="27"/>
      <c r="C85" s="17" t="s">
        <v>250</v>
      </c>
      <c r="D85" s="20" t="s">
        <v>114</v>
      </c>
    </row>
    <row r="86" spans="1:4" x14ac:dyDescent="0.25">
      <c r="A86" s="15"/>
      <c r="B86" s="27"/>
      <c r="C86" s="17" t="s">
        <v>251</v>
      </c>
      <c r="D86" s="20" t="s">
        <v>115</v>
      </c>
    </row>
    <row r="87" spans="1:4" x14ac:dyDescent="0.25">
      <c r="A87" s="15"/>
      <c r="B87" s="27"/>
      <c r="C87" s="17" t="s">
        <v>252</v>
      </c>
      <c r="D87" s="20" t="s">
        <v>116</v>
      </c>
    </row>
    <row r="88" spans="1:4" x14ac:dyDescent="0.25">
      <c r="A88" s="15"/>
      <c r="B88" s="27"/>
      <c r="C88" s="17" t="s">
        <v>253</v>
      </c>
      <c r="D88" s="20" t="s">
        <v>110</v>
      </c>
    </row>
    <row r="89" spans="1:4" x14ac:dyDescent="0.25">
      <c r="A89" s="15"/>
      <c r="B89" s="27"/>
      <c r="C89" s="17" t="s">
        <v>254</v>
      </c>
      <c r="D89" s="20" t="s">
        <v>111</v>
      </c>
    </row>
    <row r="90" spans="1:4" x14ac:dyDescent="0.25">
      <c r="A90" s="15"/>
      <c r="B90" s="27"/>
      <c r="C90" s="17" t="s">
        <v>255</v>
      </c>
      <c r="D90" s="20" t="s">
        <v>113</v>
      </c>
    </row>
    <row r="91" spans="1:4" x14ac:dyDescent="0.25">
      <c r="A91" s="15"/>
      <c r="B91" s="27"/>
      <c r="C91" s="17" t="s">
        <v>256</v>
      </c>
      <c r="D91" s="20" t="s">
        <v>112</v>
      </c>
    </row>
    <row r="92" spans="1:4" x14ac:dyDescent="0.25">
      <c r="A92" s="15"/>
      <c r="B92" s="27"/>
      <c r="C92" s="17" t="s">
        <v>257</v>
      </c>
      <c r="D92" s="20" t="s">
        <v>117</v>
      </c>
    </row>
    <row r="93" spans="1:4" x14ac:dyDescent="0.25">
      <c r="A93" s="15"/>
      <c r="B93" s="27"/>
      <c r="C93" s="17" t="s">
        <v>258</v>
      </c>
      <c r="D93" s="20" t="s">
        <v>118</v>
      </c>
    </row>
    <row r="94" spans="1:4" x14ac:dyDescent="0.25">
      <c r="A94" s="15"/>
      <c r="B94" s="27"/>
      <c r="C94" s="17" t="s">
        <v>259</v>
      </c>
      <c r="D94" s="20" t="s">
        <v>119</v>
      </c>
    </row>
    <row r="95" spans="1:4" x14ac:dyDescent="0.25">
      <c r="A95" s="15"/>
      <c r="B95" s="27"/>
      <c r="C95" s="17" t="s">
        <v>260</v>
      </c>
      <c r="D95" s="20" t="s">
        <v>120</v>
      </c>
    </row>
    <row r="96" spans="1:4" x14ac:dyDescent="0.25">
      <c r="A96" s="15"/>
      <c r="B96" s="30"/>
      <c r="C96" s="31" t="s">
        <v>313</v>
      </c>
      <c r="D96" s="32" t="s">
        <v>314</v>
      </c>
    </row>
    <row r="97" spans="1:4" x14ac:dyDescent="0.25">
      <c r="A97" s="15"/>
      <c r="B97" s="28"/>
      <c r="C97" s="31" t="s">
        <v>315</v>
      </c>
      <c r="D97" s="32" t="s">
        <v>316</v>
      </c>
    </row>
    <row r="98" spans="1:4" x14ac:dyDescent="0.25">
      <c r="A98" s="15"/>
      <c r="B98" s="29"/>
      <c r="C98" s="31" t="s">
        <v>317</v>
      </c>
      <c r="D98" s="32" t="s">
        <v>318</v>
      </c>
    </row>
    <row r="99" spans="1:4" x14ac:dyDescent="0.25">
      <c r="A99" s="15"/>
      <c r="B99" s="313" t="s">
        <v>138</v>
      </c>
      <c r="C99" s="314"/>
      <c r="D99" s="315"/>
    </row>
    <row r="100" spans="1:4" x14ac:dyDescent="0.25">
      <c r="A100" s="15"/>
      <c r="B100" s="310"/>
      <c r="C100" s="11" t="s">
        <v>261</v>
      </c>
      <c r="D100" s="20" t="s">
        <v>262</v>
      </c>
    </row>
    <row r="101" spans="1:4" x14ac:dyDescent="0.25">
      <c r="A101" s="15"/>
      <c r="B101" s="311"/>
      <c r="C101" s="11" t="s">
        <v>263</v>
      </c>
      <c r="D101" s="20" t="s">
        <v>264</v>
      </c>
    </row>
    <row r="102" spans="1:4" x14ac:dyDescent="0.25">
      <c r="A102" s="15"/>
      <c r="B102" s="311"/>
      <c r="C102" s="11" t="s">
        <v>265</v>
      </c>
      <c r="D102" s="20" t="s">
        <v>266</v>
      </c>
    </row>
    <row r="103" spans="1:4" x14ac:dyDescent="0.25">
      <c r="A103" s="15"/>
      <c r="B103" s="312"/>
      <c r="C103" s="11" t="s">
        <v>267</v>
      </c>
      <c r="D103" s="20" t="s">
        <v>139</v>
      </c>
    </row>
    <row r="104" spans="1:4" x14ac:dyDescent="0.25">
      <c r="A104" s="15"/>
      <c r="B104" s="316" t="s">
        <v>309</v>
      </c>
      <c r="C104" s="317"/>
      <c r="D104" s="315"/>
    </row>
    <row r="105" spans="1:4" x14ac:dyDescent="0.25">
      <c r="A105" s="11"/>
      <c r="B105" s="11"/>
      <c r="C105" s="11" t="s">
        <v>310</v>
      </c>
      <c r="D105" s="20" t="s">
        <v>311</v>
      </c>
    </row>
  </sheetData>
  <mergeCells count="23">
    <mergeCell ref="B104:D104"/>
    <mergeCell ref="B62:B65"/>
    <mergeCell ref="B3:B5"/>
    <mergeCell ref="B6:D6"/>
    <mergeCell ref="B2:D2"/>
    <mergeCell ref="B14:B20"/>
    <mergeCell ref="B7:B12"/>
    <mergeCell ref="B52:D52"/>
    <mergeCell ref="B38:D38"/>
    <mergeCell ref="B21:D21"/>
    <mergeCell ref="B13:D13"/>
    <mergeCell ref="B57:D57"/>
    <mergeCell ref="B58:B60"/>
    <mergeCell ref="B53:B56"/>
    <mergeCell ref="B39:B51"/>
    <mergeCell ref="B22:B37"/>
    <mergeCell ref="B100:B103"/>
    <mergeCell ref="B99:D99"/>
    <mergeCell ref="B74:D74"/>
    <mergeCell ref="B69:D69"/>
    <mergeCell ref="B66:D66"/>
    <mergeCell ref="B70:B73"/>
    <mergeCell ref="B67:B6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1"/>
  <sheetViews>
    <sheetView workbookViewId="0">
      <selection activeCell="D2" sqref="D2:D111"/>
    </sheetView>
  </sheetViews>
  <sheetFormatPr defaultRowHeight="15" x14ac:dyDescent="0.25"/>
  <cols>
    <col min="1" max="2" width="9.140625" style="42"/>
    <col min="3" max="3" width="95.140625" style="42" customWidth="1"/>
    <col min="4" max="4" width="13.7109375" style="42" customWidth="1"/>
    <col min="5" max="16384" width="9.140625" style="42"/>
  </cols>
  <sheetData>
    <row r="1" spans="1:4" x14ac:dyDescent="0.25">
      <c r="A1" s="13" t="s">
        <v>268</v>
      </c>
      <c r="B1" s="13"/>
      <c r="C1" s="13" t="s">
        <v>269</v>
      </c>
      <c r="D1" s="13" t="s">
        <v>17</v>
      </c>
    </row>
    <row r="2" spans="1:4" x14ac:dyDescent="0.25">
      <c r="A2" s="36" t="s">
        <v>148</v>
      </c>
      <c r="B2" s="37"/>
      <c r="C2" s="38"/>
      <c r="D2" s="50" t="s">
        <v>5</v>
      </c>
    </row>
    <row r="3" spans="1:4" x14ac:dyDescent="0.25">
      <c r="A3" s="33"/>
      <c r="B3" s="20" t="s">
        <v>149</v>
      </c>
      <c r="C3" s="20" t="s">
        <v>150</v>
      </c>
      <c r="D3" s="50" t="s">
        <v>5</v>
      </c>
    </row>
    <row r="4" spans="1:4" x14ac:dyDescent="0.25">
      <c r="A4" s="34"/>
      <c r="B4" s="20" t="s">
        <v>151</v>
      </c>
      <c r="C4" s="20" t="s">
        <v>152</v>
      </c>
      <c r="D4" s="50" t="s">
        <v>5</v>
      </c>
    </row>
    <row r="5" spans="1:4" x14ac:dyDescent="0.25">
      <c r="A5" s="35"/>
      <c r="B5" s="20" t="s">
        <v>153</v>
      </c>
      <c r="C5" s="20" t="s">
        <v>154</v>
      </c>
      <c r="D5" s="50" t="s">
        <v>5</v>
      </c>
    </row>
    <row r="6" spans="1:4" x14ac:dyDescent="0.25">
      <c r="A6" s="41" t="s">
        <v>140</v>
      </c>
      <c r="B6" s="41"/>
      <c r="C6" s="41"/>
      <c r="D6" s="50" t="s">
        <v>5</v>
      </c>
    </row>
    <row r="7" spans="1:4" x14ac:dyDescent="0.25">
      <c r="A7" s="33"/>
      <c r="B7" s="20" t="s">
        <v>155</v>
      </c>
      <c r="C7" s="20" t="s">
        <v>156</v>
      </c>
      <c r="D7" s="50" t="s">
        <v>5</v>
      </c>
    </row>
    <row r="8" spans="1:4" x14ac:dyDescent="0.25">
      <c r="A8" s="34"/>
      <c r="B8" s="20" t="s">
        <v>157</v>
      </c>
      <c r="C8" s="20" t="s">
        <v>158</v>
      </c>
      <c r="D8" s="50" t="s">
        <v>5</v>
      </c>
    </row>
    <row r="9" spans="1:4" x14ac:dyDescent="0.25">
      <c r="A9" s="34"/>
      <c r="B9" s="20" t="s">
        <v>159</v>
      </c>
      <c r="C9" s="20" t="s">
        <v>160</v>
      </c>
      <c r="D9" s="50" t="s">
        <v>5</v>
      </c>
    </row>
    <row r="10" spans="1:4" x14ac:dyDescent="0.25">
      <c r="A10" s="34"/>
      <c r="B10" s="20" t="s">
        <v>161</v>
      </c>
      <c r="C10" s="20" t="s">
        <v>141</v>
      </c>
      <c r="D10" s="50" t="s">
        <v>5</v>
      </c>
    </row>
    <row r="11" spans="1:4" x14ac:dyDescent="0.25">
      <c r="A11" s="34"/>
      <c r="B11" s="20" t="s">
        <v>162</v>
      </c>
      <c r="C11" s="20" t="s">
        <v>142</v>
      </c>
      <c r="D11" s="50" t="s">
        <v>5</v>
      </c>
    </row>
    <row r="12" spans="1:4" x14ac:dyDescent="0.25">
      <c r="A12" s="34"/>
      <c r="B12" s="21" t="s">
        <v>163</v>
      </c>
      <c r="C12" s="21" t="s">
        <v>143</v>
      </c>
      <c r="D12" s="50" t="s">
        <v>5</v>
      </c>
    </row>
    <row r="13" spans="1:4" x14ac:dyDescent="0.25">
      <c r="A13" s="41" t="s">
        <v>135</v>
      </c>
      <c r="B13" s="41"/>
      <c r="C13" s="41"/>
      <c r="D13" s="50" t="s">
        <v>5</v>
      </c>
    </row>
    <row r="14" spans="1:4" x14ac:dyDescent="0.25">
      <c r="A14" s="34"/>
      <c r="B14" s="22" t="s">
        <v>164</v>
      </c>
      <c r="C14" s="22" t="s">
        <v>165</v>
      </c>
      <c r="D14" s="50" t="s">
        <v>5</v>
      </c>
    </row>
    <row r="15" spans="1:4" x14ac:dyDescent="0.25">
      <c r="A15" s="34"/>
      <c r="B15" s="20" t="s">
        <v>166</v>
      </c>
      <c r="C15" s="20" t="s">
        <v>167</v>
      </c>
      <c r="D15" s="50" t="s">
        <v>5</v>
      </c>
    </row>
    <row r="16" spans="1:4" x14ac:dyDescent="0.25">
      <c r="A16" s="34"/>
      <c r="B16" s="20" t="s">
        <v>168</v>
      </c>
      <c r="C16" s="20" t="s">
        <v>169</v>
      </c>
      <c r="D16" s="50" t="s">
        <v>5</v>
      </c>
    </row>
    <row r="17" spans="1:4" x14ac:dyDescent="0.25">
      <c r="A17" s="34"/>
      <c r="B17" s="20" t="s">
        <v>170</v>
      </c>
      <c r="C17" s="20" t="s">
        <v>171</v>
      </c>
      <c r="D17" s="50" t="s">
        <v>5</v>
      </c>
    </row>
    <row r="18" spans="1:4" x14ac:dyDescent="0.25">
      <c r="A18" s="34"/>
      <c r="B18" s="20" t="s">
        <v>172</v>
      </c>
      <c r="C18" s="20" t="s">
        <v>173</v>
      </c>
      <c r="D18" s="50" t="s">
        <v>5</v>
      </c>
    </row>
    <row r="19" spans="1:4" x14ac:dyDescent="0.25">
      <c r="A19" s="34"/>
      <c r="B19" s="20" t="s">
        <v>174</v>
      </c>
      <c r="C19" s="20" t="s">
        <v>136</v>
      </c>
      <c r="D19" s="50" t="s">
        <v>5</v>
      </c>
    </row>
    <row r="20" spans="1:4" x14ac:dyDescent="0.25">
      <c r="A20" s="35"/>
      <c r="B20" s="20" t="s">
        <v>175</v>
      </c>
      <c r="C20" s="20" t="s">
        <v>137</v>
      </c>
      <c r="D20" s="50" t="s">
        <v>5</v>
      </c>
    </row>
    <row r="21" spans="1:4" x14ac:dyDescent="0.25">
      <c r="A21" s="41" t="s">
        <v>121</v>
      </c>
      <c r="B21" s="41"/>
      <c r="C21" s="41"/>
      <c r="D21" s="50" t="s">
        <v>5</v>
      </c>
    </row>
    <row r="22" spans="1:4" x14ac:dyDescent="0.25">
      <c r="A22" s="33"/>
      <c r="B22" s="20" t="s">
        <v>176</v>
      </c>
      <c r="C22" s="20" t="s">
        <v>177</v>
      </c>
      <c r="D22" s="50" t="s">
        <v>5</v>
      </c>
    </row>
    <row r="23" spans="1:4" x14ac:dyDescent="0.25">
      <c r="A23" s="34"/>
      <c r="B23" s="20" t="s">
        <v>178</v>
      </c>
      <c r="C23" s="20" t="s">
        <v>179</v>
      </c>
      <c r="D23" s="50" t="s">
        <v>5</v>
      </c>
    </row>
    <row r="24" spans="1:4" x14ac:dyDescent="0.25">
      <c r="A24" s="34"/>
      <c r="B24" s="20" t="s">
        <v>180</v>
      </c>
      <c r="C24" s="20" t="s">
        <v>181</v>
      </c>
      <c r="D24" s="50" t="s">
        <v>5</v>
      </c>
    </row>
    <row r="25" spans="1:4" x14ac:dyDescent="0.25">
      <c r="A25" s="34"/>
      <c r="B25" s="20" t="s">
        <v>182</v>
      </c>
      <c r="C25" s="20" t="s">
        <v>150</v>
      </c>
      <c r="D25" s="50" t="s">
        <v>5</v>
      </c>
    </row>
    <row r="26" spans="1:4" x14ac:dyDescent="0.25">
      <c r="A26" s="34"/>
      <c r="B26" s="20" t="s">
        <v>183</v>
      </c>
      <c r="C26" s="20" t="s">
        <v>184</v>
      </c>
      <c r="D26" s="50" t="s">
        <v>5</v>
      </c>
    </row>
    <row r="27" spans="1:4" x14ac:dyDescent="0.25">
      <c r="A27" s="34"/>
      <c r="B27" s="20" t="s">
        <v>185</v>
      </c>
      <c r="C27" s="20" t="s">
        <v>186</v>
      </c>
      <c r="D27" s="50" t="s">
        <v>5</v>
      </c>
    </row>
    <row r="28" spans="1:4" x14ac:dyDescent="0.25">
      <c r="A28" s="34"/>
      <c r="B28" s="20" t="s">
        <v>187</v>
      </c>
      <c r="C28" s="20" t="s">
        <v>122</v>
      </c>
      <c r="D28" s="50" t="s">
        <v>5</v>
      </c>
    </row>
    <row r="29" spans="1:4" x14ac:dyDescent="0.25">
      <c r="A29" s="34"/>
      <c r="B29" s="20" t="s">
        <v>188</v>
      </c>
      <c r="C29" s="20" t="s">
        <v>123</v>
      </c>
      <c r="D29" s="50" t="s">
        <v>5</v>
      </c>
    </row>
    <row r="30" spans="1:4" x14ac:dyDescent="0.25">
      <c r="A30" s="34"/>
      <c r="B30" s="43" t="s">
        <v>189</v>
      </c>
      <c r="C30" s="20" t="s">
        <v>124</v>
      </c>
      <c r="D30" s="50" t="s">
        <v>5</v>
      </c>
    </row>
    <row r="31" spans="1:4" x14ac:dyDescent="0.25">
      <c r="A31" s="34"/>
      <c r="B31" s="43" t="s">
        <v>190</v>
      </c>
      <c r="C31" s="20" t="s">
        <v>125</v>
      </c>
      <c r="D31" s="50" t="s">
        <v>5</v>
      </c>
    </row>
    <row r="32" spans="1:4" x14ac:dyDescent="0.25">
      <c r="A32" s="34"/>
      <c r="B32" s="43" t="s">
        <v>191</v>
      </c>
      <c r="C32" s="20" t="s">
        <v>126</v>
      </c>
      <c r="D32" s="50" t="s">
        <v>5</v>
      </c>
    </row>
    <row r="33" spans="1:4" x14ac:dyDescent="0.25">
      <c r="A33" s="34"/>
      <c r="B33" s="43" t="s">
        <v>192</v>
      </c>
      <c r="C33" s="20" t="s">
        <v>127</v>
      </c>
      <c r="D33" s="50" t="s">
        <v>5</v>
      </c>
    </row>
    <row r="34" spans="1:4" x14ac:dyDescent="0.25">
      <c r="A34" s="34"/>
      <c r="B34" s="43" t="s">
        <v>193</v>
      </c>
      <c r="C34" s="20" t="s">
        <v>128</v>
      </c>
      <c r="D34" s="50" t="s">
        <v>5</v>
      </c>
    </row>
    <row r="35" spans="1:4" x14ac:dyDescent="0.25">
      <c r="A35" s="34"/>
      <c r="B35" s="43" t="s">
        <v>194</v>
      </c>
      <c r="C35" s="20" t="s">
        <v>129</v>
      </c>
      <c r="D35" s="50" t="s">
        <v>5</v>
      </c>
    </row>
    <row r="36" spans="1:4" x14ac:dyDescent="0.25">
      <c r="A36" s="34"/>
      <c r="B36" s="43" t="s">
        <v>195</v>
      </c>
      <c r="C36" s="20" t="s">
        <v>130</v>
      </c>
      <c r="D36" s="50" t="s">
        <v>5</v>
      </c>
    </row>
    <row r="37" spans="1:4" x14ac:dyDescent="0.25">
      <c r="A37" s="35"/>
      <c r="B37" s="43" t="s">
        <v>196</v>
      </c>
      <c r="C37" s="20" t="s">
        <v>131</v>
      </c>
      <c r="D37" s="50" t="s">
        <v>5</v>
      </c>
    </row>
    <row r="38" spans="1:4" x14ac:dyDescent="0.25">
      <c r="A38" s="35"/>
      <c r="B38" s="43" t="s">
        <v>370</v>
      </c>
      <c r="C38" s="51" t="s">
        <v>372</v>
      </c>
      <c r="D38" s="50" t="s">
        <v>5</v>
      </c>
    </row>
    <row r="39" spans="1:4" x14ac:dyDescent="0.25">
      <c r="A39" s="35"/>
      <c r="B39" s="43" t="s">
        <v>371</v>
      </c>
      <c r="C39" s="52" t="s">
        <v>373</v>
      </c>
      <c r="D39" s="50" t="s">
        <v>5</v>
      </c>
    </row>
    <row r="40" spans="1:4" x14ac:dyDescent="0.25">
      <c r="A40" s="41" t="s">
        <v>89</v>
      </c>
      <c r="B40" s="41"/>
      <c r="C40" s="41"/>
      <c r="D40" s="50" t="s">
        <v>5</v>
      </c>
    </row>
    <row r="41" spans="1:4" x14ac:dyDescent="0.25">
      <c r="A41" s="33"/>
      <c r="B41" s="20" t="s">
        <v>197</v>
      </c>
      <c r="C41" s="20" t="s">
        <v>198</v>
      </c>
      <c r="D41" s="50" t="s">
        <v>5</v>
      </c>
    </row>
    <row r="42" spans="1:4" x14ac:dyDescent="0.25">
      <c r="A42" s="34"/>
      <c r="B42" s="20" t="s">
        <v>199</v>
      </c>
      <c r="C42" s="20" t="s">
        <v>200</v>
      </c>
      <c r="D42" s="50" t="s">
        <v>5</v>
      </c>
    </row>
    <row r="43" spans="1:4" x14ac:dyDescent="0.25">
      <c r="A43" s="34"/>
      <c r="B43" s="20" t="s">
        <v>201</v>
      </c>
      <c r="C43" s="20" t="s">
        <v>202</v>
      </c>
      <c r="D43" s="50" t="s">
        <v>5</v>
      </c>
    </row>
    <row r="44" spans="1:4" x14ac:dyDescent="0.25">
      <c r="A44" s="34"/>
      <c r="B44" s="20" t="s">
        <v>203</v>
      </c>
      <c r="C44" s="20" t="s">
        <v>204</v>
      </c>
      <c r="D44" s="50" t="s">
        <v>5</v>
      </c>
    </row>
    <row r="45" spans="1:4" x14ac:dyDescent="0.25">
      <c r="A45" s="34"/>
      <c r="B45" s="20" t="s">
        <v>205</v>
      </c>
      <c r="C45" s="20" t="s">
        <v>206</v>
      </c>
      <c r="D45" s="50" t="s">
        <v>5</v>
      </c>
    </row>
    <row r="46" spans="1:4" x14ac:dyDescent="0.25">
      <c r="A46" s="34"/>
      <c r="B46" s="20" t="s">
        <v>207</v>
      </c>
      <c r="C46" s="20" t="s">
        <v>90</v>
      </c>
      <c r="D46" s="50" t="s">
        <v>5</v>
      </c>
    </row>
    <row r="47" spans="1:4" x14ac:dyDescent="0.25">
      <c r="A47" s="34"/>
      <c r="B47" s="20" t="s">
        <v>208</v>
      </c>
      <c r="C47" s="20" t="s">
        <v>91</v>
      </c>
      <c r="D47" s="50" t="s">
        <v>5</v>
      </c>
    </row>
    <row r="48" spans="1:4" x14ac:dyDescent="0.25">
      <c r="A48" s="34"/>
      <c r="B48" s="20" t="s">
        <v>209</v>
      </c>
      <c r="C48" s="20" t="s">
        <v>92</v>
      </c>
      <c r="D48" s="50" t="s">
        <v>5</v>
      </c>
    </row>
    <row r="49" spans="1:4" x14ac:dyDescent="0.25">
      <c r="A49" s="34"/>
      <c r="B49" s="20" t="s">
        <v>210</v>
      </c>
      <c r="C49" s="20" t="s">
        <v>93</v>
      </c>
      <c r="D49" s="50" t="s">
        <v>5</v>
      </c>
    </row>
    <row r="50" spans="1:4" x14ac:dyDescent="0.25">
      <c r="A50" s="34"/>
      <c r="B50" s="20" t="s">
        <v>211</v>
      </c>
      <c r="C50" s="20" t="s">
        <v>94</v>
      </c>
      <c r="D50" s="50" t="s">
        <v>5</v>
      </c>
    </row>
    <row r="51" spans="1:4" x14ac:dyDescent="0.25">
      <c r="A51" s="34"/>
      <c r="B51" s="20" t="s">
        <v>212</v>
      </c>
      <c r="C51" s="20" t="s">
        <v>95</v>
      </c>
      <c r="D51" s="50" t="s">
        <v>5</v>
      </c>
    </row>
    <row r="52" spans="1:4" x14ac:dyDescent="0.25">
      <c r="A52" s="34"/>
      <c r="B52" s="20" t="s">
        <v>213</v>
      </c>
      <c r="C52" s="20" t="s">
        <v>96</v>
      </c>
      <c r="D52" s="50" t="s">
        <v>5</v>
      </c>
    </row>
    <row r="53" spans="1:4" x14ac:dyDescent="0.25">
      <c r="A53" s="34"/>
      <c r="B53" s="21" t="s">
        <v>214</v>
      </c>
      <c r="C53" s="21" t="s">
        <v>97</v>
      </c>
      <c r="D53" s="50" t="s">
        <v>5</v>
      </c>
    </row>
    <row r="54" spans="1:4" x14ac:dyDescent="0.25">
      <c r="A54" s="41" t="s">
        <v>132</v>
      </c>
      <c r="B54" s="41"/>
      <c r="C54" s="41"/>
      <c r="D54" s="50" t="s">
        <v>5</v>
      </c>
    </row>
    <row r="55" spans="1:4" x14ac:dyDescent="0.25">
      <c r="A55" s="34"/>
      <c r="B55" s="22" t="s">
        <v>215</v>
      </c>
      <c r="C55" s="22" t="s">
        <v>216</v>
      </c>
      <c r="D55" s="50" t="s">
        <v>5</v>
      </c>
    </row>
    <row r="56" spans="1:4" x14ac:dyDescent="0.25">
      <c r="A56" s="34"/>
      <c r="B56" s="20" t="s">
        <v>217</v>
      </c>
      <c r="C56" s="20" t="s">
        <v>150</v>
      </c>
      <c r="D56" s="50" t="s">
        <v>5</v>
      </c>
    </row>
    <row r="57" spans="1:4" x14ac:dyDescent="0.25">
      <c r="A57" s="34"/>
      <c r="B57" s="20" t="s">
        <v>218</v>
      </c>
      <c r="C57" s="20" t="s">
        <v>133</v>
      </c>
      <c r="D57" s="50" t="s">
        <v>5</v>
      </c>
    </row>
    <row r="58" spans="1:4" x14ac:dyDescent="0.25">
      <c r="A58" s="35"/>
      <c r="B58" s="20" t="s">
        <v>219</v>
      </c>
      <c r="C58" s="20" t="s">
        <v>134</v>
      </c>
      <c r="D58" s="50" t="s">
        <v>5</v>
      </c>
    </row>
    <row r="59" spans="1:4" x14ac:dyDescent="0.25">
      <c r="A59" s="36" t="s">
        <v>147</v>
      </c>
      <c r="B59" s="37"/>
      <c r="C59" s="38"/>
      <c r="D59" s="50" t="s">
        <v>5</v>
      </c>
    </row>
    <row r="60" spans="1:4" x14ac:dyDescent="0.25">
      <c r="A60" s="33"/>
      <c r="B60" s="20" t="s">
        <v>220</v>
      </c>
      <c r="C60" s="20" t="s">
        <v>221</v>
      </c>
      <c r="D60" s="50" t="s">
        <v>5</v>
      </c>
    </row>
    <row r="61" spans="1:4" x14ac:dyDescent="0.25">
      <c r="A61" s="34"/>
      <c r="B61" s="20" t="s">
        <v>222</v>
      </c>
      <c r="C61" s="20" t="s">
        <v>223</v>
      </c>
      <c r="D61" s="50" t="s">
        <v>5</v>
      </c>
    </row>
    <row r="62" spans="1:4" x14ac:dyDescent="0.25">
      <c r="A62" s="35"/>
      <c r="B62" s="20" t="s">
        <v>224</v>
      </c>
      <c r="C62" s="20" t="s">
        <v>225</v>
      </c>
      <c r="D62" s="50" t="s">
        <v>5</v>
      </c>
    </row>
    <row r="63" spans="1:4" x14ac:dyDescent="0.25">
      <c r="A63" s="12" t="s">
        <v>98</v>
      </c>
      <c r="C63" s="20"/>
      <c r="D63" s="50" t="s">
        <v>5</v>
      </c>
    </row>
    <row r="64" spans="1:4" x14ac:dyDescent="0.25">
      <c r="A64" s="33"/>
      <c r="B64" s="20" t="s">
        <v>226</v>
      </c>
      <c r="C64" s="20" t="s">
        <v>99</v>
      </c>
      <c r="D64" s="50" t="s">
        <v>5</v>
      </c>
    </row>
    <row r="65" spans="1:4" x14ac:dyDescent="0.25">
      <c r="A65" s="34"/>
      <c r="B65" s="20" t="s">
        <v>227</v>
      </c>
      <c r="C65" s="20" t="s">
        <v>100</v>
      </c>
      <c r="D65" s="50" t="s">
        <v>5</v>
      </c>
    </row>
    <row r="66" spans="1:4" x14ac:dyDescent="0.25">
      <c r="A66" s="34"/>
      <c r="B66" s="20" t="s">
        <v>228</v>
      </c>
      <c r="C66" s="20" t="s">
        <v>101</v>
      </c>
      <c r="D66" s="50" t="s">
        <v>5</v>
      </c>
    </row>
    <row r="67" spans="1:4" x14ac:dyDescent="0.25">
      <c r="A67" s="35"/>
      <c r="B67" s="20" t="s">
        <v>229</v>
      </c>
      <c r="C67" s="20" t="s">
        <v>102</v>
      </c>
      <c r="D67" s="50" t="s">
        <v>5</v>
      </c>
    </row>
    <row r="68" spans="1:4" x14ac:dyDescent="0.25">
      <c r="A68" s="36" t="s">
        <v>144</v>
      </c>
      <c r="B68" s="37"/>
      <c r="C68" s="38"/>
      <c r="D68" s="50" t="s">
        <v>5</v>
      </c>
    </row>
    <row r="69" spans="1:4" x14ac:dyDescent="0.25">
      <c r="A69" s="33"/>
      <c r="B69" s="20" t="s">
        <v>230</v>
      </c>
      <c r="C69" s="20" t="s">
        <v>145</v>
      </c>
      <c r="D69" s="50" t="s">
        <v>5</v>
      </c>
    </row>
    <row r="70" spans="1:4" x14ac:dyDescent="0.25">
      <c r="A70" s="35"/>
      <c r="B70" s="20" t="s">
        <v>231</v>
      </c>
      <c r="C70" s="20" t="s">
        <v>146</v>
      </c>
      <c r="D70" s="50" t="s">
        <v>5</v>
      </c>
    </row>
    <row r="71" spans="1:4" x14ac:dyDescent="0.25">
      <c r="A71" s="36" t="s">
        <v>84</v>
      </c>
      <c r="B71" s="37"/>
      <c r="C71" s="38"/>
      <c r="D71" s="50" t="s">
        <v>5</v>
      </c>
    </row>
    <row r="72" spans="1:4" x14ac:dyDescent="0.25">
      <c r="A72" s="33"/>
      <c r="B72" s="20" t="s">
        <v>232</v>
      </c>
      <c r="C72" s="20" t="s">
        <v>85</v>
      </c>
      <c r="D72" s="50" t="s">
        <v>5</v>
      </c>
    </row>
    <row r="73" spans="1:4" x14ac:dyDescent="0.25">
      <c r="A73" s="34"/>
      <c r="B73" s="20" t="s">
        <v>233</v>
      </c>
      <c r="C73" s="20" t="s">
        <v>86</v>
      </c>
      <c r="D73" s="50" t="s">
        <v>5</v>
      </c>
    </row>
    <row r="74" spans="1:4" x14ac:dyDescent="0.25">
      <c r="A74" s="34"/>
      <c r="B74" s="20" t="s">
        <v>234</v>
      </c>
      <c r="C74" s="20" t="s">
        <v>87</v>
      </c>
      <c r="D74" s="50" t="s">
        <v>5</v>
      </c>
    </row>
    <row r="75" spans="1:4" x14ac:dyDescent="0.25">
      <c r="A75" s="35"/>
      <c r="B75" s="20" t="s">
        <v>235</v>
      </c>
      <c r="C75" s="20" t="s">
        <v>88</v>
      </c>
      <c r="D75" s="50" t="s">
        <v>5</v>
      </c>
    </row>
    <row r="76" spans="1:4" x14ac:dyDescent="0.25">
      <c r="A76" s="36" t="s">
        <v>103</v>
      </c>
      <c r="B76" s="37"/>
      <c r="C76" s="38"/>
      <c r="D76" s="50" t="s">
        <v>5</v>
      </c>
    </row>
    <row r="77" spans="1:4" x14ac:dyDescent="0.25">
      <c r="A77" s="39"/>
      <c r="B77" s="44" t="s">
        <v>353</v>
      </c>
      <c r="C77" s="45" t="s">
        <v>354</v>
      </c>
      <c r="D77" s="50" t="s">
        <v>5</v>
      </c>
    </row>
    <row r="78" spans="1:4" x14ac:dyDescent="0.25">
      <c r="A78" s="26"/>
      <c r="B78" s="46" t="s">
        <v>236</v>
      </c>
      <c r="C78" s="20" t="s">
        <v>109</v>
      </c>
      <c r="D78" s="50" t="s">
        <v>5</v>
      </c>
    </row>
    <row r="79" spans="1:4" x14ac:dyDescent="0.25">
      <c r="A79" s="27"/>
      <c r="B79" s="46" t="s">
        <v>237</v>
      </c>
      <c r="C79" s="20" t="s">
        <v>238</v>
      </c>
      <c r="D79" s="50" t="s">
        <v>5</v>
      </c>
    </row>
    <row r="80" spans="1:4" x14ac:dyDescent="0.25">
      <c r="A80" s="27"/>
      <c r="B80" s="46" t="s">
        <v>239</v>
      </c>
      <c r="C80" s="20" t="s">
        <v>104</v>
      </c>
      <c r="D80" s="50" t="s">
        <v>5</v>
      </c>
    </row>
    <row r="81" spans="1:4" x14ac:dyDescent="0.25">
      <c r="A81" s="27"/>
      <c r="B81" s="47" t="s">
        <v>355</v>
      </c>
      <c r="C81" s="43" t="s">
        <v>356</v>
      </c>
      <c r="D81" s="50" t="s">
        <v>5</v>
      </c>
    </row>
    <row r="82" spans="1:4" x14ac:dyDescent="0.25">
      <c r="A82" s="27"/>
      <c r="B82" s="46" t="s">
        <v>240</v>
      </c>
      <c r="C82" s="20" t="s">
        <v>241</v>
      </c>
      <c r="D82" s="50" t="s">
        <v>5</v>
      </c>
    </row>
    <row r="83" spans="1:4" x14ac:dyDescent="0.25">
      <c r="A83" s="27"/>
      <c r="B83" s="46" t="s">
        <v>242</v>
      </c>
      <c r="C83" s="20" t="s">
        <v>243</v>
      </c>
      <c r="D83" s="50" t="s">
        <v>5</v>
      </c>
    </row>
    <row r="84" spans="1:4" x14ac:dyDescent="0.25">
      <c r="A84" s="27"/>
      <c r="B84" s="46" t="s">
        <v>244</v>
      </c>
      <c r="C84" s="20" t="s">
        <v>105</v>
      </c>
      <c r="D84" s="50" t="s">
        <v>5</v>
      </c>
    </row>
    <row r="85" spans="1:4" x14ac:dyDescent="0.25">
      <c r="A85" s="27"/>
      <c r="B85" s="46" t="s">
        <v>245</v>
      </c>
      <c r="C85" s="20" t="s">
        <v>106</v>
      </c>
      <c r="D85" s="50" t="s">
        <v>5</v>
      </c>
    </row>
    <row r="86" spans="1:4" x14ac:dyDescent="0.25">
      <c r="A86" s="27"/>
      <c r="B86" s="46" t="s">
        <v>246</v>
      </c>
      <c r="C86" s="20" t="s">
        <v>107</v>
      </c>
      <c r="D86" s="50" t="s">
        <v>5</v>
      </c>
    </row>
    <row r="87" spans="1:4" x14ac:dyDescent="0.25">
      <c r="A87" s="27"/>
      <c r="B87" s="46" t="s">
        <v>247</v>
      </c>
      <c r="C87" s="20" t="s">
        <v>108</v>
      </c>
      <c r="D87" s="50" t="s">
        <v>5</v>
      </c>
    </row>
    <row r="88" spans="1:4" x14ac:dyDescent="0.25">
      <c r="A88" s="27"/>
      <c r="B88" s="46" t="s">
        <v>248</v>
      </c>
      <c r="C88" s="20" t="s">
        <v>249</v>
      </c>
      <c r="D88" s="50" t="s">
        <v>5</v>
      </c>
    </row>
    <row r="89" spans="1:4" x14ac:dyDescent="0.25">
      <c r="A89" s="27"/>
      <c r="B89" s="46" t="s">
        <v>250</v>
      </c>
      <c r="C89" s="20" t="s">
        <v>114</v>
      </c>
      <c r="D89" s="50" t="s">
        <v>5</v>
      </c>
    </row>
    <row r="90" spans="1:4" x14ac:dyDescent="0.25">
      <c r="A90" s="27"/>
      <c r="B90" s="46" t="s">
        <v>251</v>
      </c>
      <c r="C90" s="20" t="s">
        <v>115</v>
      </c>
      <c r="D90" s="50" t="s">
        <v>5</v>
      </c>
    </row>
    <row r="91" spans="1:4" x14ac:dyDescent="0.25">
      <c r="A91" s="27"/>
      <c r="B91" s="46" t="s">
        <v>252</v>
      </c>
      <c r="C91" s="20" t="s">
        <v>116</v>
      </c>
      <c r="D91" s="50" t="s">
        <v>5</v>
      </c>
    </row>
    <row r="92" spans="1:4" x14ac:dyDescent="0.25">
      <c r="A92" s="27"/>
      <c r="B92" s="46" t="s">
        <v>253</v>
      </c>
      <c r="C92" s="20" t="s">
        <v>110</v>
      </c>
      <c r="D92" s="50" t="s">
        <v>5</v>
      </c>
    </row>
    <row r="93" spans="1:4" x14ac:dyDescent="0.25">
      <c r="A93" s="27"/>
      <c r="B93" s="46" t="s">
        <v>254</v>
      </c>
      <c r="C93" s="20" t="s">
        <v>111</v>
      </c>
      <c r="D93" s="50" t="s">
        <v>5</v>
      </c>
    </row>
    <row r="94" spans="1:4" x14ac:dyDescent="0.25">
      <c r="A94" s="27"/>
      <c r="B94" s="46" t="s">
        <v>255</v>
      </c>
      <c r="C94" s="20" t="s">
        <v>113</v>
      </c>
      <c r="D94" s="50" t="s">
        <v>5</v>
      </c>
    </row>
    <row r="95" spans="1:4" x14ac:dyDescent="0.25">
      <c r="A95" s="27"/>
      <c r="B95" s="46" t="s">
        <v>256</v>
      </c>
      <c r="C95" s="20" t="s">
        <v>112</v>
      </c>
      <c r="D95" s="50" t="s">
        <v>5</v>
      </c>
    </row>
    <row r="96" spans="1:4" x14ac:dyDescent="0.25">
      <c r="A96" s="27"/>
      <c r="B96" s="46" t="s">
        <v>257</v>
      </c>
      <c r="C96" s="20" t="s">
        <v>117</v>
      </c>
      <c r="D96" s="50" t="s">
        <v>5</v>
      </c>
    </row>
    <row r="97" spans="1:4" x14ac:dyDescent="0.25">
      <c r="A97" s="27"/>
      <c r="B97" s="46" t="s">
        <v>258</v>
      </c>
      <c r="C97" s="20" t="s">
        <v>118</v>
      </c>
      <c r="D97" s="50" t="s">
        <v>5</v>
      </c>
    </row>
    <row r="98" spans="1:4" x14ac:dyDescent="0.25">
      <c r="A98" s="27"/>
      <c r="B98" s="46" t="s">
        <v>259</v>
      </c>
      <c r="C98" s="20" t="s">
        <v>119</v>
      </c>
      <c r="D98" s="50" t="s">
        <v>5</v>
      </c>
    </row>
    <row r="99" spans="1:4" x14ac:dyDescent="0.25">
      <c r="A99" s="27"/>
      <c r="B99" s="47" t="s">
        <v>357</v>
      </c>
      <c r="C99" s="43" t="s">
        <v>358</v>
      </c>
      <c r="D99" s="50" t="s">
        <v>5</v>
      </c>
    </row>
    <row r="100" spans="1:4" x14ac:dyDescent="0.25">
      <c r="A100" s="27"/>
      <c r="B100" s="47" t="s">
        <v>359</v>
      </c>
      <c r="C100" s="43" t="s">
        <v>360</v>
      </c>
      <c r="D100" s="50" t="s">
        <v>5</v>
      </c>
    </row>
    <row r="101" spans="1:4" x14ac:dyDescent="0.25">
      <c r="A101" s="27"/>
      <c r="B101" s="46" t="s">
        <v>260</v>
      </c>
      <c r="C101" s="20" t="s">
        <v>120</v>
      </c>
      <c r="D101" s="50" t="s">
        <v>5</v>
      </c>
    </row>
    <row r="102" spans="1:4" x14ac:dyDescent="0.25">
      <c r="A102" s="30"/>
      <c r="B102" s="48" t="s">
        <v>313</v>
      </c>
      <c r="C102" s="49" t="s">
        <v>314</v>
      </c>
      <c r="D102" s="50" t="s">
        <v>5</v>
      </c>
    </row>
    <row r="103" spans="1:4" x14ac:dyDescent="0.25">
      <c r="A103" s="28"/>
      <c r="B103" s="48" t="s">
        <v>315</v>
      </c>
      <c r="C103" s="49" t="s">
        <v>316</v>
      </c>
      <c r="D103" s="50" t="s">
        <v>5</v>
      </c>
    </row>
    <row r="104" spans="1:4" x14ac:dyDescent="0.25">
      <c r="A104" s="29"/>
      <c r="B104" s="48" t="s">
        <v>317</v>
      </c>
      <c r="C104" s="49" t="s">
        <v>318</v>
      </c>
      <c r="D104" s="50" t="s">
        <v>5</v>
      </c>
    </row>
    <row r="105" spans="1:4" x14ac:dyDescent="0.25">
      <c r="A105" s="36" t="s">
        <v>138</v>
      </c>
      <c r="B105" s="37"/>
      <c r="C105" s="38"/>
      <c r="D105" s="50" t="s">
        <v>5</v>
      </c>
    </row>
    <row r="106" spans="1:4" x14ac:dyDescent="0.25">
      <c r="A106" s="33"/>
      <c r="B106" s="20" t="s">
        <v>261</v>
      </c>
      <c r="C106" s="20" t="s">
        <v>262</v>
      </c>
      <c r="D106" s="50" t="s">
        <v>5</v>
      </c>
    </row>
    <row r="107" spans="1:4" x14ac:dyDescent="0.25">
      <c r="A107" s="34"/>
      <c r="B107" s="20" t="s">
        <v>263</v>
      </c>
      <c r="C107" s="20" t="s">
        <v>264</v>
      </c>
      <c r="D107" s="50" t="s">
        <v>5</v>
      </c>
    </row>
    <row r="108" spans="1:4" x14ac:dyDescent="0.25">
      <c r="A108" s="34"/>
      <c r="B108" s="20" t="s">
        <v>265</v>
      </c>
      <c r="C108" s="20" t="s">
        <v>266</v>
      </c>
      <c r="D108" s="50" t="s">
        <v>5</v>
      </c>
    </row>
    <row r="109" spans="1:4" x14ac:dyDescent="0.25">
      <c r="A109" s="35"/>
      <c r="B109" s="20" t="s">
        <v>267</v>
      </c>
      <c r="C109" s="20" t="s">
        <v>139</v>
      </c>
      <c r="D109" s="50" t="s">
        <v>5</v>
      </c>
    </row>
    <row r="110" spans="1:4" x14ac:dyDescent="0.25">
      <c r="A110" s="39" t="s">
        <v>309</v>
      </c>
      <c r="B110" s="40"/>
      <c r="C110" s="38"/>
      <c r="D110" s="50" t="s">
        <v>5</v>
      </c>
    </row>
    <row r="111" spans="1:4" x14ac:dyDescent="0.25">
      <c r="A111" s="20"/>
      <c r="B111" s="43" t="s">
        <v>361</v>
      </c>
      <c r="C111" s="20" t="s">
        <v>311</v>
      </c>
      <c r="D111" s="50" t="s">
        <v>5</v>
      </c>
    </row>
  </sheetData>
  <conditionalFormatting sqref="D2:D111">
    <cfRule type="cellIs" dxfId="83" priority="36" operator="equal">
      <formula>"Not Tested"</formula>
    </cfRule>
    <cfRule type="cellIs" dxfId="82" priority="37" operator="equal">
      <formula>"Pending"</formula>
    </cfRule>
    <cfRule type="cellIs" dxfId="81" priority="38" operator="equal">
      <formula>"Ongoing"</formula>
    </cfRule>
    <cfRule type="cellIs" dxfId="80" priority="39" operator="equal">
      <formula>"Blocked"</formula>
    </cfRule>
    <cfRule type="cellIs" dxfId="79" priority="40" operator="equal">
      <formula>"Fail"</formula>
    </cfRule>
    <cfRule type="cellIs" dxfId="78" priority="41" operator="equal">
      <formula>"Partially Fail"</formula>
    </cfRule>
    <cfRule type="cellIs" dxfId="77" priority="42" operator="equal">
      <formula>"Pass"</formula>
    </cfRule>
  </conditionalFormatting>
  <conditionalFormatting sqref="D2:D111">
    <cfRule type="cellIs" dxfId="76" priority="29" operator="equal">
      <formula>"Not Tested"</formula>
    </cfRule>
    <cfRule type="cellIs" dxfId="75" priority="30" operator="equal">
      <formula>"Pending"</formula>
    </cfRule>
    <cfRule type="cellIs" dxfId="74" priority="31" operator="equal">
      <formula>"Ongoing"</formula>
    </cfRule>
    <cfRule type="cellIs" dxfId="73" priority="32" operator="equal">
      <formula>"Blocked"</formula>
    </cfRule>
    <cfRule type="cellIs" dxfId="72" priority="33" operator="equal">
      <formula>"Fail"</formula>
    </cfRule>
    <cfRule type="cellIs" dxfId="71" priority="34" operator="equal">
      <formula>"Partially Pass"</formula>
    </cfRule>
    <cfRule type="cellIs" dxfId="70" priority="35" operator="equal">
      <formula>"Pass"</formula>
    </cfRule>
  </conditionalFormatting>
  <conditionalFormatting sqref="D2:D111">
    <cfRule type="cellIs" dxfId="69" priority="22" operator="equal">
      <formula>"Not Tested"</formula>
    </cfRule>
    <cfRule type="cellIs" dxfId="68" priority="23" operator="equal">
      <formula>"Pending"</formula>
    </cfRule>
    <cfRule type="cellIs" dxfId="67" priority="24" operator="equal">
      <formula>"Ongoing"</formula>
    </cfRule>
    <cfRule type="cellIs" dxfId="66" priority="25" operator="equal">
      <formula>"Blocked"</formula>
    </cfRule>
    <cfRule type="cellIs" dxfId="65" priority="26" operator="equal">
      <formula>"Fail"</formula>
    </cfRule>
    <cfRule type="cellIs" dxfId="64" priority="27" operator="equal">
      <formula>"Partially Fail"</formula>
    </cfRule>
    <cfRule type="cellIs" dxfId="63" priority="28" operator="equal">
      <formula>"Pass"</formula>
    </cfRule>
  </conditionalFormatting>
  <conditionalFormatting sqref="D2:D111">
    <cfRule type="cellIs" dxfId="62" priority="15" operator="equal">
      <formula>"Not Tested"</formula>
    </cfRule>
    <cfRule type="cellIs" dxfId="61" priority="16" operator="equal">
      <formula>"Pending"</formula>
    </cfRule>
    <cfRule type="cellIs" dxfId="60" priority="17" operator="equal">
      <formula>"Ongoing"</formula>
    </cfRule>
    <cfRule type="cellIs" dxfId="59" priority="18" operator="equal">
      <formula>"Blocked"</formula>
    </cfRule>
    <cfRule type="cellIs" dxfId="58" priority="19" operator="equal">
      <formula>"Fail"</formula>
    </cfRule>
    <cfRule type="cellIs" dxfId="57" priority="20" operator="equal">
      <formula>"Partially Pass"</formula>
    </cfRule>
    <cfRule type="cellIs" dxfId="56" priority="21" operator="equal">
      <formula>"Pass"</formula>
    </cfRule>
  </conditionalFormatting>
  <conditionalFormatting sqref="D2:D111">
    <cfRule type="cellIs" dxfId="55" priority="7" operator="equal">
      <formula>"Not Tested"</formula>
    </cfRule>
    <cfRule type="cellIs" dxfId="54" priority="8" operator="equal">
      <formula>"Not Tested"</formula>
    </cfRule>
    <cfRule type="cellIs" dxfId="53" priority="9" operator="equal">
      <formula>"Pending"</formula>
    </cfRule>
    <cfRule type="cellIs" dxfId="52" priority="10" operator="equal">
      <formula>"Ongoing"</formula>
    </cfRule>
    <cfRule type="cellIs" dxfId="51" priority="11" operator="equal">
      <formula>"Blocked"</formula>
    </cfRule>
    <cfRule type="cellIs" dxfId="50" priority="12" operator="equal">
      <formula>"Fail"</formula>
    </cfRule>
    <cfRule type="cellIs" dxfId="49" priority="13" operator="equal">
      <formula>"Partially Fail"</formula>
    </cfRule>
    <cfRule type="cellIs" dxfId="48" priority="14" operator="equal">
      <formula>"Pass"</formula>
    </cfRule>
  </conditionalFormatting>
  <conditionalFormatting sqref="D2:D111">
    <cfRule type="cellIs" dxfId="47" priority="1" operator="equal">
      <formula>"Pending"</formula>
    </cfRule>
    <cfRule type="cellIs" dxfId="46" priority="2" operator="equal">
      <formula>"Ongoing"</formula>
    </cfRule>
    <cfRule type="cellIs" dxfId="45" priority="3" operator="equal">
      <formula>"Blocked"</formula>
    </cfRule>
    <cfRule type="cellIs" dxfId="44" priority="4" operator="equal">
      <formula>"Fail"</formula>
    </cfRule>
    <cfRule type="cellIs" dxfId="43" priority="5" operator="equal">
      <formula>"Partially Pass"</formula>
    </cfRule>
    <cfRule type="cellIs" dxfId="42" priority="6" operator="equal">
      <formula>"Pass"</formula>
    </cfRule>
  </conditionalFormatting>
  <pageMargins left="0.7" right="0.7" top="0.75" bottom="0.75" header="0.3" footer="0.3"/>
  <pageSetup orientation="portrait" horizontalDpi="200" verticalDpi="200"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Info!A3:A9</xm:f>
          </x14:formula1>
          <xm:sqref>D2:D111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5"/>
  <sheetViews>
    <sheetView workbookViewId="0"/>
  </sheetViews>
  <sheetFormatPr defaultRowHeight="15" x14ac:dyDescent="0.25"/>
  <cols>
    <col min="1" max="1" width="15.28515625" bestFit="1" customWidth="1"/>
    <col min="2" max="2" width="4.85546875" bestFit="1" customWidth="1"/>
    <col min="3" max="3" width="98.28515625" bestFit="1" customWidth="1"/>
    <col min="4" max="4" width="12.5703125" bestFit="1" customWidth="1"/>
    <col min="5" max="5" width="34.42578125" bestFit="1" customWidth="1"/>
  </cols>
  <sheetData>
    <row r="1" spans="1:5" s="42" customFormat="1" x14ac:dyDescent="0.25">
      <c r="A1" s="126" t="s">
        <v>268</v>
      </c>
      <c r="B1" s="126"/>
      <c r="C1" s="126" t="s">
        <v>269</v>
      </c>
      <c r="D1" s="126" t="s">
        <v>17</v>
      </c>
      <c r="E1" s="117"/>
    </row>
    <row r="2" spans="1:5" s="42" customFormat="1" x14ac:dyDescent="0.25">
      <c r="A2" s="127" t="s">
        <v>148</v>
      </c>
      <c r="B2" s="128"/>
      <c r="C2" s="129"/>
      <c r="D2" s="130"/>
      <c r="E2" s="117"/>
    </row>
    <row r="3" spans="1:5" s="42" customFormat="1" x14ac:dyDescent="0.25">
      <c r="A3" s="131"/>
      <c r="B3" s="132" t="s">
        <v>149</v>
      </c>
      <c r="C3" s="132" t="s">
        <v>150</v>
      </c>
      <c r="D3" s="130" t="s">
        <v>3</v>
      </c>
      <c r="E3" s="117"/>
    </row>
    <row r="4" spans="1:5" s="42" customFormat="1" x14ac:dyDescent="0.25">
      <c r="A4" s="133"/>
      <c r="B4" s="132" t="s">
        <v>151</v>
      </c>
      <c r="C4" s="132" t="s">
        <v>152</v>
      </c>
      <c r="D4" s="130" t="s">
        <v>3</v>
      </c>
      <c r="E4" s="117"/>
    </row>
    <row r="5" spans="1:5" s="42" customFormat="1" x14ac:dyDescent="0.25">
      <c r="A5" s="133"/>
      <c r="B5" s="132" t="s">
        <v>153</v>
      </c>
      <c r="C5" s="132" t="s">
        <v>154</v>
      </c>
      <c r="D5" s="130" t="s">
        <v>3</v>
      </c>
      <c r="E5" s="117"/>
    </row>
    <row r="6" spans="1:5" s="42" customFormat="1" x14ac:dyDescent="0.25">
      <c r="A6" s="133"/>
      <c r="B6" s="132" t="s">
        <v>1306</v>
      </c>
      <c r="C6" s="132" t="s">
        <v>1307</v>
      </c>
      <c r="D6" s="130" t="s">
        <v>3</v>
      </c>
      <c r="E6" s="117"/>
    </row>
    <row r="7" spans="1:5" s="42" customFormat="1" x14ac:dyDescent="0.25">
      <c r="A7" s="135" t="s">
        <v>140</v>
      </c>
      <c r="B7" s="136"/>
      <c r="C7" s="136"/>
      <c r="D7" s="130"/>
      <c r="E7" s="117"/>
    </row>
    <row r="8" spans="1:5" s="42" customFormat="1" x14ac:dyDescent="0.25">
      <c r="A8" s="131"/>
      <c r="B8" s="132" t="s">
        <v>155</v>
      </c>
      <c r="C8" s="132" t="s">
        <v>156</v>
      </c>
      <c r="D8" s="130" t="s">
        <v>3</v>
      </c>
      <c r="E8" s="117"/>
    </row>
    <row r="9" spans="1:5" s="42" customFormat="1" x14ac:dyDescent="0.25">
      <c r="A9" s="133"/>
      <c r="B9" s="132" t="s">
        <v>157</v>
      </c>
      <c r="C9" s="132" t="s">
        <v>158</v>
      </c>
      <c r="D9" s="130" t="s">
        <v>3</v>
      </c>
      <c r="E9" s="117"/>
    </row>
    <row r="10" spans="1:5" s="42" customFormat="1" x14ac:dyDescent="0.25">
      <c r="A10" s="133"/>
      <c r="B10" s="132" t="s">
        <v>159</v>
      </c>
      <c r="C10" s="132" t="s">
        <v>160</v>
      </c>
      <c r="D10" s="130" t="s">
        <v>3</v>
      </c>
      <c r="E10" s="117"/>
    </row>
    <row r="11" spans="1:5" s="42" customFormat="1" x14ac:dyDescent="0.25">
      <c r="A11" s="133"/>
      <c r="B11" s="132" t="s">
        <v>161</v>
      </c>
      <c r="C11" s="132" t="s">
        <v>141</v>
      </c>
      <c r="D11" s="130" t="s">
        <v>3</v>
      </c>
      <c r="E11" s="117"/>
    </row>
    <row r="12" spans="1:5" s="42" customFormat="1" x14ac:dyDescent="0.25">
      <c r="A12" s="133"/>
      <c r="B12" s="132" t="s">
        <v>162</v>
      </c>
      <c r="C12" s="132" t="s">
        <v>142</v>
      </c>
      <c r="D12" s="130" t="s">
        <v>3</v>
      </c>
      <c r="E12" s="117"/>
    </row>
    <row r="13" spans="1:5" s="42" customFormat="1" x14ac:dyDescent="0.25">
      <c r="A13" s="133"/>
      <c r="B13" s="137" t="s">
        <v>163</v>
      </c>
      <c r="C13" s="137" t="s">
        <v>143</v>
      </c>
      <c r="D13" s="130" t="s">
        <v>3</v>
      </c>
      <c r="E13" s="117"/>
    </row>
    <row r="14" spans="1:5" s="42" customFormat="1" x14ac:dyDescent="0.25">
      <c r="A14" s="133"/>
      <c r="B14" s="137" t="s">
        <v>737</v>
      </c>
      <c r="C14" s="137" t="s">
        <v>738</v>
      </c>
      <c r="D14" s="130" t="s">
        <v>3</v>
      </c>
      <c r="E14" s="117"/>
    </row>
    <row r="15" spans="1:5" s="42" customFormat="1" x14ac:dyDescent="0.25">
      <c r="A15" s="136" t="s">
        <v>135</v>
      </c>
      <c r="B15" s="136"/>
      <c r="C15" s="136"/>
      <c r="D15" s="130"/>
      <c r="E15" s="117"/>
    </row>
    <row r="16" spans="1:5" s="42" customFormat="1" x14ac:dyDescent="0.25">
      <c r="A16" s="133"/>
      <c r="B16" s="138" t="s">
        <v>164</v>
      </c>
      <c r="C16" s="138" t="s">
        <v>165</v>
      </c>
      <c r="D16" s="130" t="s">
        <v>3</v>
      </c>
      <c r="E16" s="117"/>
    </row>
    <row r="17" spans="1:5" s="42" customFormat="1" x14ac:dyDescent="0.25">
      <c r="A17" s="133"/>
      <c r="B17" s="132" t="s">
        <v>166</v>
      </c>
      <c r="C17" s="132" t="s">
        <v>167</v>
      </c>
      <c r="D17" s="130" t="s">
        <v>3</v>
      </c>
      <c r="E17" s="117"/>
    </row>
    <row r="18" spans="1:5" s="42" customFormat="1" x14ac:dyDescent="0.25">
      <c r="A18" s="133"/>
      <c r="B18" s="132" t="s">
        <v>168</v>
      </c>
      <c r="C18" s="132" t="s">
        <v>169</v>
      </c>
      <c r="D18" s="130" t="s">
        <v>3</v>
      </c>
      <c r="E18" s="117"/>
    </row>
    <row r="19" spans="1:5" s="42" customFormat="1" x14ac:dyDescent="0.25">
      <c r="A19" s="133"/>
      <c r="B19" s="132" t="s">
        <v>170</v>
      </c>
      <c r="C19" s="132" t="s">
        <v>171</v>
      </c>
      <c r="D19" s="130" t="s">
        <v>3</v>
      </c>
      <c r="E19" s="117"/>
    </row>
    <row r="20" spans="1:5" s="42" customFormat="1" x14ac:dyDescent="0.25">
      <c r="A20" s="133"/>
      <c r="B20" s="132" t="s">
        <v>172</v>
      </c>
      <c r="C20" s="132" t="s">
        <v>173</v>
      </c>
      <c r="D20" s="130" t="s">
        <v>3</v>
      </c>
      <c r="E20" s="117"/>
    </row>
    <row r="21" spans="1:5" s="42" customFormat="1" x14ac:dyDescent="0.25">
      <c r="A21" s="133"/>
      <c r="B21" s="132" t="s">
        <v>174</v>
      </c>
      <c r="C21" s="132" t="s">
        <v>136</v>
      </c>
      <c r="D21" s="130" t="s">
        <v>3</v>
      </c>
      <c r="E21" s="117"/>
    </row>
    <row r="22" spans="1:5" s="42" customFormat="1" x14ac:dyDescent="0.25">
      <c r="A22" s="139"/>
      <c r="B22" s="132" t="s">
        <v>175</v>
      </c>
      <c r="C22" s="132" t="s">
        <v>137</v>
      </c>
      <c r="D22" s="130" t="s">
        <v>3</v>
      </c>
      <c r="E22" s="117"/>
    </row>
    <row r="23" spans="1:5" s="42" customFormat="1" x14ac:dyDescent="0.25">
      <c r="A23" s="136" t="s">
        <v>121</v>
      </c>
      <c r="B23" s="136"/>
      <c r="C23" s="136"/>
      <c r="D23" s="130"/>
      <c r="E23" s="117"/>
    </row>
    <row r="24" spans="1:5" s="42" customFormat="1" x14ac:dyDescent="0.25">
      <c r="A24" s="131"/>
      <c r="B24" s="132" t="s">
        <v>176</v>
      </c>
      <c r="C24" s="132" t="s">
        <v>177</v>
      </c>
      <c r="D24" s="130" t="s">
        <v>3</v>
      </c>
      <c r="E24" s="117"/>
    </row>
    <row r="25" spans="1:5" s="42" customFormat="1" x14ac:dyDescent="0.25">
      <c r="A25" s="133"/>
      <c r="B25" s="132" t="s">
        <v>178</v>
      </c>
      <c r="C25" s="132" t="s">
        <v>179</v>
      </c>
      <c r="D25" s="130" t="s">
        <v>3</v>
      </c>
      <c r="E25" s="117"/>
    </row>
    <row r="26" spans="1:5" s="42" customFormat="1" x14ac:dyDescent="0.25">
      <c r="A26" s="133"/>
      <c r="B26" s="132" t="s">
        <v>180</v>
      </c>
      <c r="C26" s="132" t="s">
        <v>732</v>
      </c>
      <c r="D26" s="130" t="s">
        <v>3</v>
      </c>
      <c r="E26" s="117"/>
    </row>
    <row r="27" spans="1:5" s="42" customFormat="1" x14ac:dyDescent="0.25">
      <c r="A27" s="133"/>
      <c r="B27" s="132" t="s">
        <v>182</v>
      </c>
      <c r="C27" s="132" t="s">
        <v>150</v>
      </c>
      <c r="D27" s="130" t="s">
        <v>3</v>
      </c>
      <c r="E27" s="117"/>
    </row>
    <row r="28" spans="1:5" s="42" customFormat="1" x14ac:dyDescent="0.25">
      <c r="A28" s="133"/>
      <c r="B28" s="132" t="s">
        <v>183</v>
      </c>
      <c r="C28" s="132" t="s">
        <v>184</v>
      </c>
      <c r="D28" s="130" t="s">
        <v>3</v>
      </c>
      <c r="E28" s="117"/>
    </row>
    <row r="29" spans="1:5" s="42" customFormat="1" x14ac:dyDescent="0.25">
      <c r="A29" s="133"/>
      <c r="B29" s="132" t="s">
        <v>185</v>
      </c>
      <c r="C29" s="132" t="s">
        <v>186</v>
      </c>
      <c r="D29" s="130" t="s">
        <v>3</v>
      </c>
      <c r="E29" s="117"/>
    </row>
    <row r="30" spans="1:5" s="42" customFormat="1" x14ac:dyDescent="0.25">
      <c r="A30" s="133"/>
      <c r="B30" s="132" t="s">
        <v>187</v>
      </c>
      <c r="C30" s="132" t="s">
        <v>122</v>
      </c>
      <c r="D30" s="130" t="s">
        <v>3</v>
      </c>
      <c r="E30" s="117"/>
    </row>
    <row r="31" spans="1:5" s="42" customFormat="1" x14ac:dyDescent="0.25">
      <c r="A31" s="133"/>
      <c r="B31" s="132" t="s">
        <v>188</v>
      </c>
      <c r="C31" s="132" t="s">
        <v>123</v>
      </c>
      <c r="D31" s="130" t="s">
        <v>3</v>
      </c>
      <c r="E31" s="117"/>
    </row>
    <row r="32" spans="1:5" s="42" customFormat="1" x14ac:dyDescent="0.25">
      <c r="A32" s="133"/>
      <c r="B32" s="140" t="s">
        <v>189</v>
      </c>
      <c r="C32" s="132" t="s">
        <v>124</v>
      </c>
      <c r="D32" s="130" t="s">
        <v>3</v>
      </c>
      <c r="E32" s="117"/>
    </row>
    <row r="33" spans="1:5" s="42" customFormat="1" x14ac:dyDescent="0.25">
      <c r="A33" s="133"/>
      <c r="B33" s="140" t="s">
        <v>190</v>
      </c>
      <c r="C33" s="132" t="s">
        <v>125</v>
      </c>
      <c r="D33" s="130" t="s">
        <v>3</v>
      </c>
      <c r="E33" s="117"/>
    </row>
    <row r="34" spans="1:5" s="42" customFormat="1" x14ac:dyDescent="0.25">
      <c r="A34" s="133"/>
      <c r="B34" s="140" t="s">
        <v>191</v>
      </c>
      <c r="C34" s="132" t="s">
        <v>126</v>
      </c>
      <c r="D34" s="130" t="s">
        <v>3</v>
      </c>
      <c r="E34" s="117"/>
    </row>
    <row r="35" spans="1:5" s="42" customFormat="1" x14ac:dyDescent="0.25">
      <c r="A35" s="133"/>
      <c r="B35" s="140" t="s">
        <v>192</v>
      </c>
      <c r="C35" s="132" t="s">
        <v>127</v>
      </c>
      <c r="D35" s="130" t="s">
        <v>3</v>
      </c>
      <c r="E35" s="117"/>
    </row>
    <row r="36" spans="1:5" s="42" customFormat="1" x14ac:dyDescent="0.25">
      <c r="A36" s="226"/>
      <c r="B36" s="140" t="s">
        <v>193</v>
      </c>
      <c r="C36" s="132" t="s">
        <v>128</v>
      </c>
      <c r="D36" s="130" t="s">
        <v>3</v>
      </c>
      <c r="E36" s="117"/>
    </row>
    <row r="37" spans="1:5" s="42" customFormat="1" x14ac:dyDescent="0.25">
      <c r="A37" s="226"/>
      <c r="B37" s="140" t="s">
        <v>194</v>
      </c>
      <c r="C37" s="132" t="s">
        <v>129</v>
      </c>
      <c r="D37" s="130" t="s">
        <v>3</v>
      </c>
      <c r="E37" s="117"/>
    </row>
    <row r="38" spans="1:5" s="42" customFormat="1" x14ac:dyDescent="0.25">
      <c r="A38" s="226"/>
      <c r="B38" s="140" t="s">
        <v>195</v>
      </c>
      <c r="C38" s="132" t="s">
        <v>130</v>
      </c>
      <c r="D38" s="130" t="s">
        <v>3</v>
      </c>
      <c r="E38" s="117"/>
    </row>
    <row r="39" spans="1:5" s="42" customFormat="1" x14ac:dyDescent="0.25">
      <c r="A39" s="134"/>
      <c r="B39" s="140" t="s">
        <v>196</v>
      </c>
      <c r="C39" s="132" t="s">
        <v>131</v>
      </c>
      <c r="D39" s="130" t="s">
        <v>3</v>
      </c>
      <c r="E39" s="117"/>
    </row>
    <row r="40" spans="1:5" s="42" customFormat="1" x14ac:dyDescent="0.25">
      <c r="A40" s="134"/>
      <c r="B40" s="140" t="s">
        <v>370</v>
      </c>
      <c r="C40" s="132" t="s">
        <v>372</v>
      </c>
      <c r="D40" s="130" t="s">
        <v>11</v>
      </c>
      <c r="E40" s="117"/>
    </row>
    <row r="41" spans="1:5" s="42" customFormat="1" x14ac:dyDescent="0.25">
      <c r="A41" s="134"/>
      <c r="B41" s="140" t="s">
        <v>371</v>
      </c>
      <c r="C41" s="132" t="s">
        <v>373</v>
      </c>
      <c r="D41" s="130" t="s">
        <v>11</v>
      </c>
      <c r="E41" s="117"/>
    </row>
    <row r="42" spans="1:5" s="42" customFormat="1" x14ac:dyDescent="0.25">
      <c r="A42" s="227" t="s">
        <v>89</v>
      </c>
      <c r="B42" s="136"/>
      <c r="C42" s="136"/>
      <c r="D42" s="130"/>
      <c r="E42" s="117"/>
    </row>
    <row r="43" spans="1:5" s="42" customFormat="1" x14ac:dyDescent="0.25">
      <c r="A43" s="131"/>
      <c r="B43" s="132" t="s">
        <v>197</v>
      </c>
      <c r="C43" s="132" t="s">
        <v>198</v>
      </c>
      <c r="D43" s="130" t="s">
        <v>3</v>
      </c>
      <c r="E43" s="117"/>
    </row>
    <row r="44" spans="1:5" s="42" customFormat="1" x14ac:dyDescent="0.25">
      <c r="A44" s="133"/>
      <c r="B44" s="132" t="s">
        <v>199</v>
      </c>
      <c r="C44" s="132" t="s">
        <v>200</v>
      </c>
      <c r="D44" s="130" t="s">
        <v>3</v>
      </c>
      <c r="E44" s="117"/>
    </row>
    <row r="45" spans="1:5" s="42" customFormat="1" x14ac:dyDescent="0.25">
      <c r="A45" s="133"/>
      <c r="B45" s="132" t="s">
        <v>201</v>
      </c>
      <c r="C45" s="132" t="s">
        <v>202</v>
      </c>
      <c r="D45" s="130" t="s">
        <v>3</v>
      </c>
      <c r="E45" s="117"/>
    </row>
    <row r="46" spans="1:5" s="42" customFormat="1" x14ac:dyDescent="0.25">
      <c r="A46" s="133"/>
      <c r="B46" s="132" t="s">
        <v>203</v>
      </c>
      <c r="C46" s="132" t="s">
        <v>204</v>
      </c>
      <c r="D46" s="130" t="s">
        <v>3</v>
      </c>
      <c r="E46" s="117"/>
    </row>
    <row r="47" spans="1:5" s="42" customFormat="1" x14ac:dyDescent="0.25">
      <c r="A47" s="133"/>
      <c r="B47" s="132" t="s">
        <v>205</v>
      </c>
      <c r="C47" s="132" t="s">
        <v>206</v>
      </c>
      <c r="D47" s="130" t="s">
        <v>3</v>
      </c>
      <c r="E47" s="117"/>
    </row>
    <row r="48" spans="1:5" s="42" customFormat="1" x14ac:dyDescent="0.25">
      <c r="A48" s="133"/>
      <c r="B48" s="132" t="s">
        <v>207</v>
      </c>
      <c r="C48" s="132" t="s">
        <v>90</v>
      </c>
      <c r="D48" s="130" t="s">
        <v>3</v>
      </c>
      <c r="E48" s="117"/>
    </row>
    <row r="49" spans="1:5" s="42" customFormat="1" x14ac:dyDescent="0.25">
      <c r="A49" s="133"/>
      <c r="B49" s="132" t="s">
        <v>208</v>
      </c>
      <c r="C49" s="132" t="s">
        <v>91</v>
      </c>
      <c r="D49" s="130" t="s">
        <v>3</v>
      </c>
      <c r="E49" s="117"/>
    </row>
    <row r="50" spans="1:5" s="42" customFormat="1" x14ac:dyDescent="0.25">
      <c r="A50" s="133"/>
      <c r="B50" s="132" t="s">
        <v>209</v>
      </c>
      <c r="C50" s="132" t="s">
        <v>92</v>
      </c>
      <c r="D50" s="130" t="s">
        <v>3</v>
      </c>
      <c r="E50" s="117"/>
    </row>
    <row r="51" spans="1:5" s="42" customFormat="1" x14ac:dyDescent="0.25">
      <c r="A51" s="133"/>
      <c r="B51" s="132" t="s">
        <v>210</v>
      </c>
      <c r="C51" s="132" t="s">
        <v>93</v>
      </c>
      <c r="D51" s="130" t="s">
        <v>3</v>
      </c>
      <c r="E51" s="117"/>
    </row>
    <row r="52" spans="1:5" s="42" customFormat="1" x14ac:dyDescent="0.25">
      <c r="A52" s="133"/>
      <c r="B52" s="132" t="s">
        <v>211</v>
      </c>
      <c r="C52" s="132" t="s">
        <v>94</v>
      </c>
      <c r="D52" s="130" t="s">
        <v>3</v>
      </c>
      <c r="E52" s="117"/>
    </row>
    <row r="53" spans="1:5" s="42" customFormat="1" x14ac:dyDescent="0.25">
      <c r="A53" s="133"/>
      <c r="B53" s="132" t="s">
        <v>212</v>
      </c>
      <c r="C53" s="132" t="s">
        <v>95</v>
      </c>
      <c r="D53" s="130" t="s">
        <v>3</v>
      </c>
      <c r="E53" s="117"/>
    </row>
    <row r="54" spans="1:5" s="42" customFormat="1" x14ac:dyDescent="0.25">
      <c r="A54" s="133"/>
      <c r="B54" s="132" t="s">
        <v>213</v>
      </c>
      <c r="C54" s="132" t="s">
        <v>96</v>
      </c>
      <c r="D54" s="130" t="s">
        <v>3</v>
      </c>
      <c r="E54" s="117"/>
    </row>
    <row r="55" spans="1:5" s="42" customFormat="1" x14ac:dyDescent="0.25">
      <c r="A55" s="133"/>
      <c r="B55" s="137" t="s">
        <v>214</v>
      </c>
      <c r="C55" s="137" t="s">
        <v>97</v>
      </c>
      <c r="D55" s="130" t="s">
        <v>3</v>
      </c>
      <c r="E55" s="117"/>
    </row>
    <row r="56" spans="1:5" s="42" customFormat="1" x14ac:dyDescent="0.25">
      <c r="A56" s="136" t="s">
        <v>132</v>
      </c>
      <c r="B56" s="136"/>
      <c r="C56" s="136"/>
      <c r="D56" s="130"/>
      <c r="E56" s="117"/>
    </row>
    <row r="57" spans="1:5" s="42" customFormat="1" x14ac:dyDescent="0.25">
      <c r="A57" s="133"/>
      <c r="B57" s="138" t="s">
        <v>215</v>
      </c>
      <c r="C57" s="138" t="s">
        <v>216</v>
      </c>
      <c r="D57" s="130" t="s">
        <v>3</v>
      </c>
      <c r="E57" s="117"/>
    </row>
    <row r="58" spans="1:5" s="42" customFormat="1" x14ac:dyDescent="0.25">
      <c r="A58" s="133"/>
      <c r="B58" s="132" t="s">
        <v>217</v>
      </c>
      <c r="C58" s="132" t="s">
        <v>150</v>
      </c>
      <c r="D58" s="130" t="s">
        <v>3</v>
      </c>
      <c r="E58" s="117"/>
    </row>
    <row r="59" spans="1:5" s="42" customFormat="1" x14ac:dyDescent="0.25">
      <c r="A59" s="133"/>
      <c r="B59" s="132" t="s">
        <v>218</v>
      </c>
      <c r="C59" s="132" t="s">
        <v>133</v>
      </c>
      <c r="D59" s="130" t="s">
        <v>3</v>
      </c>
      <c r="E59" s="117"/>
    </row>
    <row r="60" spans="1:5" s="42" customFormat="1" x14ac:dyDescent="0.25">
      <c r="A60" s="139"/>
      <c r="B60" s="132" t="s">
        <v>219</v>
      </c>
      <c r="C60" s="132" t="s">
        <v>134</v>
      </c>
      <c r="D60" s="130" t="s">
        <v>3</v>
      </c>
      <c r="E60" s="117"/>
    </row>
    <row r="61" spans="1:5" s="42" customFormat="1" x14ac:dyDescent="0.25">
      <c r="A61" s="127" t="s">
        <v>147</v>
      </c>
      <c r="B61" s="128"/>
      <c r="C61" s="129"/>
      <c r="D61" s="130"/>
      <c r="E61" s="117"/>
    </row>
    <row r="62" spans="1:5" s="42" customFormat="1" x14ac:dyDescent="0.25">
      <c r="A62" s="131"/>
      <c r="B62" s="132" t="s">
        <v>220</v>
      </c>
      <c r="C62" s="132" t="s">
        <v>221</v>
      </c>
      <c r="D62" s="130" t="s">
        <v>3</v>
      </c>
      <c r="E62" s="117"/>
    </row>
    <row r="63" spans="1:5" s="42" customFormat="1" x14ac:dyDescent="0.25">
      <c r="A63" s="133"/>
      <c r="B63" s="132" t="s">
        <v>222</v>
      </c>
      <c r="C63" s="132" t="s">
        <v>223</v>
      </c>
      <c r="D63" s="130" t="s">
        <v>3</v>
      </c>
      <c r="E63" s="117"/>
    </row>
    <row r="64" spans="1:5" s="42" customFormat="1" x14ac:dyDescent="0.25">
      <c r="A64" s="139"/>
      <c r="B64" s="132" t="s">
        <v>224</v>
      </c>
      <c r="C64" s="132" t="s">
        <v>225</v>
      </c>
      <c r="D64" s="130" t="s">
        <v>3</v>
      </c>
      <c r="E64" s="117"/>
    </row>
    <row r="65" spans="1:5" s="42" customFormat="1" x14ac:dyDescent="0.25">
      <c r="A65" s="141" t="s">
        <v>98</v>
      </c>
      <c r="B65" s="117"/>
      <c r="C65" s="132"/>
      <c r="D65" s="130"/>
      <c r="E65" s="117"/>
    </row>
    <row r="66" spans="1:5" s="42" customFormat="1" x14ac:dyDescent="0.25">
      <c r="A66" s="131"/>
      <c r="B66" s="132" t="s">
        <v>226</v>
      </c>
      <c r="C66" s="132" t="s">
        <v>99</v>
      </c>
      <c r="D66" s="130" t="s">
        <v>3</v>
      </c>
      <c r="E66" s="117"/>
    </row>
    <row r="67" spans="1:5" s="42" customFormat="1" x14ac:dyDescent="0.25">
      <c r="A67" s="133"/>
      <c r="B67" s="132" t="s">
        <v>227</v>
      </c>
      <c r="C67" s="132" t="s">
        <v>100</v>
      </c>
      <c r="D67" s="130" t="s">
        <v>3</v>
      </c>
      <c r="E67" s="117"/>
    </row>
    <row r="68" spans="1:5" s="42" customFormat="1" x14ac:dyDescent="0.25">
      <c r="A68" s="133"/>
      <c r="B68" s="132" t="s">
        <v>228</v>
      </c>
      <c r="C68" s="132" t="s">
        <v>101</v>
      </c>
      <c r="D68" s="130" t="s">
        <v>3</v>
      </c>
      <c r="E68" s="117"/>
    </row>
    <row r="69" spans="1:5" s="42" customFormat="1" x14ac:dyDescent="0.25">
      <c r="A69" s="133"/>
      <c r="B69" s="132" t="s">
        <v>229</v>
      </c>
      <c r="C69" s="132" t="s">
        <v>102</v>
      </c>
      <c r="D69" s="130" t="s">
        <v>3</v>
      </c>
      <c r="E69" s="117"/>
    </row>
    <row r="70" spans="1:5" s="42" customFormat="1" x14ac:dyDescent="0.25">
      <c r="A70" s="139"/>
      <c r="B70" s="132" t="s">
        <v>735</v>
      </c>
      <c r="C70" s="132" t="s">
        <v>736</v>
      </c>
      <c r="D70" s="130" t="s">
        <v>3</v>
      </c>
      <c r="E70" s="117"/>
    </row>
    <row r="71" spans="1:5" s="42" customFormat="1" x14ac:dyDescent="0.25">
      <c r="A71" s="127" t="s">
        <v>144</v>
      </c>
      <c r="B71" s="128"/>
      <c r="C71" s="129"/>
      <c r="D71" s="130"/>
      <c r="E71" s="117"/>
    </row>
    <row r="72" spans="1:5" s="42" customFormat="1" x14ac:dyDescent="0.25">
      <c r="A72" s="131"/>
      <c r="B72" s="132" t="s">
        <v>230</v>
      </c>
      <c r="C72" s="132" t="s">
        <v>145</v>
      </c>
      <c r="D72" s="130" t="s">
        <v>3</v>
      </c>
      <c r="E72" s="117"/>
    </row>
    <row r="73" spans="1:5" s="42" customFormat="1" x14ac:dyDescent="0.25">
      <c r="A73" s="139"/>
      <c r="B73" s="132" t="s">
        <v>231</v>
      </c>
      <c r="C73" s="132" t="s">
        <v>146</v>
      </c>
      <c r="D73" s="130" t="s">
        <v>3</v>
      </c>
      <c r="E73" s="117"/>
    </row>
    <row r="74" spans="1:5" s="42" customFormat="1" x14ac:dyDescent="0.25">
      <c r="A74" s="127" t="s">
        <v>84</v>
      </c>
      <c r="B74" s="128"/>
      <c r="C74" s="129"/>
      <c r="D74" s="130"/>
      <c r="E74" s="117"/>
    </row>
    <row r="75" spans="1:5" s="42" customFormat="1" x14ac:dyDescent="0.25">
      <c r="A75" s="131"/>
      <c r="B75" s="132" t="s">
        <v>232</v>
      </c>
      <c r="C75" s="132" t="s">
        <v>85</v>
      </c>
      <c r="D75" s="130" t="s">
        <v>3</v>
      </c>
      <c r="E75" s="117"/>
    </row>
    <row r="76" spans="1:5" s="42" customFormat="1" x14ac:dyDescent="0.25">
      <c r="A76" s="133"/>
      <c r="B76" s="132" t="s">
        <v>233</v>
      </c>
      <c r="C76" s="132" t="s">
        <v>86</v>
      </c>
      <c r="D76" s="130" t="s">
        <v>3</v>
      </c>
      <c r="E76" s="117"/>
    </row>
    <row r="77" spans="1:5" s="42" customFormat="1" x14ac:dyDescent="0.25">
      <c r="A77" s="133"/>
      <c r="B77" s="132" t="s">
        <v>234</v>
      </c>
      <c r="C77" s="132" t="s">
        <v>87</v>
      </c>
      <c r="D77" s="130" t="s">
        <v>3</v>
      </c>
      <c r="E77" s="117"/>
    </row>
    <row r="78" spans="1:5" s="42" customFormat="1" x14ac:dyDescent="0.25">
      <c r="A78" s="139"/>
      <c r="B78" s="132" t="s">
        <v>235</v>
      </c>
      <c r="C78" s="132" t="s">
        <v>88</v>
      </c>
      <c r="D78" s="130" t="s">
        <v>3</v>
      </c>
      <c r="E78" s="117"/>
    </row>
    <row r="79" spans="1:5" s="42" customFormat="1" x14ac:dyDescent="0.25">
      <c r="A79" s="127" t="s">
        <v>103</v>
      </c>
      <c r="B79" s="128"/>
      <c r="C79" s="129"/>
      <c r="D79" s="130"/>
      <c r="E79" s="117"/>
    </row>
    <row r="80" spans="1:5" s="42" customFormat="1" x14ac:dyDescent="0.25">
      <c r="A80" s="142"/>
      <c r="B80" s="228" t="s">
        <v>353</v>
      </c>
      <c r="C80" s="143" t="s">
        <v>354</v>
      </c>
      <c r="D80" s="130" t="s">
        <v>3</v>
      </c>
      <c r="E80" s="117"/>
    </row>
    <row r="81" spans="1:5" s="42" customFormat="1" x14ac:dyDescent="0.25">
      <c r="A81" s="144"/>
      <c r="B81" s="145" t="s">
        <v>236</v>
      </c>
      <c r="C81" s="132" t="s">
        <v>109</v>
      </c>
      <c r="D81" s="130" t="s">
        <v>3</v>
      </c>
      <c r="E81" s="117"/>
    </row>
    <row r="82" spans="1:5" s="42" customFormat="1" x14ac:dyDescent="0.25">
      <c r="A82" s="146"/>
      <c r="B82" s="145" t="s">
        <v>237</v>
      </c>
      <c r="C82" s="132" t="s">
        <v>238</v>
      </c>
      <c r="D82" s="130" t="s">
        <v>3</v>
      </c>
      <c r="E82" s="117"/>
    </row>
    <row r="83" spans="1:5" s="42" customFormat="1" x14ac:dyDescent="0.25">
      <c r="A83" s="146"/>
      <c r="B83" s="145" t="s">
        <v>239</v>
      </c>
      <c r="C83" s="132" t="s">
        <v>104</v>
      </c>
      <c r="D83" s="130" t="s">
        <v>3</v>
      </c>
      <c r="E83" s="117"/>
    </row>
    <row r="84" spans="1:5" s="42" customFormat="1" x14ac:dyDescent="0.25">
      <c r="A84" s="146"/>
      <c r="B84" s="147" t="s">
        <v>355</v>
      </c>
      <c r="C84" s="140" t="s">
        <v>356</v>
      </c>
      <c r="D84" s="130" t="s">
        <v>3</v>
      </c>
      <c r="E84" s="117"/>
    </row>
    <row r="85" spans="1:5" s="42" customFormat="1" x14ac:dyDescent="0.25">
      <c r="A85" s="146"/>
      <c r="B85" s="145" t="s">
        <v>240</v>
      </c>
      <c r="C85" s="132" t="s">
        <v>241</v>
      </c>
      <c r="D85" s="130" t="s">
        <v>3</v>
      </c>
      <c r="E85" s="117"/>
    </row>
    <row r="86" spans="1:5" s="42" customFormat="1" x14ac:dyDescent="0.25">
      <c r="A86" s="146"/>
      <c r="B86" s="145" t="s">
        <v>242</v>
      </c>
      <c r="C86" s="132" t="s">
        <v>243</v>
      </c>
      <c r="D86" s="130" t="s">
        <v>3</v>
      </c>
      <c r="E86" s="117"/>
    </row>
    <row r="87" spans="1:5" s="42" customFormat="1" x14ac:dyDescent="0.25">
      <c r="A87" s="146"/>
      <c r="B87" s="145" t="s">
        <v>244</v>
      </c>
      <c r="C87" s="132" t="s">
        <v>105</v>
      </c>
      <c r="D87" s="130" t="s">
        <v>3</v>
      </c>
      <c r="E87" s="117"/>
    </row>
    <row r="88" spans="1:5" s="42" customFormat="1" x14ac:dyDescent="0.25">
      <c r="A88" s="146"/>
      <c r="B88" s="145" t="s">
        <v>245</v>
      </c>
      <c r="C88" s="132" t="s">
        <v>106</v>
      </c>
      <c r="D88" s="130" t="s">
        <v>3</v>
      </c>
      <c r="E88" s="117"/>
    </row>
    <row r="89" spans="1:5" s="42" customFormat="1" x14ac:dyDescent="0.25">
      <c r="A89" s="146"/>
      <c r="B89" s="145" t="s">
        <v>246</v>
      </c>
      <c r="C89" s="132" t="s">
        <v>107</v>
      </c>
      <c r="D89" s="130" t="s">
        <v>3</v>
      </c>
      <c r="E89" s="117"/>
    </row>
    <row r="90" spans="1:5" s="42" customFormat="1" x14ac:dyDescent="0.25">
      <c r="A90" s="146"/>
      <c r="B90" s="145" t="s">
        <v>247</v>
      </c>
      <c r="C90" s="132" t="s">
        <v>108</v>
      </c>
      <c r="D90" s="130" t="s">
        <v>3</v>
      </c>
      <c r="E90" s="117"/>
    </row>
    <row r="91" spans="1:5" s="42" customFormat="1" x14ac:dyDescent="0.25">
      <c r="A91" s="146"/>
      <c r="B91" s="145" t="s">
        <v>248</v>
      </c>
      <c r="C91" s="132" t="s">
        <v>249</v>
      </c>
      <c r="D91" s="130" t="s">
        <v>3</v>
      </c>
      <c r="E91" s="117"/>
    </row>
    <row r="92" spans="1:5" s="42" customFormat="1" x14ac:dyDescent="0.25">
      <c r="A92" s="146"/>
      <c r="B92" s="145" t="s">
        <v>250</v>
      </c>
      <c r="C92" s="132" t="s">
        <v>114</v>
      </c>
      <c r="D92" s="130" t="s">
        <v>3</v>
      </c>
      <c r="E92" s="117"/>
    </row>
    <row r="93" spans="1:5" s="42" customFormat="1" x14ac:dyDescent="0.25">
      <c r="A93" s="146"/>
      <c r="B93" s="145" t="s">
        <v>251</v>
      </c>
      <c r="C93" s="132" t="s">
        <v>115</v>
      </c>
      <c r="D93" s="130" t="s">
        <v>3</v>
      </c>
      <c r="E93" s="117"/>
    </row>
    <row r="94" spans="1:5" s="42" customFormat="1" x14ac:dyDescent="0.25">
      <c r="A94" s="146"/>
      <c r="B94" s="145" t="s">
        <v>252</v>
      </c>
      <c r="C94" s="132" t="s">
        <v>116</v>
      </c>
      <c r="D94" s="130" t="s">
        <v>3</v>
      </c>
      <c r="E94" s="117"/>
    </row>
    <row r="95" spans="1:5" s="42" customFormat="1" x14ac:dyDescent="0.25">
      <c r="A95" s="146"/>
      <c r="B95" s="145" t="s">
        <v>253</v>
      </c>
      <c r="C95" s="132" t="s">
        <v>110</v>
      </c>
      <c r="D95" s="130" t="s">
        <v>3</v>
      </c>
      <c r="E95" s="117"/>
    </row>
    <row r="96" spans="1:5" s="42" customFormat="1" x14ac:dyDescent="0.25">
      <c r="A96" s="146"/>
      <c r="B96" s="145" t="s">
        <v>254</v>
      </c>
      <c r="C96" s="132" t="s">
        <v>111</v>
      </c>
      <c r="D96" s="130" t="s">
        <v>3</v>
      </c>
      <c r="E96" s="117"/>
    </row>
    <row r="97" spans="1:5" s="42" customFormat="1" x14ac:dyDescent="0.25">
      <c r="A97" s="146"/>
      <c r="B97" s="145" t="s">
        <v>255</v>
      </c>
      <c r="C97" s="132" t="s">
        <v>113</v>
      </c>
      <c r="D97" s="130" t="s">
        <v>3</v>
      </c>
      <c r="E97" s="117"/>
    </row>
    <row r="98" spans="1:5" s="42" customFormat="1" x14ac:dyDescent="0.25">
      <c r="A98" s="146"/>
      <c r="B98" s="145" t="s">
        <v>256</v>
      </c>
      <c r="C98" s="132" t="s">
        <v>112</v>
      </c>
      <c r="D98" s="130" t="s">
        <v>3</v>
      </c>
      <c r="E98" s="117"/>
    </row>
    <row r="99" spans="1:5" s="42" customFormat="1" x14ac:dyDescent="0.25">
      <c r="A99" s="146"/>
      <c r="B99" s="145" t="s">
        <v>257</v>
      </c>
      <c r="C99" s="132" t="s">
        <v>117</v>
      </c>
      <c r="D99" s="130" t="s">
        <v>3</v>
      </c>
      <c r="E99" s="117"/>
    </row>
    <row r="100" spans="1:5" s="42" customFormat="1" x14ac:dyDescent="0.25">
      <c r="A100" s="146"/>
      <c r="B100" s="145" t="s">
        <v>258</v>
      </c>
      <c r="C100" s="132" t="s">
        <v>118</v>
      </c>
      <c r="D100" s="130" t="s">
        <v>3</v>
      </c>
      <c r="E100" s="117"/>
    </row>
    <row r="101" spans="1:5" s="42" customFormat="1" x14ac:dyDescent="0.25">
      <c r="A101" s="146"/>
      <c r="B101" s="145" t="s">
        <v>259</v>
      </c>
      <c r="C101" s="132" t="s">
        <v>119</v>
      </c>
      <c r="D101" s="130" t="s">
        <v>3</v>
      </c>
      <c r="E101" s="117"/>
    </row>
    <row r="102" spans="1:5" s="42" customFormat="1" x14ac:dyDescent="0.25">
      <c r="A102" s="146"/>
      <c r="B102" s="147" t="s">
        <v>357</v>
      </c>
      <c r="C102" s="140" t="s">
        <v>358</v>
      </c>
      <c r="D102" s="130" t="s">
        <v>3</v>
      </c>
      <c r="E102" s="117"/>
    </row>
    <row r="103" spans="1:5" s="42" customFormat="1" x14ac:dyDescent="0.25">
      <c r="A103" s="146"/>
      <c r="B103" s="147" t="s">
        <v>359</v>
      </c>
      <c r="C103" s="140" t="s">
        <v>360</v>
      </c>
      <c r="D103" s="130" t="s">
        <v>3</v>
      </c>
      <c r="E103" s="117"/>
    </row>
    <row r="104" spans="1:5" s="42" customFormat="1" x14ac:dyDescent="0.25">
      <c r="A104" s="146"/>
      <c r="B104" s="145" t="s">
        <v>260</v>
      </c>
      <c r="C104" s="132" t="s">
        <v>120</v>
      </c>
      <c r="D104" s="130" t="s">
        <v>3</v>
      </c>
      <c r="E104" s="117"/>
    </row>
    <row r="105" spans="1:5" s="42" customFormat="1" x14ac:dyDescent="0.25">
      <c r="A105" s="148"/>
      <c r="B105" s="149" t="s">
        <v>313</v>
      </c>
      <c r="C105" s="92" t="s">
        <v>314</v>
      </c>
      <c r="D105" s="130" t="s">
        <v>3</v>
      </c>
      <c r="E105" s="117"/>
    </row>
    <row r="106" spans="1:5" s="42" customFormat="1" x14ac:dyDescent="0.25">
      <c r="A106" s="150"/>
      <c r="B106" s="149" t="s">
        <v>315</v>
      </c>
      <c r="C106" s="92" t="s">
        <v>316</v>
      </c>
      <c r="D106" s="130" t="s">
        <v>3</v>
      </c>
      <c r="E106" s="117"/>
    </row>
    <row r="107" spans="1:5" s="42" customFormat="1" x14ac:dyDescent="0.25">
      <c r="A107" s="151"/>
      <c r="B107" s="149" t="s">
        <v>317</v>
      </c>
      <c r="C107" s="92" t="s">
        <v>318</v>
      </c>
      <c r="D107" s="130" t="s">
        <v>3</v>
      </c>
      <c r="E107" s="117"/>
    </row>
    <row r="108" spans="1:5" s="42" customFormat="1" x14ac:dyDescent="0.25">
      <c r="A108" s="151"/>
      <c r="B108" s="149" t="s">
        <v>733</v>
      </c>
      <c r="C108" s="152" t="s">
        <v>734</v>
      </c>
      <c r="D108" s="130" t="s">
        <v>3</v>
      </c>
      <c r="E108" s="117"/>
    </row>
    <row r="109" spans="1:5" s="42" customFormat="1" x14ac:dyDescent="0.25">
      <c r="A109" s="127" t="s">
        <v>138</v>
      </c>
      <c r="B109" s="128"/>
      <c r="C109" s="129"/>
      <c r="D109" s="130" t="s">
        <v>3</v>
      </c>
      <c r="E109" s="117"/>
    </row>
    <row r="110" spans="1:5" s="42" customFormat="1" x14ac:dyDescent="0.25">
      <c r="A110" s="131"/>
      <c r="B110" s="132" t="s">
        <v>261</v>
      </c>
      <c r="C110" s="132" t="s">
        <v>262</v>
      </c>
      <c r="D110" s="130" t="s">
        <v>3</v>
      </c>
      <c r="E110" s="117"/>
    </row>
    <row r="111" spans="1:5" s="42" customFormat="1" x14ac:dyDescent="0.25">
      <c r="A111" s="133"/>
      <c r="B111" s="132" t="s">
        <v>263</v>
      </c>
      <c r="C111" s="132" t="s">
        <v>264</v>
      </c>
      <c r="D111" s="130" t="s">
        <v>3</v>
      </c>
      <c r="E111" s="117"/>
    </row>
    <row r="112" spans="1:5" s="42" customFormat="1" x14ac:dyDescent="0.25">
      <c r="A112" s="133"/>
      <c r="B112" s="132" t="s">
        <v>265</v>
      </c>
      <c r="C112" s="132" t="s">
        <v>266</v>
      </c>
      <c r="D112" s="130" t="s">
        <v>3</v>
      </c>
      <c r="E112" s="117"/>
    </row>
    <row r="113" spans="1:5" s="42" customFormat="1" x14ac:dyDescent="0.25">
      <c r="A113" s="139"/>
      <c r="B113" s="132" t="s">
        <v>267</v>
      </c>
      <c r="C113" s="132" t="s">
        <v>139</v>
      </c>
      <c r="D113" s="130" t="s">
        <v>3</v>
      </c>
      <c r="E113" s="117"/>
    </row>
    <row r="114" spans="1:5" s="42" customFormat="1" x14ac:dyDescent="0.25">
      <c r="A114" s="142" t="s">
        <v>309</v>
      </c>
      <c r="B114" s="153"/>
      <c r="C114" s="129"/>
      <c r="D114" s="130"/>
      <c r="E114" s="117"/>
    </row>
    <row r="115" spans="1:5" x14ac:dyDescent="0.25">
      <c r="A115" s="132"/>
      <c r="B115" s="140" t="s">
        <v>361</v>
      </c>
      <c r="C115" s="132" t="s">
        <v>311</v>
      </c>
      <c r="D115" s="130" t="s">
        <v>3</v>
      </c>
    </row>
  </sheetData>
  <conditionalFormatting sqref="D2:D115">
    <cfRule type="cellIs" dxfId="41" priority="36" operator="equal">
      <formula>"Not Tested"</formula>
    </cfRule>
    <cfRule type="cellIs" dxfId="40" priority="37" operator="equal">
      <formula>"Pending"</formula>
    </cfRule>
    <cfRule type="cellIs" dxfId="39" priority="38" operator="equal">
      <formula>"Ongoing"</formula>
    </cfRule>
    <cfRule type="cellIs" dxfId="38" priority="39" operator="equal">
      <formula>"Blocked"</formula>
    </cfRule>
    <cfRule type="cellIs" dxfId="37" priority="40" operator="equal">
      <formula>"Fail"</formula>
    </cfRule>
    <cfRule type="cellIs" dxfId="36" priority="41" operator="equal">
      <formula>"Partially Fail"</formula>
    </cfRule>
    <cfRule type="cellIs" dxfId="35" priority="42" operator="equal">
      <formula>"Pass"</formula>
    </cfRule>
  </conditionalFormatting>
  <conditionalFormatting sqref="D2:D115">
    <cfRule type="cellIs" dxfId="34" priority="29" operator="equal">
      <formula>"Not Tested"</formula>
    </cfRule>
    <cfRule type="cellIs" dxfId="33" priority="30" operator="equal">
      <formula>"Pending"</formula>
    </cfRule>
    <cfRule type="cellIs" dxfId="32" priority="31" operator="equal">
      <formula>"Ongoing"</formula>
    </cfRule>
    <cfRule type="cellIs" dxfId="31" priority="32" operator="equal">
      <formula>"Blocked"</formula>
    </cfRule>
    <cfRule type="cellIs" dxfId="30" priority="33" operator="equal">
      <formula>"Fail"</formula>
    </cfRule>
    <cfRule type="cellIs" dxfId="29" priority="34" operator="equal">
      <formula>"Partially Pass"</formula>
    </cfRule>
    <cfRule type="cellIs" dxfId="28" priority="35" operator="equal">
      <formula>"Pass"</formula>
    </cfRule>
  </conditionalFormatting>
  <conditionalFormatting sqref="D2:D115">
    <cfRule type="cellIs" dxfId="27" priority="22" operator="equal">
      <formula>"Not Tested"</formula>
    </cfRule>
    <cfRule type="cellIs" dxfId="26" priority="23" operator="equal">
      <formula>"Pending"</formula>
    </cfRule>
    <cfRule type="cellIs" dxfId="25" priority="24" operator="equal">
      <formula>"Ongoing"</formula>
    </cfRule>
    <cfRule type="cellIs" dxfId="24" priority="25" operator="equal">
      <formula>"Blocked"</formula>
    </cfRule>
    <cfRule type="cellIs" dxfId="23" priority="26" operator="equal">
      <formula>"Fail"</formula>
    </cfRule>
    <cfRule type="cellIs" dxfId="22" priority="27" operator="equal">
      <formula>"Partially Fail"</formula>
    </cfRule>
    <cfRule type="cellIs" dxfId="21" priority="28" operator="equal">
      <formula>"Pass"</formula>
    </cfRule>
  </conditionalFormatting>
  <conditionalFormatting sqref="D2:D115">
    <cfRule type="cellIs" dxfId="20" priority="15" operator="equal">
      <formula>"Not Tested"</formula>
    </cfRule>
    <cfRule type="cellIs" dxfId="19" priority="16" operator="equal">
      <formula>"Pending"</formula>
    </cfRule>
    <cfRule type="cellIs" dxfId="18" priority="17" operator="equal">
      <formula>"Ongoing"</formula>
    </cfRule>
    <cfRule type="cellIs" dxfId="17" priority="18" operator="equal">
      <formula>"Blocked"</formula>
    </cfRule>
    <cfRule type="cellIs" dxfId="16" priority="19" operator="equal">
      <formula>"Fail"</formula>
    </cfRule>
    <cfRule type="cellIs" dxfId="15" priority="20" operator="equal">
      <formula>"Partially Pass"</formula>
    </cfRule>
    <cfRule type="cellIs" dxfId="14" priority="21" operator="equal">
      <formula>"Pass"</formula>
    </cfRule>
  </conditionalFormatting>
  <conditionalFormatting sqref="D2:D115">
    <cfRule type="cellIs" dxfId="13" priority="7" operator="equal">
      <formula>"Not Tested"</formula>
    </cfRule>
    <cfRule type="cellIs" dxfId="12" priority="8" operator="equal">
      <formula>"Not Tested"</formula>
    </cfRule>
    <cfRule type="cellIs" dxfId="11" priority="9" operator="equal">
      <formula>"Pending"</formula>
    </cfRule>
    <cfRule type="cellIs" dxfId="10" priority="10" operator="equal">
      <formula>"Ongoing"</formula>
    </cfRule>
    <cfRule type="cellIs" dxfId="9" priority="11" operator="equal">
      <formula>"Blocked"</formula>
    </cfRule>
    <cfRule type="cellIs" dxfId="8" priority="12" operator="equal">
      <formula>"Fail"</formula>
    </cfRule>
    <cfRule type="cellIs" dxfId="7" priority="13" operator="equal">
      <formula>"Partially Fail"</formula>
    </cfRule>
    <cfRule type="cellIs" dxfId="6" priority="14" operator="equal">
      <formula>"Pass"</formula>
    </cfRule>
  </conditionalFormatting>
  <conditionalFormatting sqref="D2:D115">
    <cfRule type="cellIs" dxfId="5" priority="1" operator="equal">
      <formula>"Pending"</formula>
    </cfRule>
    <cfRule type="cellIs" dxfId="4" priority="2" operator="equal">
      <formula>"Ongoing"</formula>
    </cfRule>
    <cfRule type="cellIs" dxfId="3" priority="3" operator="equal">
      <formula>"Blocked"</formula>
    </cfRule>
    <cfRule type="cellIs" dxfId="2" priority="4" operator="equal">
      <formula>"Fail"</formula>
    </cfRule>
    <cfRule type="cellIs" dxfId="1" priority="5" operator="equal">
      <formula>"Partially Pass"</formula>
    </cfRule>
    <cfRule type="cellIs" dxfId="0" priority="6" operator="equal">
      <formula>"Pass"</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[5]Info!#REF!</xm:f>
          </x14:formula1>
          <xm:sqref>D2:D115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3"/>
  <sheetViews>
    <sheetView showGridLines="0" workbookViewId="0">
      <selection activeCell="A5" sqref="A5"/>
    </sheetView>
  </sheetViews>
  <sheetFormatPr defaultRowHeight="12.75" x14ac:dyDescent="0.2"/>
  <cols>
    <col min="1" max="1" width="22" style="2" bestFit="1" customWidth="1"/>
    <col min="2" max="2" width="25.85546875" style="2" bestFit="1" customWidth="1"/>
    <col min="3" max="16384" width="9.140625" style="2"/>
  </cols>
  <sheetData>
    <row r="1" spans="1:2" x14ac:dyDescent="0.2">
      <c r="A1" s="1" t="s">
        <v>15</v>
      </c>
    </row>
    <row r="2" spans="1:2" x14ac:dyDescent="0.2">
      <c r="A2" s="1"/>
    </row>
    <row r="3" spans="1:2" x14ac:dyDescent="0.2">
      <c r="A3" s="3" t="s">
        <v>3</v>
      </c>
      <c r="B3" s="4" t="s">
        <v>7</v>
      </c>
    </row>
    <row r="4" spans="1:2" x14ac:dyDescent="0.2">
      <c r="A4" s="5" t="s">
        <v>25</v>
      </c>
      <c r="B4" s="4" t="s">
        <v>26</v>
      </c>
    </row>
    <row r="5" spans="1:2" x14ac:dyDescent="0.2">
      <c r="A5" s="6" t="s">
        <v>4</v>
      </c>
      <c r="B5" s="4" t="s">
        <v>8</v>
      </c>
    </row>
    <row r="6" spans="1:2" x14ac:dyDescent="0.2">
      <c r="A6" s="7" t="s">
        <v>11</v>
      </c>
      <c r="B6" s="4" t="s">
        <v>12</v>
      </c>
    </row>
    <row r="7" spans="1:2" x14ac:dyDescent="0.2">
      <c r="A7" s="8" t="s">
        <v>9</v>
      </c>
      <c r="B7" s="4" t="s">
        <v>13</v>
      </c>
    </row>
    <row r="8" spans="1:2" x14ac:dyDescent="0.2">
      <c r="A8" s="9" t="s">
        <v>10</v>
      </c>
      <c r="B8" s="4" t="s">
        <v>14</v>
      </c>
    </row>
    <row r="9" spans="1:2" x14ac:dyDescent="0.2">
      <c r="A9" s="10" t="s">
        <v>5</v>
      </c>
      <c r="B9" s="4" t="s">
        <v>16</v>
      </c>
    </row>
    <row r="10" spans="1:2" x14ac:dyDescent="0.2">
      <c r="A10" s="54" t="s">
        <v>385</v>
      </c>
      <c r="B10" s="4"/>
    </row>
    <row r="33" spans="2:2" x14ac:dyDescent="0.2">
      <c r="B33" s="5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Summary Page</vt:lpstr>
      <vt:lpstr>Row_LOA_Count</vt:lpstr>
      <vt:lpstr>Smoke Test Checklists</vt:lpstr>
      <vt:lpstr>Sumit</vt:lpstr>
      <vt:lpstr>QM_List</vt:lpstr>
      <vt:lpstr>QM</vt:lpstr>
      <vt:lpstr>Care_quality</vt:lpstr>
      <vt:lpstr>Info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deerwalk</dc:creator>
  <cp:lastModifiedBy>rpathak</cp:lastModifiedBy>
  <cp:lastPrinted>2011-11-06T13:41:52Z</cp:lastPrinted>
  <dcterms:created xsi:type="dcterms:W3CDTF">2011-11-04T13:24:59Z</dcterms:created>
  <dcterms:modified xsi:type="dcterms:W3CDTF">2017-03-06T14:45:29Z</dcterms:modified>
</cp:coreProperties>
</file>