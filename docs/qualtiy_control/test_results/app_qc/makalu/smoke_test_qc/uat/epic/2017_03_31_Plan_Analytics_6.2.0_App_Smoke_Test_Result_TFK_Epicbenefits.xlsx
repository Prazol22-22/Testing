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615" yWindow="510" windowWidth="19320" windowHeight="7590" tabRatio="892"/>
  </bookViews>
  <sheets>
    <sheet name="Summary Page" sheetId="19" r:id="rId1"/>
    <sheet name="Row_LOA_Count" sheetId="17" r:id="rId2"/>
    <sheet name="Smoke Test Checklists" sheetId="20" r:id="rId3"/>
    <sheet name="Sumit" sheetId="13" state="hidden" r:id="rId4"/>
    <sheet name="QM_List" sheetId="12" state="hidden" r:id="rId5"/>
    <sheet name="QM" sheetId="15" state="hidden" r:id="rId6"/>
    <sheet name="Care_quality" sheetId="18" r:id="rId7"/>
    <sheet name="Info" sheetId="10" r:id="rId8"/>
  </sheets>
  <externalReferences>
    <externalReference r:id="rId9"/>
    <externalReference r:id="rId10"/>
    <externalReference r:id="rId11"/>
    <externalReference r:id="rId12"/>
    <externalReference r:id="rId13"/>
  </externalReferences>
  <definedNames>
    <definedName name="_xlnm._FilterDatabase" localSheetId="2" hidden="1">'Smoke Test Checklists'!$A$20:$EV$457</definedName>
    <definedName name="HERE">'Smoke Test Checklists'!#REF!</definedName>
    <definedName name="testresult" localSheetId="2">[1]Info!$A$3:$A$9</definedName>
    <definedName name="testresult" localSheetId="0">[1]Info!$A$3:$A$9</definedName>
    <definedName name="testresult">[2]Info!$A$3:$A$9</definedName>
    <definedName name="ttt">[3]Info!$A$3:$A$9</definedName>
  </definedNames>
  <calcPr calcId="144525"/>
</workbook>
</file>

<file path=xl/calcChain.xml><?xml version="1.0" encoding="utf-8"?>
<calcChain xmlns="http://schemas.openxmlformats.org/spreadsheetml/2006/main">
  <c r="I6" i="20" l="1"/>
  <c r="I7" i="20"/>
  <c r="I8" i="20"/>
  <c r="I9" i="20"/>
  <c r="I10" i="20"/>
  <c r="I11" i="20"/>
  <c r="I12" i="20"/>
  <c r="I13" i="20"/>
  <c r="I14" i="20"/>
  <c r="I15" i="20"/>
  <c r="I16" i="20"/>
  <c r="I17" i="20"/>
  <c r="J9" i="17" l="1"/>
  <c r="J8" i="17"/>
  <c r="J7" i="17"/>
  <c r="J6" i="17"/>
  <c r="J5" i="17"/>
  <c r="J4" i="17"/>
  <c r="J3" i="17"/>
  <c r="D6" i="17" l="1"/>
  <c r="D5" i="17"/>
  <c r="D4" i="17"/>
  <c r="D3" i="17"/>
  <c r="D2" i="17"/>
  <c r="I5" i="20" l="1"/>
</calcChain>
</file>

<file path=xl/sharedStrings.xml><?xml version="1.0" encoding="utf-8"?>
<sst xmlns="http://schemas.openxmlformats.org/spreadsheetml/2006/main" count="2535" uniqueCount="1316">
  <si>
    <t>Test Area</t>
  </si>
  <si>
    <t>Expected Result</t>
  </si>
  <si>
    <t>Remarks</t>
  </si>
  <si>
    <t>Pass</t>
  </si>
  <si>
    <t>Fail</t>
  </si>
  <si>
    <t>Not Tested</t>
  </si>
  <si>
    <t>Test  Procedure</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</si>
  <si>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</si>
  <si>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</si>
  <si>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</si>
  <si>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</si>
  <si>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</si>
  <si>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</si>
  <si>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</si>
  <si>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</si>
  <si>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</si>
  <si>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</si>
  <si>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</si>
  <si>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</si>
  <si>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</si>
  <si>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Section</t>
  </si>
  <si>
    <t>1) Verify the Dashboard sections</t>
  </si>
  <si>
    <t>Logout</t>
  </si>
  <si>
    <t>Sub-section</t>
  </si>
  <si>
    <t xml:space="preserve">1) Login as a normal user (CPT Copyright page should appear)
2) Click OK
</t>
  </si>
  <si>
    <t>Partially Pass</t>
  </si>
  <si>
    <t>Only some test cases pass</t>
  </si>
  <si>
    <t>Non-PHI User</t>
  </si>
  <si>
    <t>Quality Metric</t>
  </si>
  <si>
    <t>1) Click the link "Quality Metric"</t>
  </si>
  <si>
    <t>Top 20 Reports</t>
  </si>
  <si>
    <t>Utilization Metric</t>
  </si>
  <si>
    <t>1) Click 'Utilization Metric'</t>
  </si>
  <si>
    <t>Membership Distribution</t>
  </si>
  <si>
    <t>Footer</t>
  </si>
  <si>
    <t xml:space="preserve">1) Login as PHI user (CPT Copyright page should appear)
2) Click OK
</t>
  </si>
  <si>
    <t>Test Parameters</t>
  </si>
  <si>
    <t>Unit</t>
  </si>
  <si>
    <t xml:space="preserve">Expected Lower </t>
  </si>
  <si>
    <t>Expected Upper</t>
  </si>
  <si>
    <t>Within Range</t>
  </si>
  <si>
    <t xml:space="preserve">Total Health Plan </t>
  </si>
  <si>
    <t>PMPM ($)</t>
  </si>
  <si>
    <t xml:space="preserve">Medical Health Plan  </t>
  </si>
  <si>
    <t>Pharmacy Health Plan</t>
  </si>
  <si>
    <t xml:space="preserve">Inpatient </t>
  </si>
  <si>
    <t xml:space="preserve">Outpatient </t>
  </si>
  <si>
    <t>Office</t>
  </si>
  <si>
    <t>ER Visit</t>
  </si>
  <si>
    <t>Per 1000</t>
  </si>
  <si>
    <t>Total Admissions</t>
  </si>
  <si>
    <t>MRI Scan</t>
  </si>
  <si>
    <t>CT Scan</t>
  </si>
  <si>
    <t>Inpatient Days</t>
  </si>
  <si>
    <t>ALOS</t>
  </si>
  <si>
    <t>Average</t>
  </si>
  <si>
    <t>DATA QUALITY</t>
  </si>
  <si>
    <t>DQ01</t>
  </si>
  <si>
    <t>DQ02</t>
  </si>
  <si>
    <t>DQ03</t>
  </si>
  <si>
    <t>DQ04</t>
  </si>
  <si>
    <t>DQ05</t>
  </si>
  <si>
    <t>DQ06</t>
  </si>
  <si>
    <t>DQ07</t>
  </si>
  <si>
    <t>DQ08</t>
  </si>
  <si>
    <t>DQ09</t>
  </si>
  <si>
    <t>DQ10</t>
  </si>
  <si>
    <t>DQ11</t>
  </si>
  <si>
    <t>DQ12</t>
  </si>
  <si>
    <t>DQ13</t>
  </si>
  <si>
    <t>Generate Custom Report</t>
  </si>
  <si>
    <t>Pharmacy Scripts</t>
  </si>
  <si>
    <t>1) Click 'Providers'</t>
  </si>
  <si>
    <t>1) Click 'Procedure Groups'</t>
  </si>
  <si>
    <t>1) Click "Injectable Drugs"</t>
  </si>
  <si>
    <t>Checklist ID</t>
  </si>
  <si>
    <t>Screen ID</t>
  </si>
  <si>
    <t>Medical Claim Lag</t>
  </si>
  <si>
    <t>Expense Distribution</t>
  </si>
  <si>
    <t>High Cost Members</t>
  </si>
  <si>
    <t>Member Summary</t>
  </si>
  <si>
    <t>Risk Analysis</t>
  </si>
  <si>
    <t>1) Fill up selection criterion
2) Click Submit</t>
  </si>
  <si>
    <t xml:space="preserve">1)Click  'Medical'
</t>
  </si>
  <si>
    <t>Utilization</t>
  </si>
  <si>
    <t>Two or more ER Visits in the last 6 months</t>
  </si>
  <si>
    <t>Hospital readmission within 30 days of discharge</t>
  </si>
  <si>
    <t>Office visit within 30 days of inpatient discharge</t>
  </si>
  <si>
    <t>3 or more ER Visits in the last 6 months</t>
  </si>
  <si>
    <t>Asthma</t>
  </si>
  <si>
    <t>Asthma with pneumococcal vaccination</t>
  </si>
  <si>
    <t>Two or more asthma related ER Visits in the last 6 months</t>
  </si>
  <si>
    <t>Asthma related admit in last 12 months</t>
  </si>
  <si>
    <t>Asthma with influenza vaccination in last 12 months</t>
  </si>
  <si>
    <t>Persistent asthma with annual pulmonary function test</t>
  </si>
  <si>
    <t>Received control inhaler (long acting) in last 12 months</t>
  </si>
  <si>
    <t>Received rescue inhaler (short acting) in last 12 months</t>
  </si>
  <si>
    <t>Uses &gt; 1 canister short-acting inhaled beta agonist/month</t>
  </si>
  <si>
    <t>Hepatitis C</t>
  </si>
  <si>
    <t>HCV RNA testing at week 12 of antiviral treatment</t>
  </si>
  <si>
    <t>HCV RNA testing at week 24 of antiviral treatment</t>
  </si>
  <si>
    <t>HCV RNA testing before initiating anti-viral medication treatment</t>
  </si>
  <si>
    <t>Members on antiviral drug in the last 12 months.</t>
  </si>
  <si>
    <t>Wellness</t>
  </si>
  <si>
    <t>Males age greater than 49 with PSA test in last 24 months</t>
  </si>
  <si>
    <t>Lead Screening in Children</t>
  </si>
  <si>
    <t>Annual well-child exam (age 2 to 6 yrs)</t>
  </si>
  <si>
    <t>Annual well-child exam (age 7 to 12 yrs)</t>
  </si>
  <si>
    <t>Annual well-child exam (age 13 to 21 yrs)</t>
  </si>
  <si>
    <t>Age 50 to 75 years with colorectal cancer screening</t>
  </si>
  <si>
    <t>Well Child Visit - 15 months</t>
  </si>
  <si>
    <t>Infant - 1 or more Well Child Visit</t>
  </si>
  <si>
    <t>Infant - Well &amp; Non-Well Office Visit</t>
  </si>
  <si>
    <t>Infant - Non-Well Child Visit Only</t>
  </si>
  <si>
    <t>Age 13 to 21 yrs with recommended immunizations</t>
  </si>
  <si>
    <t>Age 13 yrs with recommended immunizations</t>
  </si>
  <si>
    <t>Age 2 yrs with recommended immunizations</t>
  </si>
  <si>
    <t>Routine office visit in last 6 months</t>
  </si>
  <si>
    <t>Women age 21 years and older with cervical cancer screen last 36 months</t>
  </si>
  <si>
    <t>Glaucoma screening in last 24 months (age 65 yrs. &amp; older)</t>
  </si>
  <si>
    <t>Women age 21-65 with recommended cervical cancer screening</t>
  </si>
  <si>
    <t>Diabetes</t>
  </si>
  <si>
    <t>Annual LDL-C screening</t>
  </si>
  <si>
    <t>Diabetes with CVD or &gt;40 yrs with CVD risks not on statin</t>
  </si>
  <si>
    <t>LDL&lt;100mg/dL</t>
  </si>
  <si>
    <t>LDL&lt;130mg/dL</t>
  </si>
  <si>
    <t>BP&lt;130/80 mmHg</t>
  </si>
  <si>
    <t>BP&lt;140/90 mmHg</t>
  </si>
  <si>
    <t>HbA1c&lt;7.0%</t>
  </si>
  <si>
    <t>HbA1c&lt;8.0%</t>
  </si>
  <si>
    <t>HbA1c&gt;9.0%</t>
  </si>
  <si>
    <t>Smoking Status/Cessation Advice/Treatment</t>
  </si>
  <si>
    <t>Hypertension</t>
  </si>
  <si>
    <t>Hypertension diagnosis and prescribed statin and gaps in prescription refills</t>
  </si>
  <si>
    <t>Annual serum creatinine test</t>
  </si>
  <si>
    <t>COPD</t>
  </si>
  <si>
    <t>Annual flu vaccination</t>
  </si>
  <si>
    <t>Exacerbation with inhaled bronchodilator/ corticosteroid last 12 months</t>
  </si>
  <si>
    <t>Additional Gaps</t>
  </si>
  <si>
    <t>No PCP visit last 12 months</t>
  </si>
  <si>
    <t>CHF</t>
  </si>
  <si>
    <t>Re-admission to hospital with Heart Failure diagnosis within 30 days following a HF inpatient stay discharge</t>
  </si>
  <si>
    <t>ER Visit for Heart Failure in last 90 days</t>
  </si>
  <si>
    <t>Follow-up OV within 4 weeks of discharge from HF admission</t>
  </si>
  <si>
    <t>Pregnancy</t>
  </si>
  <si>
    <t>Postpartum visit 21 to 56 days after delivery</t>
  </si>
  <si>
    <t>Timeliness of Prenatal Care</t>
  </si>
  <si>
    <t>Hyperlipidemia</t>
  </si>
  <si>
    <t>CAD</t>
  </si>
  <si>
    <t>A01</t>
  </si>
  <si>
    <t>Annual lipid profile</t>
  </si>
  <si>
    <t>A02</t>
  </si>
  <si>
    <t>On anti-platelet medication</t>
  </si>
  <si>
    <t>A03</t>
  </si>
  <si>
    <t>On lipid lowering medication</t>
  </si>
  <si>
    <t>B01</t>
  </si>
  <si>
    <t>Heart failure and atrial fibrillation on warfarin therapy</t>
  </si>
  <si>
    <t>B02</t>
  </si>
  <si>
    <t>Heart failure and LVSD on ACE/ARB</t>
  </si>
  <si>
    <t>B03</t>
  </si>
  <si>
    <t>Heart failure and LVSD on beta-blocker</t>
  </si>
  <si>
    <t>B04</t>
  </si>
  <si>
    <t>B05</t>
  </si>
  <si>
    <t>B06</t>
  </si>
  <si>
    <t>C01</t>
  </si>
  <si>
    <t>Re-admission to hospital with COPD diagnosis within 30 days following a COPD inpatient stay discharge</t>
  </si>
  <si>
    <t>C02</t>
  </si>
  <si>
    <t>Members with COPD who have had a visit to an ER for COPD related diagnosis in the past 90 days</t>
  </si>
  <si>
    <t>C03</t>
  </si>
  <si>
    <t>Exacerbations in last 12 months</t>
  </si>
  <si>
    <t>C04</t>
  </si>
  <si>
    <t>Individuals over the age of 20 years with diagnosed COPD are on bronchodilator therapy</t>
  </si>
  <si>
    <t>C05</t>
  </si>
  <si>
    <t>Members with COPD who had an annual spirometry test</t>
  </si>
  <si>
    <t>C06</t>
  </si>
  <si>
    <t>C07</t>
  </si>
  <si>
    <t>D01</t>
  </si>
  <si>
    <t>Annual dilated eye exam</t>
  </si>
  <si>
    <t>D02</t>
  </si>
  <si>
    <t>Annual foot exam</t>
  </si>
  <si>
    <t>D03</t>
  </si>
  <si>
    <t>Annual HbA1c test done</t>
  </si>
  <si>
    <t>D04</t>
  </si>
  <si>
    <t>D05</t>
  </si>
  <si>
    <t>Claims for home glucose testing supplies in last 12 months</t>
  </si>
  <si>
    <t>D06</t>
  </si>
  <si>
    <t>Annual microalbumin urine screen</t>
  </si>
  <si>
    <t>D07</t>
  </si>
  <si>
    <t>D08</t>
  </si>
  <si>
    <t>D09</t>
  </si>
  <si>
    <t>D10</t>
  </si>
  <si>
    <t>D11</t>
  </si>
  <si>
    <t>D12</t>
  </si>
  <si>
    <t>D13</t>
  </si>
  <si>
    <t>D14</t>
  </si>
  <si>
    <t>D15</t>
  </si>
  <si>
    <t>D16</t>
  </si>
  <si>
    <t>E01</t>
  </si>
  <si>
    <t>Return to hospital with same asthma diagnosis within 30 days following inpatient discharge</t>
  </si>
  <si>
    <t>E02</t>
  </si>
  <si>
    <t>Visit to an ED/Urgent care office for asthma in the past 6 months</t>
  </si>
  <si>
    <t>E03</t>
  </si>
  <si>
    <t>Asthma and a routine provider visit in the last 12 months</t>
  </si>
  <si>
    <t>E04</t>
  </si>
  <si>
    <t>Children with asthma-related acute visit in the past two months</t>
  </si>
  <si>
    <t>E05</t>
  </si>
  <si>
    <t>Members with asthma currently taking a prescription medication for asthma</t>
  </si>
  <si>
    <t>E06</t>
  </si>
  <si>
    <t>E07</t>
  </si>
  <si>
    <t>E08</t>
  </si>
  <si>
    <t>E09</t>
  </si>
  <si>
    <t>E10</t>
  </si>
  <si>
    <t>E11</t>
  </si>
  <si>
    <t>E12</t>
  </si>
  <si>
    <t>E13</t>
  </si>
  <si>
    <t>F01</t>
  </si>
  <si>
    <t>On antihypertensive medication</t>
  </si>
  <si>
    <t>F02</t>
  </si>
  <si>
    <t>F03</t>
  </si>
  <si>
    <t>F04</t>
  </si>
  <si>
    <t>G01</t>
  </si>
  <si>
    <t>Hyperlipidemia Annual lipid profile</t>
  </si>
  <si>
    <t>G02</t>
  </si>
  <si>
    <t>On lipid-lowering medication</t>
  </si>
  <si>
    <t>G03</t>
  </si>
  <si>
    <t>Prescribed statin and gaps in prescription refills</t>
  </si>
  <si>
    <t>H01</t>
  </si>
  <si>
    <t>H02</t>
  </si>
  <si>
    <t>H03</t>
  </si>
  <si>
    <t>H04</t>
  </si>
  <si>
    <t>P01</t>
  </si>
  <si>
    <t>P02</t>
  </si>
  <si>
    <t>U01</t>
  </si>
  <si>
    <t>U02</t>
  </si>
  <si>
    <t>U03</t>
  </si>
  <si>
    <t>U04</t>
  </si>
  <si>
    <t>W03</t>
  </si>
  <si>
    <t>W04</t>
  </si>
  <si>
    <t>Women age 21 years and older with cervical cancer screen last 24 months</t>
  </si>
  <si>
    <t>W05</t>
  </si>
  <si>
    <t>W07</t>
  </si>
  <si>
    <t>Routine exam in last 24 months</t>
  </si>
  <si>
    <t>W08</t>
  </si>
  <si>
    <t>Women age 40 to 69 with a screening mammogram last 24 months</t>
  </si>
  <si>
    <t>W09</t>
  </si>
  <si>
    <t>W10</t>
  </si>
  <si>
    <t>W11</t>
  </si>
  <si>
    <t>W12</t>
  </si>
  <si>
    <t>W13</t>
  </si>
  <si>
    <t>Age 2 - 6 yrs with recommended immunizations</t>
  </si>
  <si>
    <t>W14</t>
  </si>
  <si>
    <t>W15</t>
  </si>
  <si>
    <t>W16</t>
  </si>
  <si>
    <t>W17</t>
  </si>
  <si>
    <t>W18</t>
  </si>
  <si>
    <t>W19</t>
  </si>
  <si>
    <t>W20</t>
  </si>
  <si>
    <t>W21</t>
  </si>
  <si>
    <t>W22</t>
  </si>
  <si>
    <t>W23</t>
  </si>
  <si>
    <t>W26</t>
  </si>
  <si>
    <t>X01</t>
  </si>
  <si>
    <t>Aged 65 years and older on high risk drug</t>
  </si>
  <si>
    <t>X02</t>
  </si>
  <si>
    <t>On statin drug without both an ALT and an AST in the past 12 months</t>
  </si>
  <si>
    <t>X03</t>
  </si>
  <si>
    <t>No monthly PT/INR for warfarin users</t>
  </si>
  <si>
    <t>X04</t>
  </si>
  <si>
    <t>Category</t>
  </si>
  <si>
    <t>Metric</t>
  </si>
  <si>
    <t>Diagnosis</t>
  </si>
  <si>
    <t>Diagnosis Grouper</t>
  </si>
  <si>
    <t>Member</t>
  </si>
  <si>
    <t>Place of service</t>
  </si>
  <si>
    <t>Paid Month</t>
  </si>
  <si>
    <t>Procedure</t>
  </si>
  <si>
    <t>Procedure grouper</t>
  </si>
  <si>
    <t>Provider</t>
  </si>
  <si>
    <t>Provider Month</t>
  </si>
  <si>
    <t>service month</t>
  </si>
  <si>
    <t>Allowed amount</t>
  </si>
  <si>
    <t>Billed Amount</t>
  </si>
  <si>
    <t>COB amount</t>
  </si>
  <si>
    <t>coinsurance Amount</t>
  </si>
  <si>
    <t>Copayment</t>
  </si>
  <si>
    <t>Deductable</t>
  </si>
  <si>
    <t>Not covered Amount</t>
  </si>
  <si>
    <t>Other saving</t>
  </si>
  <si>
    <t>PPO Savings</t>
  </si>
  <si>
    <t>Admission</t>
  </si>
  <si>
    <t>ER visits</t>
  </si>
  <si>
    <t>Hospital Days Count</t>
  </si>
  <si>
    <t>Service Qty</t>
  </si>
  <si>
    <t xml:space="preserve">Count </t>
  </si>
  <si>
    <t xml:space="preserve">Total </t>
  </si>
  <si>
    <t>Term</t>
  </si>
  <si>
    <t>Order By</t>
  </si>
  <si>
    <t>Value Field</t>
  </si>
  <si>
    <t>Summarize By</t>
  </si>
  <si>
    <t>Program Summary</t>
  </si>
  <si>
    <t>Summary Report [Medical]</t>
  </si>
  <si>
    <t>Summary Report [Pharmacy]</t>
  </si>
  <si>
    <t>Brand Name</t>
  </si>
  <si>
    <t>Prescriber</t>
  </si>
  <si>
    <t>RX Class</t>
  </si>
  <si>
    <t>Paid Amount</t>
  </si>
  <si>
    <t>Filled month</t>
  </si>
  <si>
    <t>Provider specialty</t>
  </si>
  <si>
    <t>SMOKE TEST RESULT</t>
  </si>
  <si>
    <t>RA</t>
  </si>
  <si>
    <t>RA01</t>
  </si>
  <si>
    <t>On Disease-Modifying Anti-Rheumatic Drugs (DMARD)</t>
  </si>
  <si>
    <t>Clinical Parameters</t>
  </si>
  <si>
    <t>W27</t>
  </si>
  <si>
    <t>Members age 19 to 39 years with cholesterol screening is done</t>
  </si>
  <si>
    <t>W28</t>
  </si>
  <si>
    <t>Members age 40 to 64 years with cholesterol screening is done</t>
  </si>
  <si>
    <t>W29</t>
  </si>
  <si>
    <t>Members aged 65 years and older with an annual preventive visit</t>
  </si>
  <si>
    <t>Values</t>
  </si>
  <si>
    <t>1) Click 'Therapeutic Classes'</t>
  </si>
  <si>
    <t>1) Click ''Drugs'</t>
  </si>
  <si>
    <t>Eligibility</t>
  </si>
  <si>
    <t>Biometrics</t>
  </si>
  <si>
    <t>Search</t>
  </si>
  <si>
    <t>Comparision</t>
  </si>
  <si>
    <t>1) Click 'Member Search'</t>
  </si>
  <si>
    <t>Financial Analytics Popup</t>
  </si>
  <si>
    <t xml:space="preserve">1) Click 'Financial Analytics'
</t>
  </si>
  <si>
    <t>1) Click 'Financial Analytics'
2) Fill up selection criterion.
3) Click Submit.</t>
  </si>
  <si>
    <t>1) Click Generate Custom Report</t>
  </si>
  <si>
    <t>QA Verified Link</t>
  </si>
  <si>
    <t xml:space="preserve"> 1) Check for QA Verified Logo.</t>
  </si>
  <si>
    <t>Login Page</t>
  </si>
  <si>
    <t>1) Check for Co Branded Client Logo.</t>
  </si>
  <si>
    <t>Change Password</t>
  </si>
  <si>
    <t>1) User should be able to change existing password.</t>
  </si>
  <si>
    <t>1)Check Footer</t>
  </si>
  <si>
    <t xml:space="preserve">1) Network Comparison should appear
</t>
  </si>
  <si>
    <t>Client Specific Check list</t>
  </si>
  <si>
    <t xml:space="preserve"> Checklist ID</t>
  </si>
  <si>
    <t xml:space="preserve">Modules </t>
  </si>
  <si>
    <t>Test Results</t>
  </si>
  <si>
    <t>Related Defects</t>
  </si>
  <si>
    <t>CS01</t>
  </si>
  <si>
    <t>Cycle Date Range</t>
  </si>
  <si>
    <t>CS02</t>
  </si>
  <si>
    <t>Level 1</t>
  </si>
  <si>
    <t>CS03</t>
  </si>
  <si>
    <t>Level 2</t>
  </si>
  <si>
    <t>Level 3</t>
  </si>
  <si>
    <t>Dashboard Customization</t>
  </si>
  <si>
    <t>Report Manager</t>
  </si>
  <si>
    <t>W02</t>
  </si>
  <si>
    <t>Age 50 to 64 with annual flu vaccination</t>
  </si>
  <si>
    <t>W06</t>
  </si>
  <si>
    <t>Women age 65 and older with screening for osteoporosis</t>
  </si>
  <si>
    <t>W24</t>
  </si>
  <si>
    <t>Members aged 19 years to 39 with preventive visit in last 24 months</t>
  </si>
  <si>
    <t>W25</t>
  </si>
  <si>
    <t>Members aged 40 years to 64 years with preventive visit in last 24 months</t>
  </si>
  <si>
    <t>R01</t>
  </si>
  <si>
    <t>Cohort</t>
  </si>
  <si>
    <t>1) Check Cohort label in Respective Popup label on : Reports, Search Modules,Care Quality,Comparison</t>
  </si>
  <si>
    <t>Recent ER visit Report</t>
  </si>
  <si>
    <t>1) Click the Recent ER visit  report link.</t>
  </si>
  <si>
    <t>Generate Health plan Report</t>
  </si>
  <si>
    <t>1) Click the link Generate Health plan Report.</t>
  </si>
  <si>
    <t>Generate Health Plan Report</t>
  </si>
  <si>
    <t>1) Click 'Diagnosis Groups'</t>
  </si>
  <si>
    <t>D17</t>
  </si>
  <si>
    <t>D18</t>
  </si>
  <si>
    <t>Diabetics on an ACE/ARB</t>
  </si>
  <si>
    <t>Diabetics on oral anti diabetic agents</t>
  </si>
  <si>
    <t>Episodes</t>
  </si>
  <si>
    <t>Report Date</t>
  </si>
  <si>
    <t>Product</t>
  </si>
  <si>
    <t>Plan Analytics</t>
  </si>
  <si>
    <t>Test Environment</t>
  </si>
  <si>
    <t>Rel Ver</t>
  </si>
  <si>
    <t>Client</t>
  </si>
  <si>
    <t>Group/s</t>
  </si>
  <si>
    <t>Book Of Business</t>
  </si>
  <si>
    <t>Basis</t>
  </si>
  <si>
    <t xml:space="preserve">Paid </t>
  </si>
  <si>
    <t>Not Applicable</t>
  </si>
  <si>
    <t xml:space="preserve">Summary  </t>
  </si>
  <si>
    <t>SMOKE TEST CASE REVISION HISTORY</t>
  </si>
  <si>
    <t>Date</t>
  </si>
  <si>
    <t>Version</t>
  </si>
  <si>
    <t>Description</t>
  </si>
  <si>
    <t>Author/s</t>
  </si>
  <si>
    <t>Reviewer/s</t>
  </si>
  <si>
    <t>4.3</t>
  </si>
  <si>
    <t>Features added in check list for version 4.3</t>
  </si>
  <si>
    <t>AjitaP</t>
  </si>
  <si>
    <t>Start Date</t>
  </si>
  <si>
    <t>End Date</t>
  </si>
  <si>
    <t>Tester/s</t>
  </si>
  <si>
    <t>Overall Result</t>
  </si>
  <si>
    <t>Total LOA Count</t>
  </si>
  <si>
    <t>Front End Total Member</t>
  </si>
  <si>
    <t>Backend Total Members</t>
  </si>
  <si>
    <t>Result</t>
  </si>
  <si>
    <t>Parameters</t>
  </si>
  <si>
    <t>Value</t>
  </si>
  <si>
    <t>Front End LOA</t>
  </si>
  <si>
    <t>Back End LOA</t>
  </si>
  <si>
    <t>Medical</t>
  </si>
  <si>
    <t>Pharmacy</t>
  </si>
  <si>
    <t>Details</t>
  </si>
  <si>
    <t>Dashboard, FA Popup,CA Popup, QM popup</t>
  </si>
  <si>
    <t>Config table in DB</t>
  </si>
  <si>
    <t xml:space="preserve">Co Branded Client
</t>
  </si>
  <si>
    <t xml:space="preserve">1. Client specific logo should be visible for Co-branded Client.
</t>
  </si>
  <si>
    <t>Non Co-Branded Client</t>
  </si>
  <si>
    <t>1. Deerwalk logo should be visible for non Cobranded Client</t>
  </si>
  <si>
    <t xml:space="preserve">PHI User
</t>
  </si>
  <si>
    <t xml:space="preserve">1) on loging, PHI User should be logged in and should be landed to Makalu Dashboard.
</t>
  </si>
  <si>
    <t xml:space="preserve">1) on loging, non-PHI User should be logged in and should be landed to Makalu Dashboard. </t>
  </si>
  <si>
    <t>2) PHI data(member information) should not be visible to Non PHI users.</t>
  </si>
  <si>
    <t>Header Menu bar</t>
  </si>
  <si>
    <t xml:space="preserve">1) Dashboard should consist of the following sections:
Top Central Menu bar:
1) Report
     -Financial Analytics
     -Clinical Analytics
     -Program Evaluator
     -Report Manager
2) Search
     -Member
     -Medical
     -Pharmacy
     -Eligibility
     -Biometrics
     -HRA
     -Episodes
     -Utilization
     -Participation
3) Care Quality
4) Risk Analysis
5) Comparison
- below these menu, it should contain reporting period date, paid through date, basis, application details icon and population line with all selected LOAs parameters for dashboard graphs.
- Edit Dashboard population popup should appear
- Popup should contain clientwise LOAs with their options, cohort and reporting period date.
- The  LOAs preference selected for dashboard should not be carried over to any other module in the application.
</t>
  </si>
  <si>
    <t>Dashboard Body (Graph)</t>
  </si>
  <si>
    <t xml:space="preserve">1)Dashboard graphs should be displayed as per the user's selection and order in dashboard customization settings page. </t>
  </si>
  <si>
    <t>2) The graphs displayed should be as per the population selected in Edit Dashboard population popup.</t>
  </si>
  <si>
    <t>3) Drill down from Population Risk, Chronic Conditions and  Distribution of Health Care Expenses result to Member List page.</t>
  </si>
  <si>
    <t>4) Piwik JS code should be seen at Dashboard&gt;&gt;RightClick&gt;&gt;View page Source.</t>
  </si>
  <si>
    <t>Report</t>
  </si>
  <si>
    <t>Financial Analytics</t>
  </si>
  <si>
    <t xml:space="preserve">1) Financial Analytics Popup should appear.
</t>
  </si>
  <si>
    <t>2) Popup should contain Client wise LOAs with their respective options.</t>
  </si>
  <si>
    <t xml:space="preserve">1) All Records should be in accordance to LOA selected. (Health Plan Snapshot for default selection). All the criteria should be visible in left menu below Health plan Snapshot. 
</t>
  </si>
  <si>
    <t>3) Preference of LOA Selected from any Module of Search, Comparison and Financial Analytics should be reflected to all other Modules except for Dashboard.</t>
  </si>
  <si>
    <t xml:space="preserve">4) If Participation is selected, Program Type should appear. </t>
  </si>
  <si>
    <t>Group Summary Page</t>
  </si>
  <si>
    <t xml:space="preserve">1) Group Summary page should appear. 
</t>
  </si>
  <si>
    <t>2) Following columns should be present on Compare view:
  - Group, # of Subscribers, # of Members, Med Paid, Rx Paid, Total Paid, Med PEPM, Rx PEPM, Total PEPM, Group Risk Score. 
  - drilldown should be available on # of Subscribers, # of Members, Med Paid, Rx Paid, Group Risk Score
 - Page Total and Total should be present at the bottom</t>
  </si>
  <si>
    <t>3) Report should be able to export on pdf, doc and csv format. Exported report should match with Application report.</t>
  </si>
  <si>
    <t>Healthcare Trends&gt;&gt;Medical</t>
  </si>
  <si>
    <t xml:space="preserve">1) Healthcare Trends - Medical Page should apear. Medical Records should display
</t>
  </si>
  <si>
    <t>2) Label "This report always runs on a Paid Basis, even if it is selected as Incurred Basis when generating Financial Analytics." should be present.</t>
  </si>
  <si>
    <t>3) This label should be present at the top of all exports.</t>
  </si>
  <si>
    <t>5) Greater than value should accept value  between '10000' and 1 billion.</t>
  </si>
  <si>
    <t>6) Chart/Compare View options should be present on Monthly Analysis. User should be able to customize record view by using these tabs.</t>
  </si>
  <si>
    <t xml:space="preserve">7) Monthly Analysis chart should contain "Monthly Analysis ALL" chart </t>
  </si>
  <si>
    <t>8) Report should be able to export on pdf, doc and csv format. Exported report should match with Application report.</t>
  </si>
  <si>
    <t>Healthcare Trends&gt;&gt;Pharmacy</t>
  </si>
  <si>
    <r>
      <t xml:space="preserve">1) Click on link of </t>
    </r>
    <r>
      <rPr>
        <b/>
        <sz val="10"/>
        <color theme="1" tint="4.9989318521683403E-2"/>
        <rFont val="Calibri"/>
        <family val="2"/>
        <scheme val="minor"/>
      </rPr>
      <t xml:space="preserve">'+' </t>
    </r>
    <r>
      <rPr>
        <sz val="10"/>
        <color theme="1" tint="4.9989318521683403E-2"/>
        <rFont val="Calibri"/>
        <family val="2"/>
        <scheme val="minor"/>
      </rPr>
      <t>sign at right side of Greater than 1000 Tab</t>
    </r>
  </si>
  <si>
    <t xml:space="preserve">1) Healthcare Trends - Pharmacy Page should apear. Pharmacy records should display
</t>
  </si>
  <si>
    <t>4) Should contain "Periodic Analysis" and "Monthly Analysis" tabs. These tabs should contain sub tabs: "All" and "Greater than"</t>
  </si>
  <si>
    <t>5) Periodic Analysis: All
 - should contain records: Employer vs. Copay, Copay Breakdown of Scripts, Total Cost Breakdown</t>
  </si>
  <si>
    <t xml:space="preserve">2) Columns: Network, Network Status, # of Members, # of Claims, Total Billed Amount, Total Allowed Amount, Total Paid Amount, Total Employee Contribution, Network Discount Total Amount, % Discount should be present for both Reporting and Comparison </t>
  </si>
  <si>
    <t xml:space="preserve">3) In Network and Out of Network name should display.
</t>
  </si>
  <si>
    <t>4) Report should be able to export on pdf, doc and csv format. Exported report should match with Application report.</t>
  </si>
  <si>
    <t xml:space="preserve">1) Medical Claim Lag page should appear
</t>
  </si>
  <si>
    <t>2) "View Months" dropdown should be present. Its options should be 12, 24 and 36</t>
  </si>
  <si>
    <t>3) Columns: Paid date, Service date and Dollars (In 1,000s) should be present</t>
  </si>
  <si>
    <t>5) All Serivce date should be drillable</t>
  </si>
  <si>
    <t xml:space="preserve">1) Quality Metric page should appear.
</t>
  </si>
  <si>
    <t xml:space="preserve">2) "Change Metrics" should be present so that user can customize metrics that they want to view. </t>
  </si>
  <si>
    <t>3) Chart and Compare buttons should be present. Chart view should be default</t>
  </si>
  <si>
    <t>4) on chart view, it should contain columns: Category, Metric and Reporting period. 
 -  Metric column should contain its sub columns: 20%, 40%, 60%, 80% and 100%. These % should highlights categories description indicating its percentage.
 - Reporting peroid should contain sub columns: #Members in Group, #Meeting Metric, #Not Meeting Metric and % Meeting Metric. 
 - data #Members in Group, #Meeting Metric and #Not Meeting Metric should be drillable and should land to Member detail.</t>
  </si>
  <si>
    <t>5) Compare view should contain QM records of "Comparison Period" too.</t>
  </si>
  <si>
    <t>6) Report should be able to export on pdf, doc and csv format. Exported report should match with Application report.</t>
  </si>
  <si>
    <t xml:space="preserve">Diagnosis Groups </t>
  </si>
  <si>
    <t xml:space="preserve">1) Top 20 Diagnoses page should appear.
</t>
  </si>
  <si>
    <t>2) Grouper and Sub-Grouper should be available as drop -down option.</t>
  </si>
  <si>
    <t>3) Data table should contain columns: SN, Diagnoses and Reporting Period. Reporting Coluums should contains sub columns: Total Paid Amount and PMPM. Total Paid Amount should be drillable and it should lead to Medical data list page.</t>
  </si>
  <si>
    <t>4) Compare view should contain Top 20 Diagnosis records of "Comparison Period" too. It should also contain % Change and Prior Period Ranking column</t>
  </si>
  <si>
    <t>5) data table should contain All Others, Total Paid Amount and Total PMPM at the buttom for both Reporting and Comparison periods.</t>
  </si>
  <si>
    <t>Procedure Groups</t>
  </si>
  <si>
    <t>1) Top 20 Procedure page should appear.</t>
  </si>
  <si>
    <t>2) Data table should contain following columns: SN,Procedure Group and Reporting Period. Reporting Coluums should contains sub columns: Total Paid Amount and PMPM. Total Paid Amount should be drillable and it should lead to Medical data list page.</t>
  </si>
  <si>
    <t>3) "Compare" view should contain Top 20 Procedure records of "Comparison Period" too. It should also contain % Change and Prior Period Ranking column</t>
  </si>
  <si>
    <t>4) data table should contain All Others, Total Paid Amount and Total PMPM at the buttom for both Reporting and Comparison periods.</t>
  </si>
  <si>
    <t>5) Report should be able to export on pdf, doc and csv format. Exported report should match with Application report.</t>
  </si>
  <si>
    <t>Therapeutic Classes</t>
  </si>
  <si>
    <t xml:space="preserve">1) Top 20 Therapeutic page should appear.
</t>
  </si>
  <si>
    <t>2) Data table should contain columns: SN,Therapeutic Classes and Reporting Period. Reporting Columns should contains sub columns: Total Paid Amount and PMPM. Total Paid Amount should be drillable and it should lead to Medical data list page.</t>
  </si>
  <si>
    <t>3) Compare view should contain Top 20 Therapeutic records of "Comparison Period" too. It should also contain % Change, Member Count and Prior Period Ranking column</t>
  </si>
  <si>
    <t>Drugs</t>
  </si>
  <si>
    <t xml:space="preserve">1) Top 20 Drugs page should appear.
</t>
  </si>
  <si>
    <t>2) Data table should contain following columns: SN, Drugs, Generic and Reporting Period. Reporting Columns should contains sub columns: Total Paid Amount, Prescription Count, Member Count and PMPM. Total Paid Amount should be drillable and it should lead to Medical data list page.</t>
  </si>
  <si>
    <t>3) Compare view should contain Top 20 Drugs records of "Comparison Period" too. It should also contain % Change, Member Count and Prior Period Ranking column</t>
  </si>
  <si>
    <t>Injectable Drugs</t>
  </si>
  <si>
    <t xml:space="preserve">1) Top 20 Injectable Drugs page should appear.
</t>
  </si>
  <si>
    <t>2) Data table should contain following column: SN, Injectable drugs and Reporting Period. Reporting Columns should contains sub columns: Total Paid Amount and PMPM. Total Paid Amount should be drillable and it should lead to Medical data list page.</t>
  </si>
  <si>
    <t>3) Compare view should contain Top 20 Injectable Drugs records of "Comparison Period" too. It should also contain % Change, Member Count and Prior Period Ranking column</t>
  </si>
  <si>
    <t xml:space="preserve">1) Top 20 Providers page should appear.
</t>
  </si>
  <si>
    <t>2) Data table should contain columns: SN,Providers and Reporting Period. Reporting Columns should contains Total Paid Amount which should be drillable and should lead to Medical data list page.</t>
  </si>
  <si>
    <t>3) Compare view should contain Providers record of "Comparison Period" too. It should also contain % Change and Prior Period Ranking column</t>
  </si>
  <si>
    <t>Place of Service</t>
  </si>
  <si>
    <t>2) Data table should contain following columns: SN, POS and Reporting Period. Reporting Coluums should contains sub columns: Total Paid Amount, PMPM and Benchmark. Total Paid Amount should be drillable and it should lead to Medical data list page.</t>
  </si>
  <si>
    <t>MEG Episode</t>
  </si>
  <si>
    <t xml:space="preserve">1) Top 20 MEG Episodes page should appear.
</t>
  </si>
  <si>
    <t>2) Data table should contain columns: SN, Top 20 Episodes, Episode Type and Reporting Period. 
 - Reporting Coluums should contains sub columns: Count and Total Paid Amount. These sub-columns should be drillable. On drilling Count, it should lead to Episode data list Page.  Total Paid Amount should lead to Medical data list page.</t>
  </si>
  <si>
    <t>3) Compare view should contain Top 20 MEG Episodes record of "Comparison Period" too. It should also contain % Change and Prior Period Ranking column</t>
  </si>
  <si>
    <t xml:space="preserve">1) Utilization Metric page should appear.
</t>
  </si>
  <si>
    <t>2) Page should contain UM data table of Reporting and Comparison period.</t>
  </si>
  <si>
    <t>3) Data table should contain columns: UM, Unit, Reporting Period, Comparison Period  and % Change.</t>
  </si>
  <si>
    <t xml:space="preserve">4) Reportiong and Comparison Peroid should contain sub-columns: Group and Plan + Member Paid Avg </t>
  </si>
  <si>
    <t xml:space="preserve">5) Unit column should have option per 1000 and Total. </t>
  </si>
  <si>
    <t>6) If Participation and Its Program type is selected, then Program types tabs should be present along with participation, non-participation columns.</t>
  </si>
  <si>
    <t xml:space="preserve">Prevalance </t>
  </si>
  <si>
    <t xml:space="preserve">1) Utilization page should appear.
</t>
  </si>
  <si>
    <t>2) Page should contain Utilization data table of Reporting and Comparison period.</t>
  </si>
  <si>
    <t>3) Data table should contain columns: Chronic Condition Per 1000, Office Visits per 1000, ER Visits per 1000, Admits per 1000,  30 Day Re-Admit Rate and  PMPY</t>
  </si>
  <si>
    <t xml:space="preserve">1) Distribution of Healthcare Expenses page should appear
</t>
  </si>
  <si>
    <t>2) Expense Distribution page should contains following Tables:
i) Expense Grid.
Ii) Reporting Period
iii) Comparison Period
 - These data tables should contain "Total"</t>
  </si>
  <si>
    <t xml:space="preserve">1) High Cost Members page should be present
</t>
  </si>
  <si>
    <t>2) Data table should contain columns: SN, Member ID, Rel Code, Gender, Age, Current Status, Highest Paid Diagnosis, MARA Risk Score, Medical Cost, Pharmacy Cost and Total Cost</t>
  </si>
  <si>
    <t>3) Member ID should be drillable and Should lead to Member Detail page</t>
  </si>
  <si>
    <t>4) Page Total and High Cost Total should be present</t>
  </si>
  <si>
    <t>5) Records for Comparison Period should be present at the bottom with columns: Count of Member, Medical Cost, Pharmacy Cost and  Total</t>
  </si>
  <si>
    <t xml:space="preserve">1) Membership Distribution by Age / Gender page should appear.
</t>
  </si>
  <si>
    <t>2) Page should contain Membership distribution data table of Reporting and Comparison period.</t>
  </si>
  <si>
    <t>3) Following columns should be present: Age Band, Female, Male, Total and  %</t>
  </si>
  <si>
    <t>4) Columns Female, Male and Total should be drillable and should leads to Member List page</t>
  </si>
  <si>
    <t>5) data "Total" should be present at the bottom</t>
  </si>
  <si>
    <t>6) Null relationship should not be present</t>
  </si>
  <si>
    <t>7) Report should be able to export on pdf, doc and csv format. Exported report should match with Application report.</t>
  </si>
  <si>
    <t>Coverage by Relationship</t>
  </si>
  <si>
    <t>Coverage by Relationship code</t>
  </si>
  <si>
    <t xml:space="preserve">1) Coverage by Relationship code page should be present
</t>
  </si>
  <si>
    <t>2) Coverage By Relationship Class and Coverage By Relationship Code Should be present as drop-down options. Respective data should appear on data table on selecting these options.</t>
  </si>
  <si>
    <t>3) Page should contain Coverage by Relationship data table of Reporting and Comparison period. Columns "Counts" and "Amount Paid" should be present. data on Counts should be drillable and should lead to Member list page.</t>
  </si>
  <si>
    <t>4) Data Total should be present at the bottom</t>
  </si>
  <si>
    <t>5) If Participation and Its Program type is selected, then Program types tabs should be present along with participation, non-participation columns.</t>
  </si>
  <si>
    <t xml:space="preserve">6) Report should be able to export on pdf, doc and csv format. Exported report should match with Application report.
</t>
  </si>
  <si>
    <t>Coverage by Relationship class</t>
  </si>
  <si>
    <t>1) Coverage by Relationship class page should be present</t>
  </si>
  <si>
    <t>2) Relationship by Class should be display</t>
  </si>
  <si>
    <t xml:space="preserve">1) Health plan report should download in PDF format.
</t>
  </si>
  <si>
    <t>2) Exported report should contain all FA reports.</t>
  </si>
  <si>
    <t xml:space="preserve">1) Report Package page should be appear.
</t>
  </si>
  <si>
    <t>2) User should be able to save report package and change their orders.</t>
  </si>
  <si>
    <t>3) Saved Report Packages should be avalaible in the header to load the saved packages.</t>
  </si>
  <si>
    <t xml:space="preserve">4) The report can be download in pdf and doc . </t>
  </si>
  <si>
    <t>5) Generated report should contian all selected records</t>
  </si>
  <si>
    <t>6) If Cohort is selected then its information should be present in printed report.</t>
  </si>
  <si>
    <t>Clinical Analysis</t>
  </si>
  <si>
    <t>Clinical Parameters Pop-up</t>
  </si>
  <si>
    <t xml:space="preserve">1) Clinical Analytics Popup should appear.
</t>
  </si>
  <si>
    <t xml:space="preserve">1) All Records should be in accordance to LOA selected. (Frequency of Selected Procedures for default selection).
</t>
  </si>
  <si>
    <t xml:space="preserve">2) All the criteria should be visible in left menu below Clinical Analytics. </t>
  </si>
  <si>
    <t xml:space="preserve">3) If Participation is selected, Program Type should appear. </t>
  </si>
  <si>
    <t>Frequency of Selected Procedures</t>
  </si>
  <si>
    <t xml:space="preserve">1) Frequency of Selected Procedures Page should appear
</t>
  </si>
  <si>
    <t>2) Page should contain Procedure data table of Reporting and Comparison period.</t>
  </si>
  <si>
    <t>3) Data table should contain following columns: Procedure, #Procedures Done, # Members with Procedure, Procedures/ 1000 Members and Procedures per 1000</t>
  </si>
  <si>
    <t>4) Columns "# Procedures Done" and  "# Members with Procedure" should be drillable and should lead to Member Data List and Member List respectively</t>
  </si>
  <si>
    <t>Re-Admission Report</t>
  </si>
  <si>
    <t xml:space="preserve">1) Re-Admission Report Page should appear
</t>
  </si>
  <si>
    <t>2) Dropdown should be present with options: All, Facility, PCP. Selecting Facility/PCP, respective options should be available on their pop-up</t>
  </si>
  <si>
    <t>3) Data table should be present for Reporting and Comparison Period with following columns: Condition, # of Inpatient Admits, # 7Day Re-admit, % 7Day Re-admit, # 15Day Re-admit, % 15Day Re-admit, # of Members with Readmissions and  % 30Day Re-admit</t>
  </si>
  <si>
    <t xml:space="preserve">4) Columns with # shoul be drillable </t>
  </si>
  <si>
    <t xml:space="preserve">1) Program Summary page should be accessable only if Participation is selected
</t>
  </si>
  <si>
    <t>2) It should contain data tables for Reporting and Comparison Period with following columns: Group, # In Program, # New to Program, # Closed from Program, Avg. Length in Program [months], Avg. # Chronic Conditions and  # Members in &gt; 1 Program</t>
  </si>
  <si>
    <t>3) Page Total and All Groups should be present at the bottom.</t>
  </si>
  <si>
    <t xml:space="preserve">
4) On drilling down groups, it should direct to Program Summary Detail Page
  - Group name should be present at the middle
  - Program Type tab should be present. Clicking it, its sub program type tabs should be present with respective data
  - Columns: Metrics, Reporting Period, Comparison Period
and % Change should be present
  - Reporting and Comparison period should have sub columns: Group, Participating  and Non-Participating 
  - Metrics: Admits[Excluding Deliveries], IP Days and ER Visits should be drillable</t>
  </si>
  <si>
    <t xml:space="preserve">1) Recent ER visit page should appear.
</t>
  </si>
  <si>
    <t>2)View for Last: Number of Days(30,45,60,90) From:  [Date of Cycle End in MM-DD-YYYY format] should be present. Records should display in accordance to these options selected.</t>
  </si>
  <si>
    <t>3) The  Cycle End Date should be static.</t>
  </si>
  <si>
    <t>4) On Changing the reporting date in Clinical Analytics Pop-up the cycle date should not be changed also the records remain same.</t>
  </si>
  <si>
    <t xml:space="preserve">5) On Breadcrumb, Utilization&gt;&gt;ER Visits should be present. User should be able to change Utilization type from all its available options. </t>
  </si>
  <si>
    <t>6) Visit ID and Member ID should be drillable and should leads to Member Data List and Member Detail page respectively.</t>
  </si>
  <si>
    <t>7) Cogwheel&gt;&gt; Show/Hide: All requried fields should be present.</t>
  </si>
  <si>
    <t>8) Cogwheel&gt;&gt;Saved Filters/Saved Cohorts should be function properly.</t>
  </si>
  <si>
    <t>9) Report should be able to export on pdf, doc and csv format. Exported report should match with Application report.</t>
  </si>
  <si>
    <t>Potentially Avoidable ER Visits</t>
  </si>
  <si>
    <t>2) Data table should contain "Reason for ER Visit" records for Reporting and Comparison period</t>
  </si>
  <si>
    <t>3) Reporting/Comparison periods should contain following columns: # ER Visits for Diagnosis, # Members with ER Vst. for Dx, ER Visits / 1000 Members, ER Visits / 1000  and % of All ER Visits</t>
  </si>
  <si>
    <t>4) All Avoidable ER Results  should be present at the bottom</t>
  </si>
  <si>
    <t>5) Columns # ER Visits for Diagnosis and # Members with ER Vst. for Dx should be drillable and should leads to Utilization Data List and Member List respectively.</t>
  </si>
  <si>
    <t>1) Health plan report should be downloaded in PDF format.</t>
  </si>
  <si>
    <t>2) Exported report should contain all CA reports.</t>
  </si>
  <si>
    <t xml:space="preserve">1) Custom Reports page should be appear.
</t>
  </si>
  <si>
    <t>2) Save Package and Run as Batch button should be present.</t>
  </si>
  <si>
    <t>3)User should be able to save report package and change their orders.</t>
  </si>
  <si>
    <t>4) Saved Report Packages should be avalaible in the header to load the saved packages.</t>
  </si>
  <si>
    <t>5)The report can be downloaded in both pdf and doc format.</t>
  </si>
  <si>
    <t>6) Exported report should contain all selected CA reports</t>
  </si>
  <si>
    <t>1. Check the each sections of the Report Manager Page.</t>
  </si>
  <si>
    <t xml:space="preserve">1) Member Search  page should appear with default fields
</t>
  </si>
  <si>
    <t>2) User should be able to add more fields from Cogwheel&gt;&gt;Add more field</t>
  </si>
  <si>
    <t>3) Fields should have pop-up with all respective options. For instance, Procedure should have all Procedure options on its popup</t>
  </si>
  <si>
    <t>4) On Member List page, User should be able to implement show/hide fields, cohort</t>
  </si>
  <si>
    <t>5) "Show/Hide fields" pop-up should contain all available fields</t>
  </si>
  <si>
    <t>6) Exported CSV report should match Applicaiton record</t>
  </si>
  <si>
    <t>7) SumIt should pe properly functioned.</t>
  </si>
  <si>
    <t>8) Member ID should be drilllable and should lead to Member Detail page</t>
  </si>
  <si>
    <t xml:space="preserve">1) Pharmacy Data Search page should appear with default fields
</t>
  </si>
  <si>
    <t xml:space="preserve">3) Fields should have pop-up with all respective options. </t>
  </si>
  <si>
    <t>4) Pharmacy Data List page, User should be able to implement show/hide fields, cohort</t>
  </si>
  <si>
    <t>6) SumIt should pe properly functioned.</t>
  </si>
  <si>
    <t>7) Exported CSV report should match Applicaiton record</t>
  </si>
  <si>
    <t xml:space="preserve">1) Biometrics Data Search page should appear with default fields
</t>
  </si>
  <si>
    <t xml:space="preserve">
3) Fields should have pop-up with all respective options.</t>
  </si>
  <si>
    <t xml:space="preserve">
4) Biometrics Data List page, User should be able to implement show/hide fields</t>
  </si>
  <si>
    <t xml:space="preserve">
5) "Show/Hide fields" pop-up should contain all available fields</t>
  </si>
  <si>
    <t xml:space="preserve">
6) Exported CSV report should match Applicaiton record</t>
  </si>
  <si>
    <t>7) Click to add more fields should contain "Biometrics Vitals" with its options</t>
  </si>
  <si>
    <t xml:space="preserve">1)Episodes Data Search page should appear with default fields
</t>
  </si>
  <si>
    <t>3) Fields should have pop-up with all respective options.</t>
  </si>
  <si>
    <t>4) Episodes Data List page, User should be able to implement show/hide fields</t>
  </si>
  <si>
    <t>Participation</t>
  </si>
  <si>
    <t xml:space="preserve">1) Participation Data Search page should appear with default fields
</t>
  </si>
  <si>
    <t>3) Fields should have pop-up with all respective options</t>
  </si>
  <si>
    <t>4) Participation Data List page, User should be able to implement show/hide fields</t>
  </si>
  <si>
    <t>7) Columns: Program Type, Program and Program Code should be present</t>
  </si>
  <si>
    <t xml:space="preserve">1) Medical Data Search page should appear with default fields
</t>
  </si>
  <si>
    <t>4) Medical Data List page, User should be able to implement show/hide fields</t>
  </si>
  <si>
    <t>8) Exported CSV report should match Applicaiton record</t>
  </si>
  <si>
    <t xml:space="preserve">1) Eligibility Data Search page should appear with default fields
</t>
  </si>
  <si>
    <t>4) Eligibility Data List page, User should be able to implement show/hide fields</t>
  </si>
  <si>
    <t xml:space="preserve">1) Utilization Data Search page should appear with default fields
</t>
  </si>
  <si>
    <t>4) Utilization Data List page, User should be able to implement show/hide fields</t>
  </si>
  <si>
    <t xml:space="preserve">Care Quality </t>
  </si>
  <si>
    <t xml:space="preserve">1) Care Quality page should appear.
</t>
  </si>
  <si>
    <t xml:space="preserve">2) Mesurement Period and View Metrics fields should be present along with LOA </t>
  </si>
  <si>
    <t>3) View Metrics: Radio botton for All, By Category ,By Metric fields should display. After click on radio botton, pop up of respective fields should display.</t>
  </si>
  <si>
    <t xml:space="preserve">1) Risk Analysis page should appear
</t>
  </si>
  <si>
    <t>2) View By Participation should be checked in default</t>
  </si>
  <si>
    <t>3) All, Participating and Non-Participating Links should be visible for every groups.</t>
  </si>
  <si>
    <t>4) On clicking Add button next to Group, "Select Filter" should  pop up.</t>
  </si>
  <si>
    <t>5) Select FIlter should have two options: Filter Group and (From and To) date</t>
  </si>
  <si>
    <t>6) Filter Group should have dropdown showing clientwise groups. Records should be in accordance to these filters selected.</t>
  </si>
  <si>
    <t>7) Selected From and To date should appear on Reporting period of following pages: Risk Analysis, Group Risk Distribution Report (appears when group is drilleddown) and Member Risk Analysis(appears on drillingdown relationship tabs of Group Risk Analysis).</t>
  </si>
  <si>
    <t xml:space="preserve">8) Amount Drop down should be visible. It should contain Following values:
a) Paid  b) Allowed
</t>
  </si>
  <si>
    <t>9) Total Paid and PMPM record should be present for Acutal, Expected and Prospective column</t>
  </si>
  <si>
    <t>10) "Total" should be present at the bottom.</t>
  </si>
  <si>
    <t>11) Concurrent and Prospective Risk Score columns should be present</t>
  </si>
  <si>
    <t>12) Exported CSV report should match Applicaiton record</t>
  </si>
  <si>
    <t xml:space="preserve">1) Trending and comparisoion video should be present only for Non-CoBranded Client.
</t>
  </si>
  <si>
    <t xml:space="preserve">2) User should be able to add Population by clicking "Population". Pop up should have LOAs and Cohort. </t>
  </si>
  <si>
    <t>3) User should be able to change data range by clicking reporting period below Population.</t>
  </si>
  <si>
    <t>4) On clicking add another population below video the Add population LOA with different pop-up should present.</t>
  </si>
  <si>
    <t>5) Individual data search result page should appear.</t>
  </si>
  <si>
    <t>6) records for Health Plan Snapshot should be default</t>
  </si>
  <si>
    <t>8) Data table shoud display records according to category selected</t>
  </si>
  <si>
    <t xml:space="preserve">1) Clicking Cohort, Load Cohort should pop up
</t>
  </si>
  <si>
    <t>2) Cohort label should appear only if user select cohort from Load cohort page.</t>
  </si>
  <si>
    <t>3) Cohort with filter of LOAs is possible only when the cohort is saved without the filter of LOAs.</t>
  </si>
  <si>
    <t>4)  It should be applied for Reports, Search Modules (except Member),Care Quality,Comparison</t>
  </si>
  <si>
    <t>Settings Cogwheel</t>
  </si>
  <si>
    <t xml:space="preserve">Setting cogwheel should contain following options:
1) Settings
2) Change Password
3) Report Archive
4) Logout
</t>
  </si>
  <si>
    <t>Settings</t>
  </si>
  <si>
    <t xml:space="preserve">1) Settings Page should appear
</t>
  </si>
  <si>
    <t>2) User should be able to customize Profile, Dashobard, QM and LOAs by using following setting tabs:
 i) Profile settings
 ii) Dashboard Customization
 iii) Quality Metrics 
 iv) Level of Aggregation
 v) Chronic Conditions</t>
  </si>
  <si>
    <t>3) If show BoB Column on printed report'  is selected then new template should be shown</t>
  </si>
  <si>
    <t>4) The healthplan snapshot template should include BOB column.</t>
  </si>
  <si>
    <t>5) Options selected on Chronic Conditions should appear on FA&gt;&gt;Chronic Conditions&gt;&gt;Prevalence/Utilization</t>
  </si>
  <si>
    <t>6) Clicking on Save button should preserve any changes made by the user.</t>
  </si>
  <si>
    <t xml:space="preserve">7) Clicking on Reset button should return the checked/unchecked configuration to the last save point. </t>
  </si>
  <si>
    <t xml:space="preserve">1) On Dashboard Customization, report options: Dollars Per Claim Over Time and 24 Months Membership Distribution should be present. On dashboard these reports should appear if selected.
</t>
  </si>
  <si>
    <t>2) On Dashboard, 24 month membership graph  should be a line chart with the following lines: Subscribers, Members, Claimants</t>
  </si>
  <si>
    <t xml:space="preserve">3) On Dashboard, Dollars Per Claim over time should be a line chart. </t>
  </si>
  <si>
    <t>Report Archive</t>
  </si>
  <si>
    <t xml:space="preserve">1) Downloaded files list should Appear
</t>
  </si>
  <si>
    <t>2) Only currently downloading report should get auto freshed in every 10 seconds showing its current status of the download.</t>
  </si>
  <si>
    <t>3) "New" button should appear when download gets complete.</t>
  </si>
  <si>
    <t>4)  Downloaded report should be mark as "New" untill user doesn't download it on pc. "New" lable should auto remove once user download the file.</t>
  </si>
  <si>
    <t>5) User should be able to download old files</t>
  </si>
  <si>
    <t>6) "Delete" link should be present next to the "Download" link. Confirmation pop-up should appear before deleting a file.</t>
  </si>
  <si>
    <t xml:space="preserve">7) Report archive should contain columns: File Name, Start Date, Completed Date and Report Status. </t>
  </si>
  <si>
    <t>1) User should be able to logout from the application</t>
  </si>
  <si>
    <t>1) Footer should contain following links: Clinical Analytics, Report Manager, Financial Analytics ,Program Evaluator, Member Search, Care Quality, Risk Analysis and Comparison
2) Clicking these links should lead to respective pages.
3) PA version should be present</t>
  </si>
  <si>
    <t>1) Logo should be visible for non co branded client and should redirect to QA verification page.
2) Logo should not be visible for non co branded clients.</t>
  </si>
  <si>
    <t>Benchmarks</t>
  </si>
  <si>
    <t>Benchmark Setting Changes(Admin panel)</t>
  </si>
  <si>
    <t xml:space="preserve">1) If benchmark is enable, it should display in the application.
</t>
  </si>
  <si>
    <t>2) If benchmark is disable, It shouldnot disiplay in the application.</t>
  </si>
  <si>
    <t xml:space="preserve">New Benchmarks </t>
  </si>
  <si>
    <t>1)Check for new Truven benchmarks into our application</t>
  </si>
  <si>
    <t>1. (If enabled) Benchmark Column shoud appear
inside Reporting Period and exported pdf, doc and csv report for
- HealthCare Trend Medical
- Healthcare Trends RX
-  Quality Metrics
- Top 20 Diagnosis Groups/Subgroups
- Top 20 Procedure
- Top 20 Therapeutic Class
- Top 20 POS 
- Utilization Metrics
- Chronic Conditions Prevalence 
- Chronic Conditions Utilization
- Expense Distribution
- Membership Distribution
- Coverage by Relationship Class</t>
  </si>
  <si>
    <t>Export</t>
  </si>
  <si>
    <t xml:space="preserve">1) 5K data should be directly downloaded in excel format.
Maximum 250k data should be exported from report archive search pages.
</t>
  </si>
  <si>
    <t>2) records greater than 5k should download on Report Archive.</t>
  </si>
  <si>
    <t xml:space="preserve">3) on SumIT, records greater than 500 should download on Report Archive </t>
  </si>
  <si>
    <t>4) Exported pdf and doc report must contain the name of the selected LOA when single LOA is selected and in case of multiple selection custom population must be displayed</t>
  </si>
  <si>
    <t>View Member</t>
  </si>
  <si>
    <t>View Member Icon</t>
  </si>
  <si>
    <t>1) View Member icon should appear when user use a filter on Search modules except Member Search 
2) Clicking this icon, user should direct to Member List page</t>
  </si>
  <si>
    <t xml:space="preserve">Member Detail </t>
  </si>
  <si>
    <t xml:space="preserve">1) Drillingdown Member ID, it should directs to Member Detail Page
</t>
  </si>
  <si>
    <t>2) On Member detail section: Medical Paid, Pharmacy Paid and Total Paid for that Member shhould be present</t>
  </si>
  <si>
    <t>3) Medical, Pharmacy, Biometrcis,HRA and All  records of that member should be present. "Add Criteria" and "Show/Hide Fields" should change its option according to these tabs selected.</t>
  </si>
  <si>
    <t>4) SumIt function should be present for Member and Pharmacy records.</t>
  </si>
  <si>
    <t>5) Exported CSV report should match Applicaiton record</t>
  </si>
  <si>
    <t xml:space="preserve">1) Data table of that member for Claim Summary, Diagnosis Groupers, Procedure Groupers, Drugs, Professional Providers, Institutional Providers, Hospitalizations and ER Visits should be present
 </t>
  </si>
  <si>
    <t>2) If any of the above is not provided then it should be notify at the button on a Note section</t>
  </si>
  <si>
    <t>3) Graph icon should be present. Clicking it Event Log Graph should popup</t>
  </si>
  <si>
    <t xml:space="preserve">4) Tab view/List view should be available </t>
  </si>
  <si>
    <t>5) Exported pdf report should match Applicaiton record</t>
  </si>
  <si>
    <t xml:space="preserve">1) MARA Risk Score Graph should be present for that Member 
</t>
  </si>
  <si>
    <t>2) Graph should be a result of MARA Risk Score(x-axis) and Data Period (y-axis)</t>
  </si>
  <si>
    <t>3) On Switching view, graph should be replaced by its data table</t>
  </si>
  <si>
    <t>4) Clinical Risk Drivers pie chart should be present</t>
  </si>
  <si>
    <t>5) Chronic Conditons, Care Alerts data table should be present</t>
  </si>
  <si>
    <t>6) Care Alert should display of the earliest date if multiple same care alerts appear with different dates.</t>
  </si>
  <si>
    <t>7) Care Alert should display only one date if same care alerts appear in same date.</t>
  </si>
  <si>
    <t>8) Event Log chart should be present</t>
  </si>
  <si>
    <t>9) Exported pdf report should match Applicaiton record</t>
  </si>
  <si>
    <t xml:space="preserve">1) Data table should contain columns: Program Type, Program
Program Code on which that member is associate.
</t>
  </si>
  <si>
    <t>2) Show/Hide fields popup should contain all required options</t>
  </si>
  <si>
    <t>3) on selecting Saved Cohort/Filters, respective data should display.</t>
  </si>
  <si>
    <t>4) Add More Filter should contain options related to Participation on its dropdown</t>
  </si>
  <si>
    <t>5) Exported CSV record should match Application record</t>
  </si>
  <si>
    <t xml:space="preserve">1) Basis should be of two type: Incurred and Paid
</t>
  </si>
  <si>
    <t>2) It shoud be present on FA, CA, Dashboard&gt;&gt;Edit BOB and Comparison</t>
  </si>
  <si>
    <t>3) Records should be display according to selected Basis Type</t>
  </si>
  <si>
    <t>4) Default should be incurred</t>
  </si>
  <si>
    <t>Saved Filters</t>
  </si>
  <si>
    <t xml:space="preserve">1) Clicking Saved Filters, Load Criteria should pop up.
</t>
  </si>
  <si>
    <t>2) Popup should display all shared filters and self saved filters</t>
  </si>
  <si>
    <t>3) On selecting particular filter, records for that filter should appear</t>
  </si>
  <si>
    <t>4)  Selected Filter should appear as a breadcrumb on Search List page</t>
  </si>
  <si>
    <t>Saved Cohorts</t>
  </si>
  <si>
    <t xml:space="preserve">1) Clicking Saved Cohort, Load Cohort should pop up.
</t>
  </si>
  <si>
    <t>2) Popup should display all shared Cohorts and self saved cohorts</t>
  </si>
  <si>
    <t>3) On selecting particular cohort, records for that cohort should appear</t>
  </si>
  <si>
    <t xml:space="preserve">4) Selected Cohort detail should appear on Search List page </t>
  </si>
  <si>
    <t>Advanced Query</t>
  </si>
  <si>
    <t xml:space="preserve">1) Clicking Advanced Query, Advanced Query should pop up
2)  AND/OR feature should be present
</t>
  </si>
  <si>
    <t>2)  AND/OR feature should be present
3) "Add Rule" and "Add Group" button should be present</t>
  </si>
  <si>
    <t>4) On clicking Add group button it should be added under the present AND/OR tab</t>
  </si>
  <si>
    <t>5) "Data category selection box" should be present under AND,OR Tab</t>
  </si>
  <si>
    <t>6) "Delete button" should be present at the right side of Data Category selection box</t>
  </si>
  <si>
    <t>7) Data field category:
  - The selection on the first data field will determine which field to   select on the next drop down list.
 -  The corresponding fields can be dropdown list, equals operator for the field,pop up or value field depending on the selection of the data category.
 - The Field should show the corresponding data of the selected category.</t>
  </si>
  <si>
    <t>Sumit</t>
  </si>
  <si>
    <t>Lab</t>
  </si>
  <si>
    <t>Annual HgA1c test done</t>
  </si>
  <si>
    <t>W38</t>
  </si>
  <si>
    <t>Females age 13 with 3 doses of HPV vaccine</t>
  </si>
  <si>
    <t>H05</t>
  </si>
  <si>
    <t>Office visit with primary physician &amp; specialist in last 12 months</t>
  </si>
  <si>
    <t>B07</t>
  </si>
  <si>
    <t>Heart failure and atrial fibrillation on anticoagulant therapy</t>
  </si>
  <si>
    <t xml:space="preserve">TEST EXECUTION HISTORY </t>
  </si>
  <si>
    <t>DurgaS</t>
  </si>
  <si>
    <t>i) Features added in checklist for version 5.0</t>
  </si>
  <si>
    <t>i) Features added in checklist for version 4.9</t>
  </si>
  <si>
    <t>DirghayuM</t>
  </si>
  <si>
    <t>Nisha Thapa</t>
  </si>
  <si>
    <t>i) Features added in checklist for version 4.8</t>
  </si>
  <si>
    <t>Sushmita Sharma</t>
  </si>
  <si>
    <t>i) Features added in checklist for version 4.7</t>
  </si>
  <si>
    <t>ManiG</t>
  </si>
  <si>
    <t>Shandipta Rai</t>
  </si>
  <si>
    <t>i) Features added in checklist for version 4.5</t>
  </si>
  <si>
    <t>SumiraS</t>
  </si>
  <si>
    <t>SandipA</t>
  </si>
  <si>
    <t>i)Features added in check list for version 4.4
ii)LOA wise Testing Check list
iii)Check List for Export Service
iv)Check lIst for Benchmark column</t>
  </si>
  <si>
    <t>4.4</t>
  </si>
  <si>
    <t>All page sholuld be open</t>
  </si>
  <si>
    <t>F435</t>
  </si>
  <si>
    <t>page should open</t>
  </si>
  <si>
    <t>1.Utilization
   i.Inpatients Analysis
        a.Cost
        b.Utilization
        c.Readmission
   ii.Outpatient Analysis
       a.Outpatient Services
       b.Visit By Speciality
       c.Speciality Services</t>
  </si>
  <si>
    <t>F434</t>
  </si>
  <si>
    <t>Geographic Data</t>
  </si>
  <si>
    <t>F433</t>
  </si>
  <si>
    <t>Claim Data
   i.Submitted/Discounts
   ii.Medical Claims
   iii.Rx Claims
   iv.EM/MM page should open</t>
  </si>
  <si>
    <t>Demographic Data</t>
  </si>
  <si>
    <t>F432</t>
  </si>
  <si>
    <t>1. when the report is exported selecting multiple loa : instead of just showing numbers selected(in multiple selection case), All the selected values should be shown</t>
  </si>
  <si>
    <t>1.Claim Data
   i.Submitted/Discounts
   ii.Medical Claims
   iii.Rx Claims
   iv.EM/MM</t>
  </si>
  <si>
    <t>F431</t>
  </si>
  <si>
    <t>1. Custom Report page should open</t>
  </si>
  <si>
    <t>1. Check the excel report</t>
  </si>
  <si>
    <t>F430</t>
  </si>
  <si>
    <t>1. Click on Custom Report</t>
  </si>
  <si>
    <t>Custom Report</t>
  </si>
  <si>
    <t>F429</t>
  </si>
  <si>
    <t>5.0 Feature(Diagnosis and Procedure desc added)</t>
  </si>
  <si>
    <t xml:space="preserve">1) This feature should be present on following Search: Pharmacy,  Medical, Utilization, Episodes
2) This feature should be present on Recent ER Visits of CA.
3) Summarize By field should contail client wise LOAs as its dropdown options
4) Total row should be appear with sum where SumIt appears.
5) All Daignosis and Procedure Description should be present in Summarize By fields in Medical Data List.
</t>
  </si>
  <si>
    <t>F428</t>
  </si>
  <si>
    <t>F427</t>
  </si>
  <si>
    <t>F426</t>
  </si>
  <si>
    <t>F425</t>
  </si>
  <si>
    <t>F424</t>
  </si>
  <si>
    <t>F423</t>
  </si>
  <si>
    <t>F422</t>
  </si>
  <si>
    <t>F421</t>
  </si>
  <si>
    <t>F420</t>
  </si>
  <si>
    <t>F419</t>
  </si>
  <si>
    <t>F418</t>
  </si>
  <si>
    <t>F417</t>
  </si>
  <si>
    <t>F416</t>
  </si>
  <si>
    <t>F415</t>
  </si>
  <si>
    <t>F414</t>
  </si>
  <si>
    <t>F413</t>
  </si>
  <si>
    <t>F412</t>
  </si>
  <si>
    <t>F411</t>
  </si>
  <si>
    <t>F410</t>
  </si>
  <si>
    <t>F409</t>
  </si>
  <si>
    <t>F408</t>
  </si>
  <si>
    <t>F407</t>
  </si>
  <si>
    <t>F406</t>
  </si>
  <si>
    <t>F405</t>
  </si>
  <si>
    <t>F404</t>
  </si>
  <si>
    <t>F403</t>
  </si>
  <si>
    <t>F402</t>
  </si>
  <si>
    <t>F401</t>
  </si>
  <si>
    <t>F400</t>
  </si>
  <si>
    <t>F399</t>
  </si>
  <si>
    <t>F398</t>
  </si>
  <si>
    <t>F397</t>
  </si>
  <si>
    <t>F396</t>
  </si>
  <si>
    <t>F395</t>
  </si>
  <si>
    <t>F394</t>
  </si>
  <si>
    <t>F393</t>
  </si>
  <si>
    <t>F392</t>
  </si>
  <si>
    <t>F391</t>
  </si>
  <si>
    <t>F390</t>
  </si>
  <si>
    <t>F389</t>
  </si>
  <si>
    <t>F388</t>
  </si>
  <si>
    <t>F387</t>
  </si>
  <si>
    <t>F386</t>
  </si>
  <si>
    <t>F385</t>
  </si>
  <si>
    <t>F384</t>
  </si>
  <si>
    <t>F383</t>
  </si>
  <si>
    <t>F382</t>
  </si>
  <si>
    <t>F381</t>
  </si>
  <si>
    <t>F380</t>
  </si>
  <si>
    <t>F379</t>
  </si>
  <si>
    <t>F378</t>
  </si>
  <si>
    <t>F377</t>
  </si>
  <si>
    <t>F376</t>
  </si>
  <si>
    <t>F375</t>
  </si>
  <si>
    <t>F374</t>
  </si>
  <si>
    <t>F373</t>
  </si>
  <si>
    <t>F372</t>
  </si>
  <si>
    <t>F371</t>
  </si>
  <si>
    <t>F370</t>
  </si>
  <si>
    <t>F369</t>
  </si>
  <si>
    <t>F368</t>
  </si>
  <si>
    <t>F367</t>
  </si>
  <si>
    <t>F366</t>
  </si>
  <si>
    <t>F365</t>
  </si>
  <si>
    <t>F364</t>
  </si>
  <si>
    <t>F363</t>
  </si>
  <si>
    <t>F362</t>
  </si>
  <si>
    <t>F361</t>
  </si>
  <si>
    <t>F360</t>
  </si>
  <si>
    <t>F359</t>
  </si>
  <si>
    <t>F358</t>
  </si>
  <si>
    <t>F357</t>
  </si>
  <si>
    <t>F356</t>
  </si>
  <si>
    <t>F355</t>
  </si>
  <si>
    <t>F354</t>
  </si>
  <si>
    <t>F353</t>
  </si>
  <si>
    <t>F352</t>
  </si>
  <si>
    <t>13) Exported CSV report should match Applicaiton record</t>
  </si>
  <si>
    <t>F351</t>
  </si>
  <si>
    <t>12) Every category should match exactly whether trending by month or looking in aggregate</t>
  </si>
  <si>
    <t>F350</t>
  </si>
  <si>
    <t>11) Clicking BOB should open BOB Population tab</t>
  </si>
  <si>
    <t>F349</t>
  </si>
  <si>
    <t>10) Clicking each row should create a tab for record of that row.</t>
  </si>
  <si>
    <t>F348</t>
  </si>
  <si>
    <t>9) Change the Unit value in Actuarial by clicking Total link. Amount should be as desired.</t>
  </si>
  <si>
    <t>F347</t>
  </si>
  <si>
    <t>7) Clicking "Health Plan Snapshot" should open "Add measurement Cateogry" pop with dropdown options: Medical Trend, Pharmacy Trend, Quality Metrics, Utilization Metrics, Chronic Conditons-Prevelance/Utilization, Actuarial Category</t>
  </si>
  <si>
    <t>F346</t>
  </si>
  <si>
    <t>F345</t>
  </si>
  <si>
    <t>F344</t>
  </si>
  <si>
    <t>F343</t>
  </si>
  <si>
    <t>F342</t>
  </si>
  <si>
    <t>F341</t>
  </si>
  <si>
    <t>F340</t>
  </si>
  <si>
    <t>F339</t>
  </si>
  <si>
    <t>F338</t>
  </si>
  <si>
    <t>F337</t>
  </si>
  <si>
    <t>F336</t>
  </si>
  <si>
    <t>F335</t>
  </si>
  <si>
    <t>F334</t>
  </si>
  <si>
    <t>F333</t>
  </si>
  <si>
    <t>F332</t>
  </si>
  <si>
    <t>F331</t>
  </si>
  <si>
    <t>F330</t>
  </si>
  <si>
    <t>F329</t>
  </si>
  <si>
    <t>F328</t>
  </si>
  <si>
    <t>Click here to see QM Category list</t>
  </si>
  <si>
    <t>F327</t>
  </si>
  <si>
    <t>F326</t>
  </si>
  <si>
    <t>5) If Paticipation and its Program type is selected then data table should show records for selected Program type too.</t>
  </si>
  <si>
    <t>F325</t>
  </si>
  <si>
    <t>4) On Result page following columns should be present: Category, Metric, #Members in Group, #Meeting Metric, #Not Meeting Metric, % Meeting Metric</t>
  </si>
  <si>
    <t>F324</t>
  </si>
  <si>
    <t>F323</t>
  </si>
  <si>
    <t>F322</t>
  </si>
  <si>
    <t>F321</t>
  </si>
  <si>
    <t>F320</t>
  </si>
  <si>
    <t xml:space="preserve">8) Member ID and Claim Count shoud be drillable. On drilling Claim Count, it should lead to Medical Data List </t>
  </si>
  <si>
    <t>F319</t>
  </si>
  <si>
    <t>4.9 Feature</t>
  </si>
  <si>
    <t>7) Total Row should be appear(for two column) at the bottom of the page displaying sum of all the page.</t>
  </si>
  <si>
    <t>F318</t>
  </si>
  <si>
    <t>6) Total Plan paid, Total Member paid, Total plan and Member paid should be appear in Value field and when selected should display the respective sum.</t>
  </si>
  <si>
    <t>F317</t>
  </si>
  <si>
    <t>F316</t>
  </si>
  <si>
    <t>F315</t>
  </si>
  <si>
    <t>F314</t>
  </si>
  <si>
    <t>F313</t>
  </si>
  <si>
    <t>F312</t>
  </si>
  <si>
    <t>F311</t>
  </si>
  <si>
    <t>F310</t>
  </si>
  <si>
    <t>F309</t>
  </si>
  <si>
    <t>F308</t>
  </si>
  <si>
    <t>F307</t>
  </si>
  <si>
    <t>F306</t>
  </si>
  <si>
    <t>F305</t>
  </si>
  <si>
    <t>F304</t>
  </si>
  <si>
    <t>F303</t>
  </si>
  <si>
    <t>F302</t>
  </si>
  <si>
    <t>F301</t>
  </si>
  <si>
    <t>F300</t>
  </si>
  <si>
    <t>F299</t>
  </si>
  <si>
    <t>9) Exported CSV report should match Applicaiton record</t>
  </si>
  <si>
    <t>F298</t>
  </si>
  <si>
    <t>8) Columns: Procrdure Code and Procedure Desc should be present</t>
  </si>
  <si>
    <t>F297</t>
  </si>
  <si>
    <t>F296</t>
  </si>
  <si>
    <t>F295</t>
  </si>
  <si>
    <t>F294</t>
  </si>
  <si>
    <t>F293</t>
  </si>
  <si>
    <t>F292</t>
  </si>
  <si>
    <t>F291</t>
  </si>
  <si>
    <t>F290</t>
  </si>
  <si>
    <t>F289</t>
  </si>
  <si>
    <t>F288</t>
  </si>
  <si>
    <t>F287</t>
  </si>
  <si>
    <t>F286</t>
  </si>
  <si>
    <t>F285</t>
  </si>
  <si>
    <t>F284</t>
  </si>
  <si>
    <t>F283</t>
  </si>
  <si>
    <t>F282</t>
  </si>
  <si>
    <t>10) Member ID and Episode Claims should be drilllable and should lead to Member Detail and Medical/Pharmacy record page respectively.</t>
  </si>
  <si>
    <t>F281</t>
  </si>
  <si>
    <t>9) Click to add more fields should contain "Episodes" with its options</t>
  </si>
  <si>
    <t>F280</t>
  </si>
  <si>
    <t>8) Total Row should be appear(for two column) at the bottom of the page displaying sum of all the page.</t>
  </si>
  <si>
    <t>F279</t>
  </si>
  <si>
    <t>F278</t>
  </si>
  <si>
    <t>F277</t>
  </si>
  <si>
    <t>F276</t>
  </si>
  <si>
    <t>F275</t>
  </si>
  <si>
    <t>F274</t>
  </si>
  <si>
    <t>F273</t>
  </si>
  <si>
    <t>F272</t>
  </si>
  <si>
    <t>F271</t>
  </si>
  <si>
    <t>F270</t>
  </si>
  <si>
    <t>F269</t>
  </si>
  <si>
    <t>F268</t>
  </si>
  <si>
    <t>F267</t>
  </si>
  <si>
    <t>F266</t>
  </si>
  <si>
    <t>F265</t>
  </si>
  <si>
    <t>F264</t>
  </si>
  <si>
    <t>9) Member ID should be drilllable and should lead to Member Detail page</t>
  </si>
  <si>
    <t>F263</t>
  </si>
  <si>
    <t>F262</t>
  </si>
  <si>
    <t>F261</t>
  </si>
  <si>
    <t>F260</t>
  </si>
  <si>
    <t>F259</t>
  </si>
  <si>
    <t>F258</t>
  </si>
  <si>
    <t>F257</t>
  </si>
  <si>
    <t>F256</t>
  </si>
  <si>
    <t>F255</t>
  </si>
  <si>
    <t>7) Member ID should be drilllable and should lead to Member Detail page</t>
  </si>
  <si>
    <t>F254</t>
  </si>
  <si>
    <t>F253</t>
  </si>
  <si>
    <t>F252</t>
  </si>
  <si>
    <t>F251</t>
  </si>
  <si>
    <t>F250</t>
  </si>
  <si>
    <t>F249</t>
  </si>
  <si>
    <t>F248</t>
  </si>
  <si>
    <t>5)Advanced Settings pop up should containoptions Data view type and Report Type.</t>
  </si>
  <si>
    <t>F247</t>
  </si>
  <si>
    <t>4)Click on saved Report&gt;should be redirected  to  Population and period pop-up&gt;run report goes to report archieve.</t>
  </si>
  <si>
    <t>F246</t>
  </si>
  <si>
    <t>3)Report saved should be allowed to Run, Edit and Delete.</t>
  </si>
  <si>
    <t>F245</t>
  </si>
  <si>
    <t>2)Create Template link redirects to Upload Temlate&gt;Map Template</t>
  </si>
  <si>
    <t>F244</t>
  </si>
  <si>
    <t>4.8 feature</t>
  </si>
  <si>
    <t>1) Template Manger page should contain the following :
-CreateTemplate
-Report saved by own user only
-Run, edit and delete options
-Information icon</t>
  </si>
  <si>
    <t>Template Manager</t>
  </si>
  <si>
    <t>F243</t>
  </si>
  <si>
    <t>6) Reports  created by others can only be run, but not edited and deleted.</t>
  </si>
  <si>
    <t>F242</t>
  </si>
  <si>
    <t>5) Saved reports (by own user)can be edited, deleted and run.</t>
  </si>
  <si>
    <t>F241</t>
  </si>
  <si>
    <t>4) Advanced settings option contains Data view, Export Format, Report Type.</t>
  </si>
  <si>
    <t>F240</t>
  </si>
  <si>
    <t>3) Report can be saved using save button in Population and Period po up, otherwise report is ownloaded without saving.</t>
  </si>
  <si>
    <t>F239</t>
  </si>
  <si>
    <t>2) Create Report link redirects to Select Report&gt; Order Report &gt;Population and Period.</t>
  </si>
  <si>
    <t>F238</t>
  </si>
  <si>
    <t>4.7 feature</t>
  </si>
  <si>
    <t xml:space="preserve">1) Report Manager page should contain following sections:
-Create Report
-Differenet saved Reports
-Run, edit, delete functions
-Information icon
</t>
  </si>
  <si>
    <t>F237</t>
  </si>
  <si>
    <t>F236</t>
  </si>
  <si>
    <t>F235</t>
  </si>
  <si>
    <t>F234</t>
  </si>
  <si>
    <t>F233</t>
  </si>
  <si>
    <t>F232</t>
  </si>
  <si>
    <t>F231</t>
  </si>
  <si>
    <t>F230</t>
  </si>
  <si>
    <t>F229</t>
  </si>
  <si>
    <t>5.0 Feature</t>
  </si>
  <si>
    <t>8) Applied Filters should be appear on the top of the Exported CSV Report.</t>
  </si>
  <si>
    <t>F228</t>
  </si>
  <si>
    <t>F227</t>
  </si>
  <si>
    <t>F226</t>
  </si>
  <si>
    <t>5) Columns # ER Visits for Diagnosis, # of ER Visits Weekday [M-F], # of ER Visits Weekend should be drillable and should leads to Utilization Data List</t>
  </si>
  <si>
    <t>F225</t>
  </si>
  <si>
    <t>F224</t>
  </si>
  <si>
    <t>3) Reporting/Comparison periods should contain following columns: # ER Visits for Diagnosis, # of ER Visits Weekday [M-F], % of ER Visits Weekday [M-F], # of ER Visits Weekend, % of ER Visits Weekend</t>
  </si>
  <si>
    <t>F223</t>
  </si>
  <si>
    <t>F222</t>
  </si>
  <si>
    <t xml:space="preserve">1) Potentially Avoidable ER Visits by Day of the week page should be present
</t>
  </si>
  <si>
    <t>Potentially Avoidable ER Visits&gt;&gt; By Day of the Week</t>
  </si>
  <si>
    <t>F221</t>
  </si>
  <si>
    <t>F220</t>
  </si>
  <si>
    <t>F219</t>
  </si>
  <si>
    <t>F218</t>
  </si>
  <si>
    <t>F217</t>
  </si>
  <si>
    <t>F216</t>
  </si>
  <si>
    <t>F215</t>
  </si>
  <si>
    <t>F214</t>
  </si>
  <si>
    <t xml:space="preserve">1) Potentially Avoidable ER Visits by Diagnosis page should be present
</t>
  </si>
  <si>
    <t>Potentially Avoidable ER Visits&gt;&gt; By Diagnosis</t>
  </si>
  <si>
    <t>F213</t>
  </si>
  <si>
    <t>10) Applied Filters should be appear on the top of the Exported CSV Report.</t>
  </si>
  <si>
    <t>F212</t>
  </si>
  <si>
    <t>F211</t>
  </si>
  <si>
    <t>F210</t>
  </si>
  <si>
    <t>F209</t>
  </si>
  <si>
    <t>F208</t>
  </si>
  <si>
    <t>F207</t>
  </si>
  <si>
    <t>F206</t>
  </si>
  <si>
    <t>F205</t>
  </si>
  <si>
    <t>F204</t>
  </si>
  <si>
    <t>F203</t>
  </si>
  <si>
    <t>F202</t>
  </si>
  <si>
    <t>6) Applied Filters should be appear on the top of the Exported CSV Report.</t>
  </si>
  <si>
    <t>F201</t>
  </si>
  <si>
    <t>F200</t>
  </si>
  <si>
    <t>F199</t>
  </si>
  <si>
    <t>F198</t>
  </si>
  <si>
    <t>F197</t>
  </si>
  <si>
    <t>F196</t>
  </si>
  <si>
    <t>F195</t>
  </si>
  <si>
    <t>F194</t>
  </si>
  <si>
    <t>F193</t>
  </si>
  <si>
    <t>F192</t>
  </si>
  <si>
    <t>F191</t>
  </si>
  <si>
    <t>F190</t>
  </si>
  <si>
    <t>F189</t>
  </si>
  <si>
    <t>F188</t>
  </si>
  <si>
    <t>F187</t>
  </si>
  <si>
    <t>F186</t>
  </si>
  <si>
    <t>F185</t>
  </si>
  <si>
    <t>F184</t>
  </si>
  <si>
    <t>F183</t>
  </si>
  <si>
    <t>F182</t>
  </si>
  <si>
    <t>F181</t>
  </si>
  <si>
    <t>F180</t>
  </si>
  <si>
    <t>F179</t>
  </si>
  <si>
    <t>F178</t>
  </si>
  <si>
    <t>F177</t>
  </si>
  <si>
    <t>F176</t>
  </si>
  <si>
    <t>F175</t>
  </si>
  <si>
    <t>F174</t>
  </si>
  <si>
    <t>F173</t>
  </si>
  <si>
    <t>F172</t>
  </si>
  <si>
    <t>1) Verify Relationship Code</t>
  </si>
  <si>
    <t>F171</t>
  </si>
  <si>
    <t>7) Applied Filters should be appear on the top of the Exported CSV Report.</t>
  </si>
  <si>
    <t>F170</t>
  </si>
  <si>
    <t>F169</t>
  </si>
  <si>
    <t>F168</t>
  </si>
  <si>
    <t>F167</t>
  </si>
  <si>
    <t>F166</t>
  </si>
  <si>
    <t>F165</t>
  </si>
  <si>
    <t>F164</t>
  </si>
  <si>
    <t>F163</t>
  </si>
  <si>
    <t>F162</t>
  </si>
  <si>
    <t>F161</t>
  </si>
  <si>
    <t>F160</t>
  </si>
  <si>
    <t>F159</t>
  </si>
  <si>
    <t>F158</t>
  </si>
  <si>
    <t>F157</t>
  </si>
  <si>
    <t>F156</t>
  </si>
  <si>
    <t>F155</t>
  </si>
  <si>
    <t>F154</t>
  </si>
  <si>
    <t>F153</t>
  </si>
  <si>
    <t>F152</t>
  </si>
  <si>
    <t>F151</t>
  </si>
  <si>
    <t>F150</t>
  </si>
  <si>
    <t>F149</t>
  </si>
  <si>
    <t>F148</t>
  </si>
  <si>
    <t>4.7 Feature</t>
  </si>
  <si>
    <t>6) Report should be able to export on pdf, doc and csv format from Report Archive. Exported report should match with Application report.</t>
  </si>
  <si>
    <t>F147</t>
  </si>
  <si>
    <t>F146</t>
  </si>
  <si>
    <t>F145</t>
  </si>
  <si>
    <t>F144</t>
  </si>
  <si>
    <t>F143</t>
  </si>
  <si>
    <t>F142</t>
  </si>
  <si>
    <t>4) Applied Filters should be appear on the top of the Exported CSV Report.</t>
  </si>
  <si>
    <t>F141</t>
  </si>
  <si>
    <t>F140</t>
  </si>
  <si>
    <t>F139</t>
  </si>
  <si>
    <t>F138</t>
  </si>
  <si>
    <t>9) Applied Filters should be appear on the top of the Exported CSV Report.</t>
  </si>
  <si>
    <t>F137</t>
  </si>
  <si>
    <t>F136</t>
  </si>
  <si>
    <t xml:space="preserve">7) only records of selected conditions  should appear on the data table
</t>
  </si>
  <si>
    <t>F135</t>
  </si>
  <si>
    <t xml:space="preserve">6) on clicking "Change Condition" button, All available  "Chronic Conditions" from setting page should popup
</t>
  </si>
  <si>
    <t>F134</t>
  </si>
  <si>
    <t>5) data of office Visits per 1000, ER Visits per 1000 and Admits per 1000 should be drillable and should leads to Member list page</t>
  </si>
  <si>
    <t>F133</t>
  </si>
  <si>
    <t xml:space="preserve">4) If Participation is selected on FA, Program type and Programs tab should appear
</t>
  </si>
  <si>
    <t>F132</t>
  </si>
  <si>
    <t>F131</t>
  </si>
  <si>
    <t>F130</t>
  </si>
  <si>
    <t>F129</t>
  </si>
  <si>
    <t>F128</t>
  </si>
  <si>
    <t>F127</t>
  </si>
  <si>
    <t xml:space="preserve">7) data of # With Condition should be drillable and shuold leads to Member List page.
</t>
  </si>
  <si>
    <t>F126</t>
  </si>
  <si>
    <t xml:space="preserve">6) only records of selected conditions  should appear on the data table
</t>
  </si>
  <si>
    <t>F125</t>
  </si>
  <si>
    <t xml:space="preserve">5) on clicking "Change Condition" button, All available  "Chronic Conditions" from setting page should popup
</t>
  </si>
  <si>
    <t>F124</t>
  </si>
  <si>
    <t>F123</t>
  </si>
  <si>
    <t xml:space="preserve">3) Data table should contain columns: Chronic Condition # With Condition, % of Members, Member Per 1000&gt;&gt;Group, BoB,  Benchmark
</t>
  </si>
  <si>
    <t>F122</t>
  </si>
  <si>
    <t xml:space="preserve">2) Page should contain Prevalance data table of Reporting and Comparison period.
</t>
  </si>
  <si>
    <t>F121</t>
  </si>
  <si>
    <t xml:space="preserve">1) Prevalence page should appear.
</t>
  </si>
  <si>
    <t>Chronic Conditions</t>
  </si>
  <si>
    <t>F120</t>
  </si>
  <si>
    <t>11) Applied Filters should be appear on the top of the Exported CSV Report.</t>
  </si>
  <si>
    <t>F119</t>
  </si>
  <si>
    <t>10)  Report should be able to export on pdf, doc and csv format. Exported report should match with Application report.</t>
  </si>
  <si>
    <t>F118</t>
  </si>
  <si>
    <t xml:space="preserve">7) Clicking ER visit for a Group, it should display 3 drill down options: Analysis, Provider, Data list. Clicking these options should leads to respective page.
8).There should be another table for Potentially Avoidable data with the following colums:
a. Metrics 
b. Period Value
c. Benchmark Value
</t>
  </si>
  <si>
    <t>F117</t>
  </si>
  <si>
    <t>F116</t>
  </si>
  <si>
    <t>F115</t>
  </si>
  <si>
    <t>F114</t>
  </si>
  <si>
    <t>F113</t>
  </si>
  <si>
    <t>F112</t>
  </si>
  <si>
    <t>F111</t>
  </si>
  <si>
    <t>F110</t>
  </si>
  <si>
    <t>F109</t>
  </si>
  <si>
    <t>4) data table should contain All Others, Total Paid Amount  at the bottom for both Reporting and Comparison periods.</t>
  </si>
  <si>
    <t>F108</t>
  </si>
  <si>
    <t>F107</t>
  </si>
  <si>
    <t xml:space="preserve">Total paid amount also leads to Episode Data List. </t>
  </si>
  <si>
    <t>F106</t>
  </si>
  <si>
    <t>F105</t>
  </si>
  <si>
    <t>F104</t>
  </si>
  <si>
    <t>F103</t>
  </si>
  <si>
    <t>F102</t>
  </si>
  <si>
    <t>3) Compare view should contain Top 20 POS records of "Comparison Period" too. It should also contain % Change.</t>
  </si>
  <si>
    <t>F101</t>
  </si>
  <si>
    <t>F100</t>
  </si>
  <si>
    <t>F99</t>
  </si>
  <si>
    <t>F98</t>
  </si>
  <si>
    <t>F97</t>
  </si>
  <si>
    <t>Prior Period Ranking column has been removed from 4.6 version</t>
  </si>
  <si>
    <t>F96</t>
  </si>
  <si>
    <t>F95</t>
  </si>
  <si>
    <t>F94</t>
  </si>
  <si>
    <t>F93</t>
  </si>
  <si>
    <t>F92</t>
  </si>
  <si>
    <t>F91</t>
  </si>
  <si>
    <t>F90</t>
  </si>
  <si>
    <t>F89</t>
  </si>
  <si>
    <t>F88</t>
  </si>
  <si>
    <t>F87</t>
  </si>
  <si>
    <t>F86</t>
  </si>
  <si>
    <t>F85</t>
  </si>
  <si>
    <t>F84</t>
  </si>
  <si>
    <t>F83</t>
  </si>
  <si>
    <t>F82</t>
  </si>
  <si>
    <t>F81</t>
  </si>
  <si>
    <t>F80</t>
  </si>
  <si>
    <t>F79</t>
  </si>
  <si>
    <t>F78</t>
  </si>
  <si>
    <t>F77</t>
  </si>
  <si>
    <t>F76</t>
  </si>
  <si>
    <t>F75</t>
  </si>
  <si>
    <t>F74</t>
  </si>
  <si>
    <t>F73</t>
  </si>
  <si>
    <t>F72</t>
  </si>
  <si>
    <t>F71</t>
  </si>
  <si>
    <t>F70</t>
  </si>
  <si>
    <t>F69</t>
  </si>
  <si>
    <t>F68</t>
  </si>
  <si>
    <t>F67</t>
  </si>
  <si>
    <t>F66</t>
  </si>
  <si>
    <t>F65</t>
  </si>
  <si>
    <t>F64</t>
  </si>
  <si>
    <t>F63</t>
  </si>
  <si>
    <t>F62</t>
  </si>
  <si>
    <t>F61</t>
  </si>
  <si>
    <t>F60</t>
  </si>
  <si>
    <t>F59</t>
  </si>
  <si>
    <t>F58</t>
  </si>
  <si>
    <t>F57</t>
  </si>
  <si>
    <t>F56</t>
  </si>
  <si>
    <t>8) All Post and Total should be present</t>
  </si>
  <si>
    <t>F55</t>
  </si>
  <si>
    <t>F54</t>
  </si>
  <si>
    <t>6)  Report should be able to export on pdf, doc and csv format. csv report should be able to generate records for all 3 view Months. i.e. 12, 24, 36. Exported report should match with Application report.</t>
  </si>
  <si>
    <t>F53</t>
  </si>
  <si>
    <t>F52</t>
  </si>
  <si>
    <t>4) Range of Service date should be changed in accordance to change in "View Months"</t>
  </si>
  <si>
    <t>F51</t>
  </si>
  <si>
    <t>F50</t>
  </si>
  <si>
    <t>F49</t>
  </si>
  <si>
    <t>F48</t>
  </si>
  <si>
    <t>5) Applied Filters should be appear on the top of the Exported CSV Report.</t>
  </si>
  <si>
    <t>F47</t>
  </si>
  <si>
    <t>F46</t>
  </si>
  <si>
    <t>F45</t>
  </si>
  <si>
    <t>F44</t>
  </si>
  <si>
    <t>1)Click link 'Medical Claim Lag'</t>
  </si>
  <si>
    <t>Network Comparison</t>
  </si>
  <si>
    <t>F43</t>
  </si>
  <si>
    <t>12) Applied Filters should be appear on the top of the Exported CSV Report.</t>
  </si>
  <si>
    <t>F42</t>
  </si>
  <si>
    <t>11) Report should be able to export on pdf, doc and csv format. Exported report should match with Application report.</t>
  </si>
  <si>
    <t>F41</t>
  </si>
  <si>
    <t>Could not find the feature</t>
  </si>
  <si>
    <t>10) # of claimants column should be available when the total count is less than 200 and greater than 5</t>
  </si>
  <si>
    <t>F40</t>
  </si>
  <si>
    <t xml:space="preserve">9) Monthly Analysis chart should contain "Monthly Analysis ALL" chart </t>
  </si>
  <si>
    <t>F39</t>
  </si>
  <si>
    <t>8) Chart/Compare View options should be present on Monthly Analysis. User should be able to customize record view by using these tabs.</t>
  </si>
  <si>
    <t>F38</t>
  </si>
  <si>
    <t>7) Greater than value should accept value  between '10000' and 1 billion.</t>
  </si>
  <si>
    <t>F37</t>
  </si>
  <si>
    <t>6) % Change column must be present in Periodic Analysis-All, Greater Than tabs.</t>
  </si>
  <si>
    <t>F36</t>
  </si>
  <si>
    <t>F35</t>
  </si>
  <si>
    <t>F34</t>
  </si>
  <si>
    <t>F33</t>
  </si>
  <si>
    <t>F32</t>
  </si>
  <si>
    <t>F31</t>
  </si>
  <si>
    <t>F30</t>
  </si>
  <si>
    <t>F29</t>
  </si>
  <si>
    <t>F28</t>
  </si>
  <si>
    <t>F27</t>
  </si>
  <si>
    <t>F26</t>
  </si>
  <si>
    <t>F25</t>
  </si>
  <si>
    <t>5) % Change column must be present in Perodic Analysis - All, Greater Than tabs.</t>
  </si>
  <si>
    <t>F24</t>
  </si>
  <si>
    <t>4) should contain "Periodic Analysis" and "Monthly Analysis" tabs. These tabs should contain sub tabs: "All" and "Greater than"</t>
  </si>
  <si>
    <t>F23</t>
  </si>
  <si>
    <t>F22</t>
  </si>
  <si>
    <t>F21</t>
  </si>
  <si>
    <t>F20</t>
  </si>
  <si>
    <t>F19</t>
  </si>
  <si>
    <t>F18</t>
  </si>
  <si>
    <t>F17</t>
  </si>
  <si>
    <t>F16</t>
  </si>
  <si>
    <t>Participation is not enable</t>
  </si>
  <si>
    <t>F15</t>
  </si>
  <si>
    <t>F14</t>
  </si>
  <si>
    <t>F13</t>
  </si>
  <si>
    <t>F12</t>
  </si>
  <si>
    <t>F11</t>
  </si>
  <si>
    <t>Piwik js file has been removed</t>
  </si>
  <si>
    <t>F10</t>
  </si>
  <si>
    <t>F09</t>
  </si>
  <si>
    <t>F08</t>
  </si>
  <si>
    <t>F07</t>
  </si>
  <si>
    <t>F06</t>
  </si>
  <si>
    <t>F05</t>
  </si>
  <si>
    <t>Functionality</t>
  </si>
  <si>
    <t xml:space="preserve">Smoke Test </t>
  </si>
  <si>
    <t>Active</t>
  </si>
  <si>
    <t>Plan</t>
  </si>
  <si>
    <t>Foundations Health</t>
  </si>
  <si>
    <t>Expected Lower</t>
  </si>
  <si>
    <t xml:space="preserve">Member Months
</t>
  </si>
  <si>
    <t xml:space="preserve">1) Member Months Data Search page should appear with default fields
</t>
  </si>
  <si>
    <t>4) Member Months Data List page, User should be able to implement show/hide fields</t>
  </si>
  <si>
    <t>6) Eligibility month, risk scores should be present</t>
  </si>
  <si>
    <t>https://epicbenefitsdata.pa.uat.deerwalk.com</t>
  </si>
  <si>
    <t>Group</t>
  </si>
  <si>
    <t>Carrier</t>
  </si>
  <si>
    <t>Level 4</t>
  </si>
  <si>
    <t>Level 5</t>
  </si>
  <si>
    <t>Location</t>
  </si>
  <si>
    <t>Level 6</t>
  </si>
  <si>
    <t>Division</t>
  </si>
  <si>
    <t>Level 7</t>
  </si>
  <si>
    <t>Employee Type</t>
  </si>
  <si>
    <t>No data avaliable</t>
  </si>
  <si>
    <t>A04</t>
  </si>
  <si>
    <t>On anti-platelets medication</t>
  </si>
  <si>
    <t>Dec 2015 - Nov 2016</t>
  </si>
  <si>
    <t>FA111</t>
  </si>
  <si>
    <t>FA144</t>
  </si>
  <si>
    <t>AsmitaS</t>
  </si>
  <si>
    <t>#118145 </t>
  </si>
  <si>
    <r>
      <rPr>
        <b/>
        <sz val="10"/>
        <color theme="1" tint="4.9989318521683403E-2"/>
        <rFont val="Calibri"/>
        <family val="2"/>
        <scheme val="minor"/>
      </rPr>
      <t xml:space="preserve">Server: </t>
    </r>
    <r>
      <rPr>
        <sz val="10"/>
        <color theme="1" tint="4.9989318521683403E-2"/>
        <rFont val="Calibri"/>
        <family val="2"/>
        <scheme val="minor"/>
      </rPr>
      <t>Accolde red shift</t>
    </r>
    <r>
      <rPr>
        <b/>
        <sz val="10"/>
        <color theme="1" tint="4.9989318521683403E-2"/>
        <rFont val="Calibri"/>
        <family val="2"/>
        <scheme val="minor"/>
      </rPr>
      <t xml:space="preserve">
Database name: tfk_epc_pa_i8_20170329</t>
    </r>
    <r>
      <rPr>
        <sz val="10"/>
        <color theme="1" tint="4.9989318521683403E-2"/>
        <rFont val="Calibri"/>
        <family val="2"/>
        <scheme val="minor"/>
      </rPr>
      <t xml:space="preserve">
</t>
    </r>
    <r>
      <rPr>
        <b/>
        <sz val="10"/>
        <color theme="1" tint="4.9989318521683403E-2"/>
        <rFont val="Calibri"/>
        <family val="2"/>
        <scheme val="minor"/>
      </rPr>
      <t>Table name</t>
    </r>
    <r>
      <rPr>
        <sz val="10"/>
        <color theme="1" tint="4.9989318521683403E-2"/>
        <rFont val="Calibri"/>
        <family val="2"/>
        <scheme val="minor"/>
      </rPr>
      <t>: makalu_Config_Params</t>
    </r>
  </si>
  <si>
    <r>
      <t>Data Period :</t>
    </r>
    <r>
      <rPr>
        <b/>
        <sz val="11"/>
        <color theme="1"/>
        <rFont val="Calibri"/>
        <family val="2"/>
        <scheme val="minor"/>
      </rPr>
      <t xml:space="preserve"> March 01, 2012 to February 28, 2017
</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</si>
</sst>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164" formatCode="[$-409]General"/>
    <numFmt numFmtId="165" formatCode="mm/dd/yyyy"/>
    <numFmt numFmtId="166" formatCode="mm\-dd\-yyyy"/>
  </numFmts>
  <fonts count="3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9.35"/>
      <color theme="10"/>
      <name val="Calibri"/>
      <family val="2"/>
    </font>
    <font>
      <b/>
      <sz val="11"/>
      <color theme="0"/>
      <name val="Calibri"/>
      <family val="2"/>
      <scheme val="minor"/>
    </font>
    <font>
      <b/>
      <sz val="11"/>
      <color theme="1"/>
      <name val="Calibri"/>
      <family val="2"/>
      <scheme val="minor"/>
    </font>
    <font>
      <sz val="11"/>
      <color theme="0"/>
      <name val="Calibri"/>
      <family val="2"/>
      <scheme val="minor"/>
    </font>
    <font>
      <b/>
      <sz val="9"/>
      <color theme="0"/>
      <name val="Arial"/>
      <family val="2"/>
    </font>
    <font>
      <sz val="9"/>
      <color theme="0"/>
      <name val="Arial"/>
      <family val="2"/>
    </font>
    <font>
      <sz val="11"/>
      <color rgb="FF484848"/>
      <name val="Calibri"/>
      <family val="2"/>
      <scheme val="minor"/>
    </font>
    <font>
      <sz val="11"/>
      <color indexed="8"/>
      <name val="Calibri"/>
      <family val="2"/>
      <scheme val="minor"/>
    </font>
    <font>
      <b/>
      <sz val="10"/>
      <color theme="0"/>
      <name val="Calibri"/>
      <family val="2"/>
      <scheme val="minor"/>
    </font>
    <font>
      <b/>
      <sz val="10"/>
      <color theme="1" tint="4.9989318521683403E-2"/>
      <name val="Calibri"/>
      <family val="2"/>
      <scheme val="minor"/>
    </font>
    <font>
      <sz val="10"/>
      <color theme="1"/>
      <name val="Calibri"/>
      <family val="2"/>
      <scheme val="minor"/>
    </font>
    <font>
      <sz val="10"/>
      <color theme="1" tint="4.9989318521683403E-2"/>
      <name val="Calibri"/>
      <family val="2"/>
      <scheme val="minor"/>
    </font>
    <font>
      <sz val="10"/>
      <name val="Calibri"/>
      <family val="2"/>
      <scheme val="minor"/>
    </font>
    <font>
      <b/>
      <sz val="10"/>
      <name val="Calibri"/>
      <family val="2"/>
      <scheme val="minor"/>
    </font>
    <font>
      <sz val="10"/>
      <color theme="3" tint="0.39997558519241921"/>
      <name val="Calibri"/>
      <family val="2"/>
      <scheme val="minor"/>
    </font>
    <font>
      <b/>
      <sz val="10"/>
      <color rgb="FFFFFFFF"/>
      <name val="Calibri"/>
      <family val="2"/>
      <scheme val="minor"/>
    </font>
    <font>
      <sz val="10"/>
      <color rgb="FF333333"/>
      <name val="Calibri"/>
      <family val="2"/>
      <scheme val="minor"/>
    </font>
    <font>
      <sz val="10"/>
      <color rgb="FF000000"/>
      <name val="Calibri"/>
      <family val="2"/>
      <scheme val="minor"/>
    </font>
    <font>
      <b/>
      <sz val="10"/>
      <color theme="1"/>
      <name val="Calibri"/>
      <family val="2"/>
      <scheme val="minor"/>
    </font>
    <font>
      <sz val="10"/>
      <color indexed="8"/>
      <name val="Calibri"/>
      <family val="2"/>
      <scheme val="minor"/>
    </font>
    <font>
      <u/>
      <sz val="10"/>
      <color theme="10"/>
      <name val="Calibri"/>
      <family val="2"/>
      <scheme val="minor"/>
    </font>
    <font>
      <b/>
      <sz val="12"/>
      <color theme="0" tint="-4.9989318521683403E-2"/>
      <name val="Calibri"/>
      <family val="2"/>
      <scheme val="minor"/>
    </font>
    <font>
      <b/>
      <sz val="10"/>
      <color theme="0"/>
      <name val="Arial"/>
      <family val="2"/>
    </font>
  </fonts>
  <fills count="22">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4" tint="0.59999389629810485"/>
        <bgColor rgb="FF808080"/>
      </patternFill>
    </fill>
    <fill>
      <patternFill patternType="solid">
        <fgColor theme="3"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4.9989318521683403E-2"/>
        <bgColor indexed="64"/>
      </patternFill>
    </fill>
    <fill>
      <patternFill patternType="solid">
        <fgColor rgb="FFFFFF00"/>
        <bgColor indexed="64"/>
      </patternFill>
    </fill>
    <fill>
      <patternFill patternType="solid">
        <fgColor theme="3" tint="0.39997558519241921"/>
        <bgColor indexed="64"/>
      </patternFill>
    </fill>
    <fill>
      <patternFill patternType="solid">
        <fgColor rgb="FF0F253F"/>
        <bgColor rgb="FF000000"/>
      </patternFill>
    </fill>
    <fill>
      <patternFill patternType="solid">
        <fgColor theme="3" tint="-0.499984740745262"/>
        <bgColor indexed="64"/>
      </patternFill>
    </fill>
    <fill>
      <patternFill patternType="solid">
        <fgColor theme="0" tint="-0.249977111117893"/>
        <bgColor indexed="64"/>
      </patternFill>
    </fill>
    <fill>
      <patternFill patternType="solid">
        <fgColor rgb="FF17375D"/>
        <bgColor rgb="FF000000"/>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1A1A1A"/>
      </left>
      <right style="thin">
        <color rgb="FF1A1A1A"/>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320">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0" borderId="1" xfId="0" applyBorder="1"/>
    <xf numFmtId="0" fontId="10" fillId="0" borderId="1" xfId="0" applyFont="1" applyBorder="1"/>
    <xf numFmtId="0" fontId="9" fillId="14" borderId="1" xfId="0" applyFont="1" applyFill="1" applyBorder="1" applyAlignment="1">
      <alignment horizontal="center" vertical="center"/>
    </xf>
    <xf numFmtId="0" fontId="12" fillId="14" borderId="1" xfId="0" applyFont="1" applyFill="1" applyBorder="1" applyAlignment="1">
      <alignment horizontal="center" vertical="center"/>
    </xf>
    <xf numFmtId="0" fontId="0" fillId="0" borderId="0" xfId="0" applyBorder="1"/>
    <xf numFmtId="0" fontId="0" fillId="13" borderId="1" xfId="0" applyFill="1" applyBorder="1"/>
    <xf numFmtId="0" fontId="0" fillId="0" borderId="5" xfId="0" applyBorder="1"/>
    <xf numFmtId="0" fontId="0" fillId="0" borderId="2" xfId="0" applyBorder="1"/>
    <xf numFmtId="0" fontId="0" fillId="0" borderId="3" xfId="0" applyBorder="1"/>
    <xf numFmtId="0" fontId="0" fillId="0" borderId="1" xfId="0" applyFont="1" applyBorder="1"/>
    <xf numFmtId="0" fontId="0" fillId="0" borderId="2" xfId="0" applyFont="1" applyBorder="1"/>
    <xf numFmtId="0" fontId="0" fillId="0" borderId="3" xfId="0" applyFont="1" applyBorder="1"/>
    <xf numFmtId="0" fontId="13" fillId="14" borderId="0" xfId="0" applyFont="1" applyFill="1" applyAlignment="1">
      <alignment horizontal="center" vertical="center"/>
    </xf>
    <xf numFmtId="0" fontId="11" fillId="14" borderId="0" xfId="0" applyFont="1" applyFill="1" applyAlignment="1">
      <alignment horizontal="center" vertical="center"/>
    </xf>
    <xf numFmtId="0" fontId="9" fillId="14" borderId="0" xfId="0" applyFont="1" applyFill="1"/>
    <xf numFmtId="0" fontId="10" fillId="0" borderId="2" xfId="0" applyFont="1" applyBorder="1" applyAlignment="1"/>
    <xf numFmtId="0" fontId="10" fillId="0" borderId="6" xfId="0" applyFont="1" applyBorder="1" applyAlignment="1"/>
    <xf numFmtId="0" fontId="10" fillId="0" borderId="10" xfId="0" applyFont="1" applyBorder="1" applyAlignment="1"/>
    <xf numFmtId="0" fontId="10" fillId="0" borderId="11" xfId="0" applyFont="1" applyBorder="1" applyAlignment="1"/>
    <xf numFmtId="0" fontId="10" fillId="0" borderId="0" xfId="0" applyFont="1" applyBorder="1" applyAlignment="1"/>
    <xf numFmtId="0" fontId="0" fillId="0" borderId="1" xfId="0" applyBorder="1" applyAlignment="1">
      <alignment horizontal="right" wrapText="1"/>
    </xf>
    <xf numFmtId="0" fontId="0" fillId="0" borderId="1" xfId="0" applyBorder="1" applyAlignment="1">
      <alignment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xf numFmtId="0" fontId="0" fillId="0" borderId="0" xfId="0" applyFont="1"/>
    <xf numFmtId="0" fontId="0" fillId="13" borderId="1" xfId="0" applyFont="1" applyFill="1" applyBorder="1"/>
    <xf numFmtId="0" fontId="0" fillId="13" borderId="7" xfId="0" applyFont="1" applyFill="1" applyBorder="1" applyAlignment="1">
      <alignment horizontal="left"/>
    </xf>
    <xf numFmtId="0" fontId="0" fillId="13" borderId="0" xfId="0" applyFont="1" applyFill="1"/>
    <xf numFmtId="0" fontId="0" fillId="0" borderId="5" xfId="0" applyFont="1" applyBorder="1"/>
    <xf numFmtId="0" fontId="0" fillId="13" borderId="5" xfId="0" applyFont="1" applyFill="1" applyBorder="1"/>
    <xf numFmtId="0" fontId="0" fillId="0" borderId="1" xfId="0" applyFont="1" applyBorder="1" applyAlignment="1">
      <alignment horizontal="right" wrapText="1"/>
    </xf>
    <xf numFmtId="0" fontId="0" fillId="0" borderId="1" xfId="0" applyFont="1" applyBorder="1" applyAlignment="1">
      <alignment wrapText="1"/>
    </xf>
    <xf numFmtId="0" fontId="15" fillId="0" borderId="1" xfId="2" applyFont="1" applyFill="1" applyBorder="1" applyAlignment="1">
      <alignment horizontal="left" vertical="center"/>
    </xf>
    <xf numFmtId="0" fontId="14" fillId="0" borderId="1" xfId="0" applyFont="1" applyBorder="1" applyAlignment="1">
      <alignment horizontal="left" vertical="top" wrapText="1" indent="1"/>
    </xf>
    <xf numFmtId="0" fontId="14" fillId="0" borderId="0" xfId="0" applyFont="1" applyAlignment="1">
      <alignment horizontal="left" vertical="top" wrapText="1" indent="1"/>
    </xf>
    <xf numFmtId="0" fontId="3" fillId="15" borderId="0" xfId="0" applyFont="1" applyFill="1"/>
    <xf numFmtId="0" fontId="3" fillId="16" borderId="1" xfId="0" applyFont="1" applyFill="1" applyBorder="1"/>
    <xf numFmtId="0" fontId="16" fillId="10" borderId="1" xfId="0" applyFont="1" applyFill="1" applyBorder="1" applyAlignment="1">
      <alignment vertical="top" wrapText="1"/>
    </xf>
    <xf numFmtId="0" fontId="16" fillId="10" borderId="1" xfId="0" applyFont="1" applyFill="1" applyBorder="1" applyAlignment="1">
      <alignment horizontal="center" vertical="center" wrapText="1"/>
    </xf>
    <xf numFmtId="0" fontId="16" fillId="10" borderId="1" xfId="0" applyFont="1" applyFill="1" applyBorder="1" applyAlignment="1">
      <alignment horizontal="center" wrapText="1"/>
    </xf>
    <xf numFmtId="0" fontId="16" fillId="10" borderId="1" xfId="0" applyFont="1" applyFill="1" applyBorder="1" applyAlignment="1">
      <alignment horizontal="center" vertical="top" wrapText="1"/>
    </xf>
    <xf numFmtId="0" fontId="17" fillId="9" borderId="1" xfId="0" applyFont="1" applyFill="1" applyBorder="1" applyAlignment="1">
      <alignment horizontal="center" vertical="center" wrapText="1"/>
    </xf>
    <xf numFmtId="0" fontId="17" fillId="9" borderId="1" xfId="0" applyFont="1" applyFill="1" applyBorder="1" applyAlignment="1">
      <alignment horizontal="center" wrapText="1"/>
    </xf>
    <xf numFmtId="0" fontId="17" fillId="9" borderId="1" xfId="0" applyNumberFormat="1" applyFont="1" applyFill="1" applyBorder="1" applyAlignment="1">
      <alignment horizontal="center" vertical="center" wrapText="1"/>
    </xf>
    <xf numFmtId="0" fontId="17" fillId="9" borderId="1" xfId="0" applyNumberFormat="1" applyFont="1" applyFill="1" applyBorder="1" applyAlignment="1">
      <alignment vertical="center" wrapText="1"/>
    </xf>
    <xf numFmtId="0" fontId="17" fillId="9" borderId="1" xfId="0" applyFont="1" applyFill="1" applyBorder="1" applyAlignment="1">
      <alignment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18" fillId="7" borderId="1" xfId="0" applyNumberFormat="1" applyFont="1" applyFill="1" applyBorder="1" applyAlignment="1">
      <alignment horizontal="center" vertical="center"/>
    </xf>
    <xf numFmtId="0" fontId="19" fillId="13" borderId="1" xfId="0" applyFont="1" applyFill="1" applyBorder="1" applyAlignment="1">
      <alignment horizontal="left" vertical="center" wrapText="1"/>
    </xf>
    <xf numFmtId="0" fontId="19" fillId="0" borderId="3" xfId="0" applyFont="1" applyBorder="1" applyAlignment="1">
      <alignment vertical="center" wrapText="1"/>
    </xf>
    <xf numFmtId="0" fontId="19" fillId="0" borderId="2" xfId="0" applyNumberFormat="1" applyFont="1" applyBorder="1" applyAlignment="1">
      <alignment vertical="center" wrapText="1"/>
    </xf>
    <xf numFmtId="0" fontId="19" fillId="0" borderId="6" xfId="0" applyFont="1" applyBorder="1" applyAlignment="1">
      <alignment horizontal="left" vertical="top" wrapText="1"/>
    </xf>
    <xf numFmtId="0" fontId="19" fillId="0" borderId="6" xfId="0" applyNumberFormat="1" applyFont="1" applyBorder="1" applyAlignment="1">
      <alignment vertical="center" wrapText="1"/>
    </xf>
    <xf numFmtId="0" fontId="19" fillId="13" borderId="2" xfId="0" applyFont="1" applyFill="1" applyBorder="1" applyAlignment="1">
      <alignment horizontal="left" vertical="top" wrapText="1"/>
    </xf>
    <xf numFmtId="0" fontId="19" fillId="13" borderId="1" xfId="0" applyFont="1" applyFill="1" applyBorder="1" applyAlignment="1">
      <alignment horizontal="left" vertical="top" wrapText="1"/>
    </xf>
    <xf numFmtId="0" fontId="19" fillId="0" borderId="3" xfId="0" applyNumberFormat="1" applyFont="1" applyBorder="1" applyAlignment="1">
      <alignment vertical="center" wrapText="1"/>
    </xf>
    <xf numFmtId="0" fontId="19" fillId="13" borderId="2" xfId="0" applyNumberFormat="1" applyFont="1" applyFill="1" applyBorder="1" applyAlignment="1">
      <alignment vertical="center" wrapText="1"/>
    </xf>
    <xf numFmtId="0" fontId="19" fillId="13" borderId="6" xfId="0" applyNumberFormat="1" applyFont="1" applyFill="1" applyBorder="1" applyAlignment="1">
      <alignment vertical="center" wrapText="1"/>
    </xf>
    <xf numFmtId="0" fontId="19" fillId="13" borderId="3" xfId="0" applyNumberFormat="1" applyFont="1" applyFill="1" applyBorder="1" applyAlignment="1">
      <alignment vertical="center" wrapText="1"/>
    </xf>
    <xf numFmtId="0" fontId="20" fillId="13" borderId="1" xfId="0" applyFont="1" applyFill="1" applyBorder="1" applyAlignment="1">
      <alignment horizontal="left" vertical="center" wrapText="1"/>
    </xf>
    <xf numFmtId="0" fontId="18" fillId="0" borderId="1" xfId="0" applyFont="1" applyBorder="1" applyAlignment="1">
      <alignment horizontal="left" vertical="center" wrapText="1"/>
    </xf>
    <xf numFmtId="0" fontId="20" fillId="0" borderId="1" xfId="0" applyFont="1" applyBorder="1" applyAlignment="1">
      <alignment horizontal="left" vertical="center" wrapText="1"/>
    </xf>
    <xf numFmtId="0" fontId="20" fillId="13" borderId="2" xfId="0" applyFont="1" applyFill="1" applyBorder="1" applyAlignment="1">
      <alignment horizontal="left" vertical="center" wrapText="1"/>
    </xf>
    <xf numFmtId="0" fontId="20" fillId="13" borderId="1" xfId="0" applyFont="1" applyFill="1" applyBorder="1" applyAlignment="1">
      <alignment horizontal="left" vertical="top" wrapText="1"/>
    </xf>
    <xf numFmtId="0" fontId="20" fillId="0" borderId="1" xfId="0" applyFont="1" applyBorder="1" applyAlignment="1">
      <alignment horizontal="center" vertical="center" wrapText="1"/>
    </xf>
    <xf numFmtId="0" fontId="20" fillId="0" borderId="1" xfId="0" applyFont="1" applyBorder="1" applyAlignment="1">
      <alignment horizontal="center" vertical="top"/>
    </xf>
    <xf numFmtId="0" fontId="20" fillId="13" borderId="1" xfId="0" applyNumberFormat="1" applyFont="1" applyFill="1" applyBorder="1" applyAlignment="1">
      <alignment horizontal="center" vertical="center" wrapText="1"/>
    </xf>
    <xf numFmtId="0" fontId="21" fillId="13" borderId="1"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18" fillId="0" borderId="0" xfId="0" applyFont="1" applyBorder="1" applyAlignment="1">
      <alignment horizontal="left" vertical="center" wrapText="1"/>
    </xf>
    <xf numFmtId="0" fontId="19" fillId="0" borderId="13" xfId="0" applyNumberFormat="1" applyFont="1" applyBorder="1" applyAlignment="1">
      <alignment vertical="center" wrapText="1"/>
    </xf>
    <xf numFmtId="0" fontId="19" fillId="13" borderId="1" xfId="0" applyFont="1" applyFill="1" applyBorder="1" applyAlignment="1">
      <alignment vertical="center" wrapText="1"/>
    </xf>
    <xf numFmtId="0" fontId="18" fillId="0" borderId="1" xfId="0" applyFont="1" applyBorder="1" applyAlignment="1">
      <alignment wrapText="1"/>
    </xf>
    <xf numFmtId="0" fontId="19" fillId="0" borderId="1" xfId="0" applyFont="1" applyBorder="1" applyAlignment="1">
      <alignment vertical="center" wrapText="1"/>
    </xf>
    <xf numFmtId="0" fontId="19" fillId="0" borderId="1" xfId="0" applyNumberFormat="1" applyFont="1" applyBorder="1" applyAlignment="1">
      <alignment vertical="center" wrapText="1"/>
    </xf>
    <xf numFmtId="0" fontId="19" fillId="0" borderId="1" xfId="0" applyFont="1" applyBorder="1" applyAlignment="1">
      <alignment horizontal="center" wrapText="1"/>
    </xf>
    <xf numFmtId="0" fontId="19" fillId="0" borderId="0" xfId="0" applyFont="1" applyAlignment="1">
      <alignment vertical="center" wrapText="1"/>
    </xf>
    <xf numFmtId="0" fontId="17" fillId="0" borderId="0" xfId="0" applyFont="1" applyFill="1" applyAlignment="1">
      <alignment horizontal="left" vertical="top" wrapText="1"/>
    </xf>
    <xf numFmtId="0" fontId="17" fillId="0" borderId="0" xfId="0" applyNumberFormat="1" applyFont="1" applyFill="1" applyAlignment="1">
      <alignment horizontal="left" vertical="top" wrapText="1"/>
    </xf>
    <xf numFmtId="0" fontId="19" fillId="0" borderId="0" xfId="0" applyFont="1" applyFill="1" applyAlignment="1">
      <alignment vertical="center" wrapText="1"/>
    </xf>
    <xf numFmtId="0" fontId="19" fillId="0" borderId="0" xfId="0" applyFont="1" applyAlignment="1">
      <alignment horizontal="center" vertical="center" wrapText="1"/>
    </xf>
    <xf numFmtId="0" fontId="19" fillId="0" borderId="0" xfId="0" applyNumberFormat="1" applyFont="1" applyAlignment="1">
      <alignment vertical="center" wrapText="1"/>
    </xf>
    <xf numFmtId="0" fontId="16" fillId="10" borderId="0" xfId="0" applyFont="1" applyFill="1" applyAlignment="1">
      <alignment horizontal="left" vertical="top" wrapText="1"/>
    </xf>
    <xf numFmtId="0" fontId="17" fillId="10" borderId="0" xfId="0" applyFont="1" applyFill="1" applyAlignment="1">
      <alignment horizontal="left" vertical="top" wrapText="1"/>
    </xf>
    <xf numFmtId="0" fontId="17" fillId="12" borderId="1" xfId="0" applyFont="1" applyFill="1" applyBorder="1" applyAlignment="1">
      <alignment horizontal="center"/>
    </xf>
    <xf numFmtId="0" fontId="17" fillId="12" borderId="1" xfId="0" applyNumberFormat="1" applyFont="1" applyFill="1" applyBorder="1" applyAlignment="1">
      <alignment horizontal="center"/>
    </xf>
    <xf numFmtId="0" fontId="17" fillId="12" borderId="1" xfId="0" applyFont="1" applyFill="1" applyBorder="1" applyAlignment="1">
      <alignment horizontal="center" vertical="center" wrapText="1"/>
    </xf>
    <xf numFmtId="0" fontId="19" fillId="0" borderId="1" xfId="0" applyFont="1" applyBorder="1" applyAlignment="1">
      <alignment horizontal="center"/>
    </xf>
    <xf numFmtId="0" fontId="19" fillId="0" borderId="1" xfId="0" applyFont="1" applyBorder="1"/>
    <xf numFmtId="2" fontId="19" fillId="0" borderId="1" xfId="0" applyNumberFormat="1" applyFont="1" applyBorder="1" applyAlignment="1">
      <alignment horizontal="center"/>
    </xf>
    <xf numFmtId="0" fontId="19" fillId="0" borderId="0" xfId="0" applyFont="1" applyBorder="1" applyAlignment="1">
      <alignment vertical="center" wrapText="1"/>
    </xf>
    <xf numFmtId="3" fontId="19" fillId="0" borderId="0" xfId="0" applyNumberFormat="1" applyFont="1" applyAlignment="1">
      <alignment vertical="center" wrapText="1"/>
    </xf>
    <xf numFmtId="0" fontId="0" fillId="0" borderId="0" xfId="0" applyFont="1" applyBorder="1"/>
    <xf numFmtId="0" fontId="17" fillId="11" borderId="1" xfId="0" applyFont="1" applyFill="1" applyBorder="1" applyAlignment="1">
      <alignment vertical="top" wrapText="1"/>
    </xf>
    <xf numFmtId="165" fontId="19" fillId="0" borderId="0" xfId="0" applyNumberFormat="1" applyFont="1" applyBorder="1" applyAlignment="1">
      <alignment vertical="top" wrapText="1"/>
    </xf>
    <xf numFmtId="0" fontId="21" fillId="0" borderId="0" xfId="0" applyFont="1" applyAlignment="1">
      <alignment vertical="center" wrapText="1"/>
    </xf>
    <xf numFmtId="0" fontId="22" fillId="0" borderId="0" xfId="0" applyFont="1"/>
    <xf numFmtId="0" fontId="18" fillId="0" borderId="0" xfId="0" applyFont="1"/>
    <xf numFmtId="49" fontId="20" fillId="0" borderId="1" xfId="0" applyNumberFormat="1" applyFont="1" applyBorder="1" applyAlignment="1">
      <alignment horizontal="center" vertical="center" wrapText="1"/>
    </xf>
    <xf numFmtId="0" fontId="20" fillId="0" borderId="1" xfId="0" applyFont="1" applyBorder="1" applyAlignment="1">
      <alignment vertical="center" wrapText="1"/>
    </xf>
    <xf numFmtId="0" fontId="17" fillId="13" borderId="1" xfId="0" applyFont="1" applyFill="1" applyBorder="1" applyAlignment="1">
      <alignment vertical="top"/>
    </xf>
    <xf numFmtId="0" fontId="19" fillId="13" borderId="1" xfId="0" applyFont="1" applyFill="1" applyBorder="1" applyAlignment="1">
      <alignment vertical="top"/>
    </xf>
    <xf numFmtId="0" fontId="27" fillId="0" borderId="1" xfId="2" applyFont="1" applyFill="1" applyBorder="1" applyAlignment="1">
      <alignment horizontal="center" vertical="center"/>
    </xf>
    <xf numFmtId="0" fontId="17" fillId="13" borderId="1" xfId="0" applyFont="1" applyFill="1" applyBorder="1" applyAlignment="1">
      <alignment horizontal="left" vertical="center" wrapText="1"/>
    </xf>
    <xf numFmtId="0" fontId="17" fillId="0" borderId="1" xfId="2" applyFont="1" applyFill="1" applyBorder="1" applyAlignment="1">
      <alignment horizontal="center" vertical="center" wrapText="1"/>
    </xf>
    <xf numFmtId="0" fontId="19" fillId="0" borderId="1" xfId="2" applyFont="1" applyFill="1" applyBorder="1" applyAlignment="1">
      <alignment horizontal="center" vertical="center" wrapText="1"/>
    </xf>
    <xf numFmtId="0" fontId="16" fillId="14" borderId="1" xfId="0" applyFont="1" applyFill="1" applyBorder="1" applyAlignment="1">
      <alignment horizontal="center" vertical="center"/>
    </xf>
    <xf numFmtId="0" fontId="26" fillId="0" borderId="4" xfId="0" applyFont="1" applyBorder="1" applyAlignment="1">
      <alignment horizontal="left"/>
    </xf>
    <xf numFmtId="0" fontId="26" fillId="0" borderId="7" xfId="0" applyFont="1" applyBorder="1" applyAlignment="1">
      <alignment horizontal="left"/>
    </xf>
    <xf numFmtId="0" fontId="26" fillId="0" borderId="5" xfId="0" applyFont="1" applyBorder="1" applyAlignment="1">
      <alignment horizontal="left"/>
    </xf>
    <xf numFmtId="0" fontId="27" fillId="0" borderId="1" xfId="2" applyFont="1" applyFill="1" applyBorder="1" applyAlignment="1">
      <alignment horizontal="left" vertical="center"/>
    </xf>
    <xf numFmtId="0" fontId="26" fillId="0" borderId="2" xfId="0" applyFont="1" applyBorder="1" applyAlignment="1">
      <alignment horizontal="center"/>
    </xf>
    <xf numFmtId="0" fontId="18" fillId="0" borderId="1" xfId="0" applyFont="1" applyBorder="1"/>
    <xf numFmtId="0" fontId="26" fillId="0" borderId="6" xfId="0" applyFont="1" applyBorder="1" applyAlignment="1">
      <alignment horizontal="center"/>
    </xf>
    <xf numFmtId="0" fontId="26" fillId="0" borderId="0" xfId="0" applyFont="1" applyBorder="1" applyAlignment="1">
      <alignment horizontal="center"/>
    </xf>
    <xf numFmtId="0" fontId="26" fillId="0" borderId="3" xfId="0" applyFont="1" applyBorder="1" applyAlignment="1">
      <alignment horizontal="left"/>
    </xf>
    <xf numFmtId="0" fontId="26" fillId="0" borderId="1" xfId="0" applyFont="1" applyBorder="1" applyAlignment="1">
      <alignment horizontal="left"/>
    </xf>
    <xf numFmtId="0" fontId="18" fillId="0" borderId="2" xfId="0" applyFont="1" applyBorder="1"/>
    <xf numFmtId="0" fontId="18" fillId="0" borderId="3" xfId="0" applyFont="1" applyBorder="1"/>
    <xf numFmtId="0" fontId="26" fillId="0" borderId="3" xfId="0" applyFont="1" applyBorder="1" applyAlignment="1">
      <alignment horizontal="center"/>
    </xf>
    <xf numFmtId="0" fontId="18" fillId="13" borderId="1" xfId="0" applyFont="1" applyFill="1" applyBorder="1"/>
    <xf numFmtId="0" fontId="26" fillId="0" borderId="1" xfId="0" applyFont="1" applyBorder="1"/>
    <xf numFmtId="0" fontId="26" fillId="0" borderId="8" xfId="0" applyFont="1" applyBorder="1" applyAlignment="1">
      <alignment horizontal="left"/>
    </xf>
    <xf numFmtId="0" fontId="18" fillId="13" borderId="0" xfId="0" applyFont="1" applyFill="1"/>
    <xf numFmtId="0" fontId="26" fillId="0" borderId="2" xfId="0" applyFont="1" applyBorder="1" applyAlignment="1"/>
    <xf numFmtId="0" fontId="18" fillId="0" borderId="5" xfId="0" applyFont="1" applyBorder="1"/>
    <xf numFmtId="0" fontId="26" fillId="0" borderId="6" xfId="0" applyFont="1" applyBorder="1" applyAlignment="1"/>
    <xf numFmtId="0" fontId="18" fillId="13" borderId="5" xfId="0" applyFont="1" applyFill="1" applyBorder="1"/>
    <xf numFmtId="0" fontId="26" fillId="0" borderId="0" xfId="0" applyFont="1" applyBorder="1" applyAlignment="1"/>
    <xf numFmtId="0" fontId="18" fillId="0" borderId="1" xfId="0" applyFont="1" applyBorder="1" applyAlignment="1">
      <alignment horizontal="right" wrapText="1"/>
    </xf>
    <xf numFmtId="0" fontId="26" fillId="0" borderId="10" xfId="0" applyFont="1" applyBorder="1" applyAlignment="1"/>
    <xf numFmtId="0" fontId="26" fillId="0" borderId="11" xfId="0" applyFont="1" applyBorder="1" applyAlignment="1"/>
    <xf numFmtId="0" fontId="18" fillId="0" borderId="5" xfId="0" applyFont="1" applyBorder="1" applyAlignment="1">
      <alignment wrapText="1"/>
    </xf>
    <xf numFmtId="0" fontId="26" fillId="0" borderId="9" xfId="0" applyFont="1" applyBorder="1" applyAlignment="1">
      <alignment horizontal="left"/>
    </xf>
    <xf numFmtId="8" fontId="6" fillId="19" borderId="1" xfId="0" applyNumberFormat="1" applyFont="1" applyFill="1" applyBorder="1"/>
    <xf numFmtId="0" fontId="3" fillId="19" borderId="1" xfId="0" applyNumberFormat="1" applyFont="1" applyFill="1" applyBorder="1"/>
    <xf numFmtId="0" fontId="19" fillId="13" borderId="5" xfId="0" applyFont="1" applyFill="1" applyBorder="1" applyAlignment="1">
      <alignment horizontal="center" vertical="top" wrapText="1"/>
    </xf>
    <xf numFmtId="0" fontId="19" fillId="13" borderId="1" xfId="0" applyFont="1" applyFill="1" applyBorder="1" applyAlignment="1">
      <alignment horizontal="center" vertical="top" wrapText="1"/>
    </xf>
    <xf numFmtId="0" fontId="8" fillId="0" borderId="1" xfId="7" applyBorder="1" applyAlignment="1" applyProtection="1">
      <alignment horizontal="center" vertical="center" wrapText="1"/>
    </xf>
    <xf numFmtId="0" fontId="3" fillId="11" borderId="1" xfId="0" applyNumberFormat="1" applyFont="1" applyFill="1" applyBorder="1" applyAlignment="1">
      <alignment horizontal="center"/>
    </xf>
    <xf numFmtId="0" fontId="17" fillId="12" borderId="4" xfId="0" applyFont="1" applyFill="1" applyBorder="1" applyAlignment="1">
      <alignment horizontal="center"/>
    </xf>
    <xf numFmtId="0" fontId="19" fillId="13" borderId="2" xfId="0"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13" borderId="2" xfId="0" applyFont="1" applyFill="1" applyBorder="1" applyAlignment="1">
      <alignment horizontal="left" vertical="center" wrapText="1"/>
    </xf>
    <xf numFmtId="0" fontId="19" fillId="13" borderId="3" xfId="0" applyFont="1" applyFill="1" applyBorder="1" applyAlignment="1">
      <alignment horizontal="left" vertical="center" wrapText="1"/>
    </xf>
    <xf numFmtId="0" fontId="19" fillId="0" borderId="6" xfId="0" applyFont="1" applyBorder="1" applyAlignment="1">
      <alignment horizontal="center" vertical="top" wrapText="1"/>
    </xf>
    <xf numFmtId="0" fontId="19" fillId="0" borderId="2" xfId="0" applyFont="1" applyBorder="1" applyAlignment="1">
      <alignment horizontal="center" vertical="center" wrapText="1"/>
    </xf>
    <xf numFmtId="0" fontId="19" fillId="0" borderId="6" xfId="0" applyNumberFormat="1" applyFont="1" applyBorder="1" applyAlignment="1">
      <alignment horizontal="center" vertical="top" wrapText="1"/>
    </xf>
    <xf numFmtId="0" fontId="19" fillId="0" borderId="1" xfId="0" applyNumberFormat="1" applyFont="1" applyBorder="1" applyAlignment="1">
      <alignment horizontal="center" vertical="center"/>
    </xf>
    <xf numFmtId="0" fontId="25" fillId="0" borderId="1" xfId="0" applyFont="1" applyBorder="1" applyAlignment="1">
      <alignment vertical="center"/>
    </xf>
    <xf numFmtId="0" fontId="20" fillId="0" borderId="1" xfId="0" applyFont="1" applyBorder="1" applyAlignment="1">
      <alignment horizontal="left" vertical="center"/>
    </xf>
    <xf numFmtId="14" fontId="25" fillId="0" borderId="1" xfId="0" applyNumberFormat="1" applyFont="1" applyBorder="1" applyAlignment="1">
      <alignment horizontal="left" vertical="center"/>
    </xf>
    <xf numFmtId="0" fontId="23" fillId="17" borderId="2" xfId="0" applyFont="1" applyFill="1" applyBorder="1" applyAlignment="1">
      <alignment vertical="center"/>
    </xf>
    <xf numFmtId="0" fontId="23" fillId="17" borderId="1" xfId="0" applyFont="1" applyFill="1" applyBorder="1" applyAlignment="1">
      <alignment vertical="center"/>
    </xf>
    <xf numFmtId="0" fontId="25" fillId="0" borderId="0" xfId="0" applyFont="1" applyBorder="1" applyAlignment="1">
      <alignment vertical="center"/>
    </xf>
    <xf numFmtId="0" fontId="23" fillId="20" borderId="0" xfId="0" applyFont="1" applyFill="1" applyBorder="1" applyAlignment="1">
      <alignment horizontal="left" vertical="center"/>
    </xf>
    <xf numFmtId="0" fontId="0" fillId="0" borderId="0" xfId="0" applyFont="1" applyBorder="1" applyAlignment="1"/>
    <xf numFmtId="0" fontId="0" fillId="0" borderId="0" xfId="0" applyFont="1" applyFill="1" applyBorder="1"/>
    <xf numFmtId="0" fontId="18" fillId="0" borderId="0" xfId="0" applyFont="1" applyBorder="1" applyAlignment="1">
      <alignment horizontal="center"/>
    </xf>
    <xf numFmtId="0" fontId="0" fillId="0" borderId="0" xfId="0" applyFont="1" applyBorder="1" applyAlignment="1">
      <alignment horizontal="center"/>
    </xf>
    <xf numFmtId="14" fontId="0" fillId="0" borderId="0" xfId="0" applyNumberFormat="1" applyFont="1" applyBorder="1" applyAlignment="1">
      <alignment horizontal="left"/>
    </xf>
    <xf numFmtId="0" fontId="0" fillId="0" borderId="1" xfId="0" applyFont="1" applyBorder="1" applyAlignment="1">
      <alignment horizontal="center"/>
    </xf>
    <xf numFmtId="14" fontId="0" fillId="0" borderId="1" xfId="0" applyNumberFormat="1" applyFont="1" applyBorder="1" applyAlignment="1">
      <alignment horizontal="left"/>
    </xf>
    <xf numFmtId="0" fontId="0" fillId="0" borderId="6" xfId="0" applyFont="1" applyFill="1" applyBorder="1"/>
    <xf numFmtId="0" fontId="18" fillId="0" borderId="1" xfId="0" applyFont="1" applyBorder="1" applyAlignment="1">
      <alignment horizontal="center"/>
    </xf>
    <xf numFmtId="14" fontId="18" fillId="0" borderId="1" xfId="0" applyNumberFormat="1" applyFont="1" applyBorder="1" applyAlignment="1">
      <alignment horizontal="left"/>
    </xf>
    <xf numFmtId="166" fontId="24" fillId="0" borderId="1" xfId="0" applyNumberFormat="1" applyFont="1" applyBorder="1" applyAlignment="1">
      <alignment horizontal="left" wrapText="1"/>
    </xf>
    <xf numFmtId="0" fontId="20" fillId="0" borderId="2" xfId="0" applyFont="1" applyBorder="1" applyAlignment="1">
      <alignment vertical="center" wrapText="1"/>
    </xf>
    <xf numFmtId="49" fontId="20" fillId="0" borderId="2" xfId="0" applyNumberFormat="1" applyFont="1" applyBorder="1" applyAlignment="1">
      <alignment horizontal="center" vertical="center" wrapText="1"/>
    </xf>
    <xf numFmtId="166" fontId="24" fillId="0" borderId="16" xfId="0" applyNumberFormat="1" applyFont="1" applyBorder="1" applyAlignment="1">
      <alignment horizontal="left" wrapText="1"/>
    </xf>
    <xf numFmtId="0" fontId="21" fillId="11" borderId="1" xfId="0" applyFont="1" applyFill="1" applyBorder="1" applyAlignment="1">
      <alignment vertical="center" wrapText="1"/>
    </xf>
    <xf numFmtId="0" fontId="21" fillId="11" borderId="1" xfId="0" applyFont="1" applyFill="1" applyBorder="1" applyAlignment="1">
      <alignment horizontal="center" vertical="center" wrapText="1"/>
    </xf>
    <xf numFmtId="0" fontId="19" fillId="0" borderId="0" xfId="0" applyNumberFormat="1" applyFont="1" applyBorder="1" applyAlignment="1">
      <alignment horizontal="left" vertical="top" wrapText="1"/>
    </xf>
    <xf numFmtId="0" fontId="19" fillId="0" borderId="1" xfId="0" applyNumberFormat="1" applyFont="1" applyBorder="1" applyAlignment="1">
      <alignment horizontal="left" vertical="top" wrapText="1"/>
    </xf>
    <xf numFmtId="0" fontId="16" fillId="13" borderId="0" xfId="0" applyFont="1" applyFill="1" applyAlignment="1">
      <alignment vertical="top" wrapText="1"/>
    </xf>
    <xf numFmtId="0" fontId="19" fillId="0" borderId="0" xfId="0" applyNumberFormat="1" applyFont="1" applyAlignment="1">
      <alignment horizontal="center" vertical="center" wrapText="1"/>
    </xf>
    <xf numFmtId="0" fontId="19" fillId="0" borderId="0" xfId="0" applyFont="1" applyAlignment="1">
      <alignment horizontal="center" wrapText="1"/>
    </xf>
    <xf numFmtId="0" fontId="19" fillId="13" borderId="1" xfId="0" applyNumberFormat="1" applyFont="1" applyFill="1" applyBorder="1" applyAlignment="1">
      <alignment vertical="center" wrapText="1"/>
    </xf>
    <xf numFmtId="0" fontId="20" fillId="0" borderId="0" xfId="0" applyFont="1" applyAlignment="1">
      <alignment vertical="center" wrapText="1"/>
    </xf>
    <xf numFmtId="0" fontId="28" fillId="13" borderId="1" xfId="7" applyFont="1" applyFill="1" applyBorder="1" applyAlignment="1" applyProtection="1">
      <alignment horizontal="left" vertical="center" wrapText="1"/>
    </xf>
    <xf numFmtId="0" fontId="20" fillId="0" borderId="15" xfId="0" applyFont="1" applyBorder="1" applyAlignment="1">
      <alignment vertical="top"/>
    </xf>
    <xf numFmtId="0" fontId="20" fillId="0" borderId="14" xfId="0" applyFont="1" applyBorder="1" applyAlignment="1">
      <alignment horizontal="center" vertical="top"/>
    </xf>
    <xf numFmtId="0" fontId="20" fillId="0" borderId="2" xfId="0" applyFont="1" applyBorder="1" applyAlignment="1">
      <alignment horizontal="center" vertical="top"/>
    </xf>
    <xf numFmtId="0" fontId="19" fillId="0" borderId="6" xfId="0" applyNumberFormat="1" applyFont="1" applyBorder="1" applyAlignment="1">
      <alignment horizontal="center" wrapText="1"/>
    </xf>
    <xf numFmtId="0" fontId="19" fillId="0" borderId="6" xfId="0" applyNumberFormat="1" applyFont="1" applyBorder="1" applyAlignment="1">
      <alignment vertical="top" wrapText="1"/>
    </xf>
    <xf numFmtId="0" fontId="18" fillId="13" borderId="1" xfId="0" applyFont="1" applyFill="1" applyBorder="1" applyAlignment="1">
      <alignment horizontal="left" vertical="center" wrapText="1"/>
    </xf>
    <xf numFmtId="0" fontId="20" fillId="0" borderId="0" xfId="0" applyFont="1" applyAlignment="1">
      <alignment horizontal="center"/>
    </xf>
    <xf numFmtId="0" fontId="19" fillId="0" borderId="2" xfId="0" applyNumberFormat="1" applyFont="1" applyBorder="1" applyAlignment="1">
      <alignment vertical="top" wrapText="1"/>
    </xf>
    <xf numFmtId="0" fontId="19" fillId="0" borderId="0" xfId="0" applyFont="1" applyAlignment="1">
      <alignment horizontal="left" vertical="top" wrapText="1"/>
    </xf>
    <xf numFmtId="0" fontId="19" fillId="13" borderId="6" xfId="0" applyFont="1" applyFill="1" applyBorder="1" applyAlignment="1">
      <alignment horizontal="left" vertical="top" wrapText="1"/>
    </xf>
    <xf numFmtId="0" fontId="19" fillId="13" borderId="1" xfId="0" applyFont="1" applyFill="1" applyBorder="1" applyAlignment="1">
      <alignment horizontal="center" vertical="center" wrapText="1"/>
    </xf>
    <xf numFmtId="0" fontId="18" fillId="21" borderId="1" xfId="0" applyNumberFormat="1" applyFont="1" applyFill="1" applyBorder="1" applyAlignment="1">
      <alignment horizontal="center" vertical="center"/>
    </xf>
    <xf numFmtId="2" fontId="19" fillId="0" borderId="4" xfId="0" applyNumberFormat="1" applyFont="1" applyBorder="1" applyAlignment="1">
      <alignment horizontal="center"/>
    </xf>
    <xf numFmtId="0" fontId="28" fillId="0" borderId="1" xfId="7" applyFont="1" applyBorder="1" applyAlignment="1" applyProtection="1">
      <alignment vertical="center" wrapText="1"/>
    </xf>
    <xf numFmtId="0" fontId="17" fillId="10" borderId="0" xfId="0" applyFont="1" applyFill="1" applyAlignment="1">
      <alignment horizontal="center" vertical="top" wrapText="1"/>
    </xf>
    <xf numFmtId="0" fontId="0" fillId="0" borderId="0" xfId="0" applyAlignment="1">
      <alignment wrapText="1"/>
    </xf>
    <xf numFmtId="0" fontId="17" fillId="10" borderId="11" xfId="0" applyFont="1" applyFill="1" applyBorder="1" applyAlignment="1">
      <alignment vertical="top" wrapText="1"/>
    </xf>
    <xf numFmtId="0" fontId="17" fillId="10" borderId="12" xfId="0" applyFont="1" applyFill="1" applyBorder="1" applyAlignment="1">
      <alignment vertical="top" wrapText="1"/>
    </xf>
    <xf numFmtId="8" fontId="30" fillId="18" borderId="1" xfId="0" applyNumberFormat="1" applyFont="1" applyFill="1" applyBorder="1"/>
    <xf numFmtId="8" fontId="30" fillId="18" borderId="1" xfId="0" applyNumberFormat="1" applyFont="1" applyFill="1" applyBorder="1" applyAlignment="1">
      <alignment horizontal="center" vertical="center" wrapText="1"/>
    </xf>
    <xf numFmtId="8" fontId="30" fillId="18" borderId="1" xfId="0" applyNumberFormat="1" applyFont="1" applyFill="1" applyBorder="1" applyAlignment="1">
      <alignment horizontal="center" vertical="center"/>
    </xf>
    <xf numFmtId="3" fontId="3" fillId="19" borderId="1" xfId="0" applyNumberFormat="1" applyFont="1" applyFill="1" applyBorder="1"/>
    <xf numFmtId="0" fontId="6" fillId="19" borderId="1" xfId="0" applyNumberFormat="1" applyFont="1" applyFill="1" applyBorder="1"/>
    <xf numFmtId="3" fontId="2" fillId="19" borderId="1" xfId="0" applyNumberFormat="1" applyFont="1" applyFill="1" applyBorder="1" applyAlignment="1">
      <alignment wrapText="1"/>
    </xf>
    <xf numFmtId="0" fontId="26" fillId="0" borderId="10" xfId="0" applyFont="1" applyBorder="1" applyAlignment="1">
      <alignment horizontal="center"/>
    </xf>
    <xf numFmtId="0" fontId="26" fillId="0" borderId="11" xfId="0" applyFont="1" applyBorder="1" applyAlignment="1">
      <alignment horizontal="left"/>
    </xf>
    <xf numFmtId="0" fontId="18" fillId="13" borderId="1" xfId="0" applyFont="1" applyFill="1" applyBorder="1" applyAlignment="1">
      <alignment horizontal="left"/>
    </xf>
    <xf numFmtId="0" fontId="18" fillId="0" borderId="4" xfId="0" applyFont="1" applyBorder="1" applyAlignment="1">
      <alignment horizontal="center"/>
    </xf>
    <xf numFmtId="0" fontId="18" fillId="0" borderId="5" xfId="0" applyFont="1" applyBorder="1" applyAlignment="1">
      <alignment horizontal="center"/>
    </xf>
    <xf numFmtId="0" fontId="18" fillId="0" borderId="2" xfId="0" applyFont="1" applyBorder="1" applyAlignment="1"/>
    <xf numFmtId="0" fontId="0" fillId="0" borderId="6" xfId="0" applyFont="1" applyBorder="1" applyAlignment="1"/>
    <xf numFmtId="0" fontId="0" fillId="0" borderId="3" xfId="0" applyFont="1" applyBorder="1" applyAlignment="1"/>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16" fillId="13" borderId="0" xfId="0" applyFont="1" applyFill="1" applyAlignment="1">
      <alignment horizontal="left" vertical="top" wrapText="1"/>
    </xf>
    <xf numFmtId="165" fontId="19" fillId="0" borderId="1" xfId="0" applyNumberFormat="1" applyFont="1" applyBorder="1" applyAlignment="1">
      <alignment horizontal="left" vertical="top" wrapText="1"/>
    </xf>
    <xf numFmtId="0" fontId="29" fillId="10" borderId="4" xfId="0" applyFont="1" applyFill="1" applyBorder="1" applyAlignment="1">
      <alignment horizontal="left" vertical="top" wrapText="1"/>
    </xf>
    <xf numFmtId="0" fontId="29" fillId="10" borderId="7" xfId="0" applyFont="1" applyFill="1" applyBorder="1" applyAlignment="1">
      <alignment horizontal="left" vertical="top" wrapText="1"/>
    </xf>
    <xf numFmtId="0" fontId="29" fillId="10" borderId="5" xfId="0" applyFont="1" applyFill="1" applyBorder="1" applyAlignment="1">
      <alignment horizontal="left" vertical="top" wrapText="1"/>
    </xf>
    <xf numFmtId="0" fontId="20" fillId="0" borderId="8" xfId="0" applyFont="1" applyBorder="1" applyAlignment="1">
      <alignment horizontal="center" vertical="center" wrapText="1"/>
    </xf>
    <xf numFmtId="0" fontId="20" fillId="0" borderId="13" xfId="0" applyFont="1" applyBorder="1" applyAlignment="1">
      <alignment horizontal="center" vertical="center" wrapText="1"/>
    </xf>
    <xf numFmtId="0" fontId="21" fillId="11" borderId="4"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19" fillId="0" borderId="4" xfId="2" applyFont="1" applyFill="1" applyBorder="1" applyAlignment="1">
      <alignment horizontal="left" vertical="center" wrapText="1"/>
    </xf>
    <xf numFmtId="0" fontId="19" fillId="0" borderId="5" xfId="2" applyFont="1" applyFill="1" applyBorder="1" applyAlignment="1">
      <alignment horizontal="left" vertical="center" wrapText="1"/>
    </xf>
    <xf numFmtId="8" fontId="30" fillId="18" borderId="12" xfId="0" applyNumberFormat="1" applyFont="1" applyFill="1" applyBorder="1" applyAlignment="1">
      <alignment horizontal="center"/>
    </xf>
    <xf numFmtId="0" fontId="17" fillId="12" borderId="4" xfId="0" applyFont="1" applyFill="1" applyBorder="1" applyAlignment="1">
      <alignment horizontal="center"/>
    </xf>
    <xf numFmtId="0" fontId="17" fillId="12" borderId="5" xfId="0" applyFont="1" applyFill="1" applyBorder="1" applyAlignment="1">
      <alignment horizontal="center"/>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16" fillId="10" borderId="4" xfId="0" applyFont="1" applyFill="1" applyBorder="1" applyAlignment="1">
      <alignment horizontal="center" vertical="top" wrapText="1"/>
    </xf>
    <xf numFmtId="0" fontId="16" fillId="10" borderId="7" xfId="0" applyFont="1" applyFill="1" applyBorder="1" applyAlignment="1">
      <alignment horizontal="center" vertical="top" wrapText="1"/>
    </xf>
    <xf numFmtId="0" fontId="16" fillId="10" borderId="5" xfId="0" applyFont="1" applyFill="1" applyBorder="1" applyAlignment="1">
      <alignment horizontal="center" vertical="top" wrapText="1"/>
    </xf>
    <xf numFmtId="0" fontId="19" fillId="13" borderId="2"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19" fillId="13" borderId="3" xfId="0"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0" borderId="3" xfId="0" applyNumberFormat="1" applyFont="1" applyBorder="1" applyAlignment="1">
      <alignment horizontal="center" vertical="center" wrapText="1"/>
    </xf>
    <xf numFmtId="0" fontId="19" fillId="0" borderId="2"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wrapText="1"/>
    </xf>
    <xf numFmtId="0" fontId="19" fillId="0" borderId="6" xfId="0" applyFont="1" applyBorder="1" applyAlignment="1">
      <alignment horizontal="center" wrapText="1"/>
    </xf>
    <xf numFmtId="0" fontId="19" fillId="0" borderId="3" xfId="0" applyFont="1" applyBorder="1" applyAlignment="1">
      <alignment horizontal="center" wrapText="1"/>
    </xf>
    <xf numFmtId="0" fontId="20" fillId="0" borderId="2"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3" xfId="0" applyFont="1" applyBorder="1" applyAlignment="1">
      <alignment horizontal="center" vertical="center" wrapText="1"/>
    </xf>
    <xf numFmtId="0" fontId="19" fillId="0" borderId="2" xfId="0" applyFont="1" applyBorder="1" applyAlignment="1">
      <alignment horizontal="center" vertical="top" wrapText="1"/>
    </xf>
    <xf numFmtId="0" fontId="19" fillId="0" borderId="6" xfId="0" applyFont="1" applyBorder="1" applyAlignment="1">
      <alignment horizontal="center" vertical="top" wrapText="1"/>
    </xf>
    <xf numFmtId="0" fontId="19" fillId="0" borderId="3" xfId="0" applyFont="1" applyBorder="1" applyAlignment="1">
      <alignment horizontal="center" vertical="top" wrapText="1"/>
    </xf>
    <xf numFmtId="0" fontId="19" fillId="13" borderId="2" xfId="0" applyNumberFormat="1"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13" borderId="3" xfId="0" applyNumberFormat="1" applyFont="1" applyFill="1" applyBorder="1" applyAlignment="1">
      <alignment horizontal="center" vertical="center" wrapText="1"/>
    </xf>
    <xf numFmtId="0" fontId="19" fillId="13" borderId="2" xfId="0" applyFont="1" applyFill="1" applyBorder="1" applyAlignment="1">
      <alignment horizontal="center" vertical="top" wrapText="1"/>
    </xf>
    <xf numFmtId="0" fontId="19" fillId="13" borderId="6" xfId="0" applyFont="1" applyFill="1" applyBorder="1" applyAlignment="1">
      <alignment horizontal="center" vertical="top" wrapText="1"/>
    </xf>
    <xf numFmtId="0" fontId="19" fillId="13" borderId="3" xfId="0" applyFont="1" applyFill="1" applyBorder="1" applyAlignment="1">
      <alignment horizontal="center" vertical="top" wrapText="1"/>
    </xf>
    <xf numFmtId="0" fontId="20" fillId="0" borderId="2" xfId="0" applyFont="1" applyBorder="1" applyAlignment="1">
      <alignment horizontal="center" wrapText="1"/>
    </xf>
    <xf numFmtId="0" fontId="20" fillId="0" borderId="6" xfId="0" applyFont="1" applyBorder="1" applyAlignment="1">
      <alignment horizontal="center" wrapText="1"/>
    </xf>
    <xf numFmtId="0" fontId="20" fillId="0" borderId="3" xfId="0" applyFont="1" applyBorder="1" applyAlignment="1">
      <alignment horizontal="center" wrapText="1"/>
    </xf>
    <xf numFmtId="0" fontId="20" fillId="0" borderId="2" xfId="0" applyFont="1" applyBorder="1" applyAlignment="1">
      <alignment horizontal="center" vertical="top" wrapText="1"/>
    </xf>
    <xf numFmtId="0" fontId="20" fillId="0" borderId="6" xfId="0" applyFont="1" applyBorder="1" applyAlignment="1">
      <alignment horizontal="center" vertical="top" wrapText="1"/>
    </xf>
    <xf numFmtId="0" fontId="20" fillId="0" borderId="3" xfId="0" applyFont="1" applyBorder="1" applyAlignment="1">
      <alignment horizontal="center" vertical="top" wrapText="1"/>
    </xf>
    <xf numFmtId="0" fontId="19" fillId="0" borderId="2" xfId="0" applyNumberFormat="1" applyFont="1" applyBorder="1" applyAlignment="1">
      <alignment horizontal="center" vertical="top" wrapText="1"/>
    </xf>
    <xf numFmtId="0" fontId="19" fillId="0" borderId="6" xfId="0" applyNumberFormat="1" applyFont="1" applyBorder="1" applyAlignment="1">
      <alignment horizontal="center" vertical="top" wrapText="1"/>
    </xf>
    <xf numFmtId="0" fontId="19" fillId="0" borderId="3" xfId="0" applyNumberFormat="1" applyFont="1" applyBorder="1" applyAlignment="1">
      <alignment horizontal="center" vertical="top" wrapText="1"/>
    </xf>
    <xf numFmtId="0" fontId="20" fillId="13" borderId="2" xfId="0" applyNumberFormat="1" applyFont="1" applyFill="1" applyBorder="1" applyAlignment="1">
      <alignment horizontal="center" vertical="top" wrapText="1"/>
    </xf>
    <xf numFmtId="0" fontId="20" fillId="13" borderId="6" xfId="0" applyNumberFormat="1" applyFont="1" applyFill="1" applyBorder="1" applyAlignment="1">
      <alignment horizontal="center" vertical="top" wrapText="1"/>
    </xf>
    <xf numFmtId="0" fontId="20" fillId="13" borderId="3" xfId="0" applyNumberFormat="1" applyFont="1" applyFill="1" applyBorder="1" applyAlignment="1">
      <alignment horizontal="center" vertical="top" wrapText="1"/>
    </xf>
    <xf numFmtId="0" fontId="16" fillId="10" borderId="10" xfId="0" applyFont="1" applyFill="1" applyBorder="1" applyAlignment="1">
      <alignment horizontal="center" vertical="center" wrapText="1"/>
    </xf>
    <xf numFmtId="0" fontId="16" fillId="10" borderId="0" xfId="0" applyFont="1" applyFill="1" applyBorder="1" applyAlignment="1">
      <alignment horizontal="center" vertical="center" wrapText="1"/>
    </xf>
    <xf numFmtId="0" fontId="20" fillId="13" borderId="2" xfId="0" applyNumberFormat="1" applyFont="1" applyFill="1" applyBorder="1" applyAlignment="1">
      <alignment horizontal="center" vertical="center" wrapText="1"/>
    </xf>
    <xf numFmtId="0" fontId="20" fillId="13" borderId="6" xfId="0" applyNumberFormat="1" applyFont="1" applyFill="1" applyBorder="1" applyAlignment="1">
      <alignment horizontal="center" vertical="center" wrapText="1"/>
    </xf>
    <xf numFmtId="0" fontId="20" fillId="13" borderId="3" xfId="0" applyNumberFormat="1" applyFont="1" applyFill="1" applyBorder="1" applyAlignment="1">
      <alignment horizontal="center" vertical="center" wrapText="1"/>
    </xf>
    <xf numFmtId="0" fontId="19" fillId="0" borderId="2" xfId="0" applyFont="1" applyBorder="1" applyAlignment="1">
      <alignment horizontal="center" vertical="center"/>
    </xf>
    <xf numFmtId="0" fontId="19" fillId="0" borderId="6" xfId="0" applyFont="1" applyBorder="1" applyAlignment="1">
      <alignment horizontal="center" vertical="center"/>
    </xf>
    <xf numFmtId="0" fontId="19" fillId="0" borderId="1" xfId="0" applyNumberFormat="1" applyFont="1" applyBorder="1" applyAlignment="1">
      <alignment horizontal="center" vertical="center"/>
    </xf>
    <xf numFmtId="0" fontId="19" fillId="0" borderId="3" xfId="0" applyFont="1" applyBorder="1" applyAlignment="1">
      <alignment horizontal="center" vertical="center"/>
    </xf>
    <xf numFmtId="0" fontId="16" fillId="10" borderId="12" xfId="0" applyFont="1" applyFill="1" applyBorder="1" applyAlignment="1">
      <alignment horizontal="center" vertical="center" wrapText="1"/>
    </xf>
    <xf numFmtId="0" fontId="20" fillId="13" borderId="2" xfId="0" applyFont="1" applyFill="1" applyBorder="1" applyAlignment="1">
      <alignment horizontal="center" vertical="center" wrapText="1"/>
    </xf>
    <xf numFmtId="0" fontId="20" fillId="13" borderId="6" xfId="0" applyFont="1" applyFill="1" applyBorder="1" applyAlignment="1">
      <alignment horizontal="center" vertical="center" wrapText="1"/>
    </xf>
    <xf numFmtId="0" fontId="20" fillId="13" borderId="3" xfId="0" applyFont="1" applyFill="1" applyBorder="1" applyAlignment="1">
      <alignment horizontal="center" vertical="center" wrapText="1"/>
    </xf>
    <xf numFmtId="0" fontId="20" fillId="0" borderId="2" xfId="0" applyFont="1" applyBorder="1" applyAlignment="1">
      <alignment horizontal="center" vertical="center"/>
    </xf>
    <xf numFmtId="0" fontId="20" fillId="0" borderId="6" xfId="0" applyFont="1" applyBorder="1" applyAlignment="1">
      <alignment horizontal="center" vertical="center"/>
    </xf>
    <xf numFmtId="0" fontId="20" fillId="0" borderId="3" xfId="0" applyFont="1" applyBorder="1" applyAlignment="1">
      <alignment horizontal="center" vertical="center"/>
    </xf>
    <xf numFmtId="0" fontId="18" fillId="13" borderId="2" xfId="0" applyFont="1" applyFill="1" applyBorder="1" applyAlignment="1">
      <alignment horizontal="center" vertical="center" wrapText="1"/>
    </xf>
    <xf numFmtId="0" fontId="18" fillId="13" borderId="6" xfId="0" applyFont="1" applyFill="1" applyBorder="1" applyAlignment="1">
      <alignment horizontal="center" vertical="center" wrapText="1"/>
    </xf>
    <xf numFmtId="0" fontId="18" fillId="13" borderId="3" xfId="0" applyFont="1" applyFill="1" applyBorder="1" applyAlignment="1">
      <alignment horizontal="center" vertical="center"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xf numFmtId="0" fontId="3" fillId="0" borderId="0" xfId="0" applyNumberFormat="1" applyFont="1"/>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299">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FF0000"/>
        </patternFill>
      </fill>
    </dxf>
    <dxf>
      <font>
        <color theme="1"/>
      </font>
      <fill>
        <patternFill>
          <bgColor theme="6"/>
        </patternFill>
      </fill>
    </dxf>
    <dxf>
      <font>
        <color theme="1"/>
      </font>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6</xdr:col>
      <xdr:colOff>296395</xdr:colOff>
      <xdr:row>6</xdr:row>
      <xdr:rowOff>91328</xdr:rowOff>
    </xdr:to>
    <xdr:pic>
      <xdr:nvPicPr>
        <xdr:cNvPr id="2" name="Picture 1"/>
        <xdr:cNvPicPr/>
      </xdr:nvPicPr>
      <xdr:blipFill>
        <a:blip xmlns:r="http://schemas.openxmlformats.org/officeDocument/2006/relationships" r:embed="rId1" cstate="print"/>
        <a:stretch>
          <a:fillRect/>
        </a:stretch>
      </xdr:blipFill>
      <xdr:spPr>
        <a:xfrm>
          <a:off x="3048000" y="571500"/>
          <a:ext cx="905995" cy="6628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6_05_12_PA_5.1.0_App_QC_Smoke_Test_Checklist_ACL_LW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shrestha\Desktop\2015_10_01_PA_4.5_App_QC_Smoke_Test_Resul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bhattarai\Downloads\New%20Feature\2016_01_21_PA_4.8_App_QC_Smoke_Test_Checkli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5_10_28_Plan_Analytics_4.5.0_App_QC_Smoke_Test_Result_AccoladeTW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_Analytics_client_file/business_administrators_consultants/docs/quality_control/test_results/app_qc/makalu/smoke_test/2015_08_19_Makalu_4.3.0_App_QC_Smoke_Test_Result_BA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sheetData sheetId="7">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amp;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8"/>
  <sheetViews>
    <sheetView showGridLines="0" tabSelected="1" zoomScale="85" zoomScaleNormal="85" workbookViewId="0">
      <pane ySplit="9" topLeftCell="A10" activePane="bottomLeft" state="frozen"/>
      <selection pane="bottomLeft" activeCell="A10" sqref="A10"/>
    </sheetView>
  </sheetViews>
  <sheetFormatPr defaultRowHeight="15" x14ac:dyDescent="0.25"/>
  <cols>
    <col min="1" max="1" width="36" style="42" customWidth="1"/>
    <col min="2" max="2" width="23" style="42" customWidth="1"/>
    <col min="3" max="3" width="43.140625" style="42" customWidth="1"/>
    <col min="4" max="4" width="27" style="42" customWidth="1"/>
    <col min="5" max="5" width="17" style="42" customWidth="1"/>
    <col min="6" max="6" width="26.5703125" style="42" bestFit="1" customWidth="1"/>
    <col min="7" max="7" width="29.85546875" style="42" customWidth="1"/>
    <col min="8" max="8" width="9.140625" style="42"/>
    <col min="9" max="9" width="24" style="42" customWidth="1"/>
    <col min="10" max="16384" width="9.140625" style="42"/>
  </cols>
  <sheetData>
    <row r="1" spans="1:55" s="96" customFormat="1" ht="12.75" x14ac:dyDescent="0.25">
      <c r="A1" s="236" t="s">
        <v>308</v>
      </c>
      <c r="B1" s="236"/>
      <c r="C1" s="236"/>
      <c r="D1" s="236"/>
      <c r="E1" s="236"/>
      <c r="F1" s="236"/>
      <c r="G1" s="236"/>
      <c r="H1" s="236"/>
      <c r="I1" s="236"/>
    </row>
    <row r="2" spans="1:55" s="99" customFormat="1" ht="15" customHeight="1" x14ac:dyDescent="0.25">
      <c r="A2" s="97"/>
      <c r="B2" s="97"/>
      <c r="C2" s="97"/>
      <c r="D2" s="98"/>
      <c r="E2" s="97"/>
      <c r="F2" s="97"/>
      <c r="G2" s="97"/>
      <c r="H2" s="97"/>
      <c r="I2" s="97"/>
    </row>
    <row r="3" spans="1:55" s="96" customFormat="1" ht="15" customHeight="1" x14ac:dyDescent="0.25">
      <c r="A3" s="238" t="s">
        <v>386</v>
      </c>
      <c r="B3" s="239"/>
      <c r="C3" s="240"/>
      <c r="D3" s="196"/>
      <c r="E3" s="196"/>
      <c r="F3" s="196"/>
      <c r="G3" s="196"/>
      <c r="H3" s="196"/>
      <c r="I3" s="196"/>
      <c r="P3" s="99"/>
    </row>
    <row r="4" spans="1:55" s="96" customFormat="1" ht="12.75" x14ac:dyDescent="0.25">
      <c r="A4" s="113" t="s">
        <v>375</v>
      </c>
      <c r="B4" s="237" t="s">
        <v>1309</v>
      </c>
      <c r="C4" s="237"/>
      <c r="D4" s="114"/>
      <c r="P4" s="99"/>
    </row>
    <row r="5" spans="1:55" s="96" customFormat="1" ht="12.75" x14ac:dyDescent="0.25">
      <c r="A5" s="113" t="s">
        <v>376</v>
      </c>
      <c r="B5" s="237" t="s">
        <v>377</v>
      </c>
      <c r="C5" s="237"/>
      <c r="D5" s="194"/>
      <c r="P5" s="99"/>
    </row>
    <row r="6" spans="1:55" s="96" customFormat="1" ht="12.75" x14ac:dyDescent="0.25">
      <c r="A6" s="113" t="s">
        <v>379</v>
      </c>
      <c r="B6" s="195">
        <v>6.2</v>
      </c>
      <c r="C6" s="195"/>
      <c r="D6" s="194"/>
      <c r="P6" s="99"/>
    </row>
    <row r="7" spans="1:55" s="96" customFormat="1" ht="15" customHeight="1" x14ac:dyDescent="0.25">
      <c r="A7" s="113" t="s">
        <v>380</v>
      </c>
      <c r="B7" s="237" t="s">
        <v>1290</v>
      </c>
      <c r="C7" s="237"/>
      <c r="D7" s="110"/>
      <c r="P7" s="99"/>
    </row>
    <row r="8" spans="1:55" s="96" customFormat="1" ht="15" customHeight="1" x14ac:dyDescent="0.25">
      <c r="A8" s="113" t="s">
        <v>381</v>
      </c>
      <c r="B8" s="237" t="s">
        <v>382</v>
      </c>
      <c r="C8" s="237"/>
      <c r="D8" s="110"/>
      <c r="P8" s="99"/>
    </row>
    <row r="9" spans="1:55" s="96" customFormat="1" ht="12.75" x14ac:dyDescent="0.25">
      <c r="A9" s="113" t="s">
        <v>383</v>
      </c>
      <c r="B9" s="237" t="s">
        <v>384</v>
      </c>
      <c r="C9" s="237"/>
      <c r="D9" s="110"/>
      <c r="G9" s="100"/>
      <c r="P9" s="99"/>
    </row>
    <row r="10" spans="1:55" x14ac:dyDescent="0.25">
      <c r="J10" s="96"/>
      <c r="K10" s="96"/>
      <c r="L10" s="96"/>
      <c r="M10" s="96"/>
      <c r="N10" s="96"/>
      <c r="O10" s="96"/>
      <c r="P10" s="99"/>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row>
    <row r="11" spans="1:55" x14ac:dyDescent="0.25">
      <c r="J11" s="96"/>
      <c r="K11" s="96"/>
      <c r="L11" s="96"/>
      <c r="M11" s="96"/>
      <c r="N11" s="96"/>
      <c r="O11" s="96"/>
      <c r="P11" s="99"/>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row>
    <row r="12" spans="1:55" x14ac:dyDescent="0.25">
      <c r="A12" s="115" t="s">
        <v>387</v>
      </c>
      <c r="B12" s="116"/>
      <c r="C12" s="117"/>
      <c r="D12" s="117"/>
      <c r="E12" s="117"/>
      <c r="F12" s="117"/>
      <c r="G12" s="117"/>
      <c r="J12" s="96"/>
      <c r="K12" s="96"/>
      <c r="L12" s="96"/>
      <c r="M12" s="96"/>
      <c r="N12" s="96"/>
      <c r="O12" s="96"/>
      <c r="P12" s="99"/>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row>
    <row r="13" spans="1:55" x14ac:dyDescent="0.25">
      <c r="A13" s="117"/>
      <c r="B13" s="117"/>
      <c r="C13" s="117"/>
      <c r="D13" s="117"/>
      <c r="E13" s="117"/>
      <c r="F13" s="117"/>
      <c r="G13" s="117"/>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row>
    <row r="14" spans="1:55" x14ac:dyDescent="0.25">
      <c r="A14" s="192" t="s">
        <v>388</v>
      </c>
      <c r="B14" s="193" t="s">
        <v>389</v>
      </c>
      <c r="C14" s="243" t="s">
        <v>390</v>
      </c>
      <c r="D14" s="244"/>
      <c r="E14" s="192" t="s">
        <v>391</v>
      </c>
      <c r="F14" s="192" t="s">
        <v>392</v>
      </c>
      <c r="G14" s="192" t="s">
        <v>2</v>
      </c>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row>
    <row r="15" spans="1:55" x14ac:dyDescent="0.25">
      <c r="A15" s="191">
        <v>42216</v>
      </c>
      <c r="B15" s="190" t="s">
        <v>393</v>
      </c>
      <c r="C15" s="241" t="s">
        <v>394</v>
      </c>
      <c r="D15" s="242"/>
      <c r="E15" s="189" t="s">
        <v>395</v>
      </c>
      <c r="F15" s="189"/>
      <c r="G15" s="189"/>
      <c r="J15" s="96"/>
      <c r="K15" s="96"/>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row>
    <row r="16" spans="1:55" ht="51" customHeight="1" x14ac:dyDescent="0.25">
      <c r="A16" s="188">
        <v>42249</v>
      </c>
      <c r="B16" s="118" t="s">
        <v>754</v>
      </c>
      <c r="C16" s="234" t="s">
        <v>753</v>
      </c>
      <c r="D16" s="235"/>
      <c r="E16" s="119" t="s">
        <v>752</v>
      </c>
      <c r="F16" s="119" t="s">
        <v>751</v>
      </c>
      <c r="G16" s="119"/>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row>
    <row r="17" spans="1:7" x14ac:dyDescent="0.25">
      <c r="A17" s="187">
        <v>42278</v>
      </c>
      <c r="B17" s="186">
        <v>4.5</v>
      </c>
      <c r="C17" s="229" t="s">
        <v>750</v>
      </c>
      <c r="D17" s="230"/>
      <c r="E17" s="132" t="s">
        <v>749</v>
      </c>
      <c r="F17" s="231" t="s">
        <v>748</v>
      </c>
      <c r="G17" s="145"/>
    </row>
    <row r="18" spans="1:7" x14ac:dyDescent="0.25">
      <c r="A18" s="184">
        <v>42360</v>
      </c>
      <c r="B18" s="183">
        <v>4.7</v>
      </c>
      <c r="C18" s="229" t="s">
        <v>747</v>
      </c>
      <c r="D18" s="230"/>
      <c r="E18" s="20" t="s">
        <v>746</v>
      </c>
      <c r="F18" s="232"/>
      <c r="G18" s="46"/>
    </row>
    <row r="19" spans="1:7" x14ac:dyDescent="0.25">
      <c r="A19" s="184">
        <v>42379</v>
      </c>
      <c r="B19" s="183">
        <v>4.8</v>
      </c>
      <c r="C19" s="229" t="s">
        <v>745</v>
      </c>
      <c r="D19" s="230"/>
      <c r="E19" s="20" t="s">
        <v>744</v>
      </c>
      <c r="F19" s="232"/>
      <c r="G19" s="46"/>
    </row>
    <row r="20" spans="1:7" x14ac:dyDescent="0.25">
      <c r="A20" s="184">
        <v>42401</v>
      </c>
      <c r="B20" s="183">
        <v>4.9000000000000004</v>
      </c>
      <c r="C20" s="229" t="s">
        <v>742</v>
      </c>
      <c r="D20" s="230"/>
      <c r="E20" s="20" t="s">
        <v>743</v>
      </c>
      <c r="F20" s="232"/>
      <c r="G20" s="46"/>
    </row>
    <row r="21" spans="1:7" x14ac:dyDescent="0.25">
      <c r="A21" s="182">
        <v>42412</v>
      </c>
      <c r="B21" s="181">
        <v>4.9000000000000004</v>
      </c>
      <c r="C21" s="229" t="s">
        <v>742</v>
      </c>
      <c r="D21" s="230"/>
      <c r="E21" s="185" t="s">
        <v>740</v>
      </c>
      <c r="F21" s="232"/>
      <c r="G21" s="20"/>
    </row>
    <row r="22" spans="1:7" x14ac:dyDescent="0.25">
      <c r="A22" s="184">
        <v>42425</v>
      </c>
      <c r="B22" s="183">
        <v>5</v>
      </c>
      <c r="C22" s="229" t="s">
        <v>741</v>
      </c>
      <c r="D22" s="230"/>
      <c r="E22" s="20" t="s">
        <v>740</v>
      </c>
      <c r="F22" s="233"/>
      <c r="G22" s="46"/>
    </row>
    <row r="23" spans="1:7" x14ac:dyDescent="0.25">
      <c r="A23" s="182"/>
      <c r="B23" s="181"/>
      <c r="C23" s="180"/>
      <c r="D23" s="180"/>
      <c r="E23" s="179"/>
      <c r="F23" s="178"/>
      <c r="G23" s="112"/>
    </row>
    <row r="24" spans="1:7" x14ac:dyDescent="0.25">
      <c r="A24" s="177" t="s">
        <v>739</v>
      </c>
      <c r="B24" s="177"/>
      <c r="C24" s="177"/>
      <c r="D24" s="177"/>
      <c r="E24" s="177"/>
      <c r="F24" s="177"/>
    </row>
    <row r="25" spans="1:7" x14ac:dyDescent="0.25">
      <c r="A25" s="176"/>
      <c r="B25" s="176"/>
      <c r="C25" s="176"/>
      <c r="D25" s="176"/>
      <c r="E25" s="176"/>
      <c r="F25" s="176"/>
    </row>
    <row r="26" spans="1:7" x14ac:dyDescent="0.25">
      <c r="A26" s="175" t="s">
        <v>396</v>
      </c>
      <c r="B26" s="175" t="s">
        <v>397</v>
      </c>
      <c r="C26" s="175" t="s">
        <v>378</v>
      </c>
      <c r="D26" s="175" t="s">
        <v>398</v>
      </c>
      <c r="E26" s="175" t="s">
        <v>399</v>
      </c>
      <c r="F26" s="174" t="s">
        <v>2</v>
      </c>
    </row>
    <row r="27" spans="1:7" x14ac:dyDescent="0.25">
      <c r="A27" s="173">
        <v>42825</v>
      </c>
      <c r="B27" s="173">
        <v>42825</v>
      </c>
      <c r="C27" s="158" t="s">
        <v>1296</v>
      </c>
      <c r="D27" s="172" t="s">
        <v>1312</v>
      </c>
      <c r="E27" s="67" t="s">
        <v>3</v>
      </c>
      <c r="F27" s="171"/>
      <c r="G27" s="112"/>
    </row>
    <row r="28" spans="1:7" x14ac:dyDescent="0.25">
      <c r="A28" s="20"/>
      <c r="B28" s="20"/>
      <c r="C28" s="20"/>
      <c r="D28" s="20"/>
      <c r="E28" s="20"/>
      <c r="F28" s="20"/>
    </row>
  </sheetData>
  <mergeCells count="17">
    <mergeCell ref="C16:D16"/>
    <mergeCell ref="A1:I1"/>
    <mergeCell ref="B4:C4"/>
    <mergeCell ref="B5:C5"/>
    <mergeCell ref="A3:C3"/>
    <mergeCell ref="C15:D15"/>
    <mergeCell ref="B7:C7"/>
    <mergeCell ref="B8:C8"/>
    <mergeCell ref="B9:C9"/>
    <mergeCell ref="C14:D14"/>
    <mergeCell ref="C22:D22"/>
    <mergeCell ref="F17:F22"/>
    <mergeCell ref="C21:D21"/>
    <mergeCell ref="C20:D20"/>
    <mergeCell ref="C18:D18"/>
    <mergeCell ref="C19:D19"/>
    <mergeCell ref="C17:D17"/>
  </mergeCells>
  <conditionalFormatting sqref="E27">
    <cfRule type="cellIs" dxfId="298" priority="104" operator="equal">
      <formula>"Not Tested"</formula>
    </cfRule>
    <cfRule type="cellIs" dxfId="297" priority="105" operator="equal">
      <formula>"Pending"</formula>
    </cfRule>
    <cfRule type="cellIs" dxfId="296" priority="106" operator="equal">
      <formula>"Ongoing"</formula>
    </cfRule>
    <cfRule type="cellIs" dxfId="295" priority="107" operator="equal">
      <formula>"Blocked"</formula>
    </cfRule>
    <cfRule type="cellIs" dxfId="294" priority="108" operator="equal">
      <formula>"Fail"</formula>
    </cfRule>
    <cfRule type="cellIs" dxfId="293" priority="109" operator="equal">
      <formula>"Partially Fail"</formula>
    </cfRule>
    <cfRule type="cellIs" dxfId="292" priority="110" operator="equal">
      <formula>"Pass"</formula>
    </cfRule>
  </conditionalFormatting>
  <conditionalFormatting sqref="E27">
    <cfRule type="cellIs" dxfId="291" priority="97" operator="equal">
      <formula>"Not Tested"</formula>
    </cfRule>
    <cfRule type="cellIs" dxfId="290" priority="98" operator="equal">
      <formula>"Pending"</formula>
    </cfRule>
    <cfRule type="cellIs" dxfId="289" priority="99" operator="equal">
      <formula>"Ongoing"</formula>
    </cfRule>
    <cfRule type="cellIs" dxfId="288" priority="100" operator="equal">
      <formula>"Blocked"</formula>
    </cfRule>
    <cfRule type="cellIs" dxfId="287" priority="101" operator="equal">
      <formula>"Fail"</formula>
    </cfRule>
    <cfRule type="cellIs" dxfId="286" priority="102" operator="equal">
      <formula>"Partially Pass"</formula>
    </cfRule>
    <cfRule type="cellIs" dxfId="285" priority="103" operator="equal">
      <formula>"Pass"</formula>
    </cfRule>
  </conditionalFormatting>
  <conditionalFormatting sqref="E27">
    <cfRule type="cellIs" dxfId="284" priority="90" operator="equal">
      <formula>"Not Tested"</formula>
    </cfRule>
    <cfRule type="cellIs" dxfId="283" priority="91" operator="equal">
      <formula>"Pending"</formula>
    </cfRule>
    <cfRule type="cellIs" dxfId="282" priority="92" operator="equal">
      <formula>"Ongoing"</formula>
    </cfRule>
    <cfRule type="cellIs" dxfId="281" priority="93" operator="equal">
      <formula>"Blocked"</formula>
    </cfRule>
    <cfRule type="cellIs" dxfId="280" priority="94" operator="equal">
      <formula>"Fail"</formula>
    </cfRule>
    <cfRule type="cellIs" dxfId="279" priority="95" operator="equal">
      <formula>"Partially Fail"</formula>
    </cfRule>
    <cfRule type="cellIs" dxfId="278" priority="96" operator="equal">
      <formula>"Pass"</formula>
    </cfRule>
  </conditionalFormatting>
  <conditionalFormatting sqref="E27">
    <cfRule type="cellIs" dxfId="277" priority="83" operator="equal">
      <formula>"Not Tested"</formula>
    </cfRule>
    <cfRule type="cellIs" dxfId="276" priority="84" operator="equal">
      <formula>"Pending"</formula>
    </cfRule>
    <cfRule type="cellIs" dxfId="275" priority="85" operator="equal">
      <formula>"Ongoing"</formula>
    </cfRule>
    <cfRule type="cellIs" dxfId="274" priority="86" operator="equal">
      <formula>"Blocked"</formula>
    </cfRule>
    <cfRule type="cellIs" dxfId="273" priority="87" operator="equal">
      <formula>"Fail"</formula>
    </cfRule>
    <cfRule type="cellIs" dxfId="272" priority="88" operator="equal">
      <formula>"Partially Pass"</formula>
    </cfRule>
    <cfRule type="cellIs" dxfId="271" priority="89" operator="equal">
      <formula>"Pass"</formula>
    </cfRule>
  </conditionalFormatting>
  <conditionalFormatting sqref="E27">
    <cfRule type="cellIs" dxfId="270" priority="75" operator="equal">
      <formula>"Not Tested"</formula>
    </cfRule>
    <cfRule type="cellIs" dxfId="269" priority="76" operator="equal">
      <formula>"Not Tested"</formula>
    </cfRule>
    <cfRule type="cellIs" dxfId="268" priority="77" operator="equal">
      <formula>"Pending"</formula>
    </cfRule>
    <cfRule type="cellIs" dxfId="267" priority="78" operator="equal">
      <formula>"Ongoing"</formula>
    </cfRule>
    <cfRule type="cellIs" dxfId="266" priority="79" operator="equal">
      <formula>"Blocked"</formula>
    </cfRule>
    <cfRule type="cellIs" dxfId="265" priority="80" operator="equal">
      <formula>"Fail"</formula>
    </cfRule>
    <cfRule type="cellIs" dxfId="264" priority="81" operator="equal">
      <formula>"Partially Fail"</formula>
    </cfRule>
    <cfRule type="cellIs" dxfId="263" priority="82" operator="equal">
      <formula>"Pass"</formula>
    </cfRule>
  </conditionalFormatting>
  <conditionalFormatting sqref="E27">
    <cfRule type="cellIs" dxfId="262" priority="69" operator="equal">
      <formula>"Pending"</formula>
    </cfRule>
    <cfRule type="cellIs" dxfId="261" priority="70" operator="equal">
      <formula>"Ongoing"</formula>
    </cfRule>
    <cfRule type="cellIs" dxfId="260" priority="71" operator="equal">
      <formula>"Blocked"</formula>
    </cfRule>
    <cfRule type="cellIs" dxfId="259" priority="72" operator="equal">
      <formula>"Fail"</formula>
    </cfRule>
    <cfRule type="cellIs" dxfId="258" priority="73" operator="equal">
      <formula>"Partially Pass"</formula>
    </cfRule>
    <cfRule type="cellIs" dxfId="257" priority="74" operator="equal">
      <formula>"Pass"</formula>
    </cfRule>
  </conditionalFormatting>
  <conditionalFormatting sqref="E27">
    <cfRule type="cellIs" dxfId="256" priority="60" stopIfTrue="1" operator="equal">
      <formula>"Pending"</formula>
    </cfRule>
    <cfRule type="cellIs" dxfId="255" priority="61" stopIfTrue="1" operator="equal">
      <formula>"Ongoing"</formula>
    </cfRule>
    <cfRule type="cellIs" dxfId="254" priority="62" operator="equal">
      <formula>"Not Tested"</formula>
    </cfRule>
    <cfRule type="cellIs" dxfId="253" priority="63" operator="equal">
      <formula>"Pending"</formula>
    </cfRule>
    <cfRule type="cellIs" dxfId="252" priority="64" operator="equal">
      <formula>"Ongoing"</formula>
    </cfRule>
    <cfRule type="cellIs" dxfId="251" priority="65" operator="equal">
      <formula>"Blocked"</formula>
    </cfRule>
    <cfRule type="cellIs" dxfId="250" priority="66" operator="equal">
      <formula>"Fail"</formula>
    </cfRule>
    <cfRule type="cellIs" dxfId="249" priority="67" operator="equal">
      <formula>"Partially Fail"</formula>
    </cfRule>
    <cfRule type="cellIs" dxfId="248" priority="68" operator="equal">
      <formula>"Pass"</formula>
    </cfRule>
  </conditionalFormatting>
  <conditionalFormatting sqref="E27">
    <cfRule type="cellIs" dxfId="247" priority="56" stopIfTrue="1" operator="equal">
      <formula>"Blocked"</formula>
    </cfRule>
    <cfRule type="cellIs" dxfId="246" priority="57" stopIfTrue="1" operator="equal">
      <formula>"Fail"</formula>
    </cfRule>
    <cfRule type="cellIs" dxfId="245" priority="58" stopIfTrue="1" operator="equal">
      <formula>"Partially Pass"</formula>
    </cfRule>
    <cfRule type="cellIs" dxfId="244" priority="59" stopIfTrue="1" operator="equal">
      <formula>"Pass"</formula>
    </cfRule>
  </conditionalFormatting>
  <conditionalFormatting sqref="E27">
    <cfRule type="cellIs" dxfId="243" priority="49" operator="equal">
      <formula>"Not Tested"</formula>
    </cfRule>
    <cfRule type="cellIs" dxfId="242" priority="50" operator="equal">
      <formula>"Pending"</formula>
    </cfRule>
    <cfRule type="cellIs" dxfId="241" priority="51" operator="equal">
      <formula>"Ongoing"</formula>
    </cfRule>
    <cfRule type="cellIs" dxfId="240" priority="52" operator="equal">
      <formula>"Blocked"</formula>
    </cfRule>
    <cfRule type="cellIs" dxfId="239" priority="53" operator="equal">
      <formula>"Fail"</formula>
    </cfRule>
    <cfRule type="cellIs" dxfId="238" priority="54" operator="equal">
      <formula>"Partially Fail"</formula>
    </cfRule>
    <cfRule type="cellIs" dxfId="237" priority="55" operator="equal">
      <formula>"Pass"</formula>
    </cfRule>
  </conditionalFormatting>
  <conditionalFormatting sqref="E27">
    <cfRule type="cellIs" dxfId="236" priority="42" operator="equal">
      <formula>"Not Tested"</formula>
    </cfRule>
    <cfRule type="cellIs" dxfId="235" priority="43" operator="equal">
      <formula>"Pending"</formula>
    </cfRule>
    <cfRule type="cellIs" dxfId="234" priority="44" operator="equal">
      <formula>"Ongoing"</formula>
    </cfRule>
    <cfRule type="cellIs" dxfId="233" priority="45" operator="equal">
      <formula>"Blocked"</formula>
    </cfRule>
    <cfRule type="cellIs" dxfId="232" priority="46" operator="equal">
      <formula>"Fail"</formula>
    </cfRule>
    <cfRule type="cellIs" dxfId="231" priority="47" operator="equal">
      <formula>"Partially Pass"</formula>
    </cfRule>
    <cfRule type="cellIs" dxfId="230" priority="48" operator="equal">
      <formula>"Pass"</formula>
    </cfRule>
  </conditionalFormatting>
  <conditionalFormatting sqref="E27">
    <cfRule type="cellIs" dxfId="229" priority="35" operator="equal">
      <formula>"Not Tested"</formula>
    </cfRule>
    <cfRule type="cellIs" dxfId="228" priority="36" operator="equal">
      <formula>"Pending"</formula>
    </cfRule>
    <cfRule type="cellIs" dxfId="227" priority="37" operator="equal">
      <formula>"Ongoing"</formula>
    </cfRule>
    <cfRule type="cellIs" dxfId="226" priority="38" operator="equal">
      <formula>"Blocked"</formula>
    </cfRule>
    <cfRule type="cellIs" dxfId="225" priority="39" operator="equal">
      <formula>"Fail"</formula>
    </cfRule>
    <cfRule type="cellIs" dxfId="224" priority="40" operator="equal">
      <formula>"Partially Fail"</formula>
    </cfRule>
    <cfRule type="cellIs" dxfId="223" priority="41" operator="equal">
      <formula>"Pass"</formula>
    </cfRule>
  </conditionalFormatting>
  <conditionalFormatting sqref="E27">
    <cfRule type="cellIs" dxfId="222" priority="28" operator="equal">
      <formula>"Not Tested"</formula>
    </cfRule>
    <cfRule type="cellIs" dxfId="221" priority="29" operator="equal">
      <formula>"Pending"</formula>
    </cfRule>
    <cfRule type="cellIs" dxfId="220" priority="30" operator="equal">
      <formula>"Ongoing"</formula>
    </cfRule>
    <cfRule type="cellIs" dxfId="219" priority="31" operator="equal">
      <formula>"Blocked"</formula>
    </cfRule>
    <cfRule type="cellIs" dxfId="218" priority="32" operator="equal">
      <formula>"Fail"</formula>
    </cfRule>
    <cfRule type="cellIs" dxfId="217" priority="33" operator="equal">
      <formula>"Partially Pass"</formula>
    </cfRule>
    <cfRule type="cellIs" dxfId="216" priority="34" operator="equal">
      <formula>"Pass"</formula>
    </cfRule>
  </conditionalFormatting>
  <conditionalFormatting sqref="E27">
    <cfRule type="cellIs" dxfId="215" priority="20" operator="equal">
      <formula>"Not Tested"</formula>
    </cfRule>
    <cfRule type="cellIs" dxfId="214" priority="21" operator="equal">
      <formula>"Not Tested"</formula>
    </cfRule>
    <cfRule type="cellIs" dxfId="213" priority="22" operator="equal">
      <formula>"Pending"</formula>
    </cfRule>
    <cfRule type="cellIs" dxfId="212" priority="23" operator="equal">
      <formula>"Ongoing"</formula>
    </cfRule>
    <cfRule type="cellIs" dxfId="211" priority="24" operator="equal">
      <formula>"Blocked"</formula>
    </cfRule>
    <cfRule type="cellIs" dxfId="210" priority="25" operator="equal">
      <formula>"Fail"</formula>
    </cfRule>
    <cfRule type="cellIs" dxfId="209" priority="26" operator="equal">
      <formula>"Partially Fail"</formula>
    </cfRule>
    <cfRule type="cellIs" dxfId="208" priority="27" operator="equal">
      <formula>"Pass"</formula>
    </cfRule>
  </conditionalFormatting>
  <conditionalFormatting sqref="E27">
    <cfRule type="cellIs" dxfId="207" priority="14" operator="equal">
      <formula>"Pending"</formula>
    </cfRule>
    <cfRule type="cellIs" dxfId="206" priority="15" operator="equal">
      <formula>"Ongoing"</formula>
    </cfRule>
    <cfRule type="cellIs" dxfId="205" priority="16" operator="equal">
      <formula>"Blocked"</formula>
    </cfRule>
    <cfRule type="cellIs" dxfId="204" priority="17" operator="equal">
      <formula>"Fail"</formula>
    </cfRule>
    <cfRule type="cellIs" dxfId="203" priority="18" operator="equal">
      <formula>"Partially Pass"</formula>
    </cfRule>
    <cfRule type="cellIs" dxfId="202" priority="19" operator="equal">
      <formula>"Pass"</formula>
    </cfRule>
  </conditionalFormatting>
  <conditionalFormatting sqref="E27">
    <cfRule type="cellIs" dxfId="201" priority="5" stopIfTrue="1" operator="equal">
      <formula>"Pending"</formula>
    </cfRule>
    <cfRule type="cellIs" dxfId="200" priority="6" stopIfTrue="1" operator="equal">
      <formula>"Ongoing"</formula>
    </cfRule>
    <cfRule type="cellIs" dxfId="199" priority="7" operator="equal">
      <formula>"Not Tested"</formula>
    </cfRule>
    <cfRule type="cellIs" dxfId="198" priority="8" operator="equal">
      <formula>"Pending"</formula>
    </cfRule>
    <cfRule type="cellIs" dxfId="197" priority="9" operator="equal">
      <formula>"Ongoing"</formula>
    </cfRule>
    <cfRule type="cellIs" dxfId="196" priority="10" operator="equal">
      <formula>"Blocked"</formula>
    </cfRule>
    <cfRule type="cellIs" dxfId="195" priority="11" operator="equal">
      <formula>"Fail"</formula>
    </cfRule>
    <cfRule type="cellIs" dxfId="194" priority="12" operator="equal">
      <formula>"Partially Fail"</formula>
    </cfRule>
    <cfRule type="cellIs" dxfId="193" priority="13" operator="equal">
      <formula>"Pass"</formula>
    </cfRule>
  </conditionalFormatting>
  <conditionalFormatting sqref="E27">
    <cfRule type="cellIs" dxfId="192" priority="1" stopIfTrue="1" operator="equal">
      <formula>"Blocked"</formula>
    </cfRule>
    <cfRule type="cellIs" dxfId="191" priority="2" stopIfTrue="1" operator="equal">
      <formula>"Fail"</formula>
    </cfRule>
    <cfRule type="cellIs" dxfId="190" priority="3" stopIfTrue="1" operator="equal">
      <formula>"Partially Pass"</formula>
    </cfRule>
    <cfRule type="cellIs" dxfId="189" priority="4" stopIfTrue="1" operator="equal">
      <formula>"Pass"</formula>
    </cfRule>
  </conditionalFormatting>
  <dataValidations count="1">
    <dataValidation type="list" allowBlank="1" showInputMessage="1" showErrorMessage="1" sqref="E27">
      <formula1>testresult</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showGridLines="0" zoomScale="85" zoomScaleNormal="85" workbookViewId="0"/>
  </sheetViews>
  <sheetFormatPr defaultRowHeight="12.75" x14ac:dyDescent="0.2"/>
  <cols>
    <col min="1" max="1" width="15.5703125" style="117" bestFit="1" customWidth="1"/>
    <col min="2" max="2" width="15.28515625" style="117" bestFit="1" customWidth="1"/>
    <col min="3" max="3" width="20.28515625" style="117" customWidth="1"/>
    <col min="4" max="4" width="45.85546875" style="117" customWidth="1"/>
    <col min="5" max="5" width="42.85546875" style="117" bestFit="1" customWidth="1"/>
    <col min="6" max="6" width="13" style="117" bestFit="1" customWidth="1"/>
    <col min="7" max="7" width="17.42578125" style="117" bestFit="1" customWidth="1"/>
    <col min="8" max="8" width="17.140625" style="117" customWidth="1"/>
    <col min="9" max="9" width="19" style="117" customWidth="1"/>
    <col min="10" max="10" width="16.28515625" style="117" customWidth="1"/>
    <col min="11" max="11" width="9.140625" style="117"/>
    <col min="12" max="12" width="62.140625" style="117" bestFit="1" customWidth="1"/>
    <col min="13" max="16384" width="9.140625" style="117"/>
  </cols>
  <sheetData>
    <row r="1" spans="1:11" ht="25.5" x14ac:dyDescent="0.2">
      <c r="A1" s="220"/>
      <c r="B1" s="221" t="s">
        <v>401</v>
      </c>
      <c r="C1" s="221" t="s">
        <v>402</v>
      </c>
      <c r="D1" s="222" t="s">
        <v>403</v>
      </c>
      <c r="F1" s="247" t="s">
        <v>400</v>
      </c>
      <c r="G1" s="247"/>
      <c r="H1" s="247"/>
      <c r="I1" s="247"/>
      <c r="J1" s="247"/>
    </row>
    <row r="2" spans="1:11" x14ac:dyDescent="0.2">
      <c r="A2" s="154" t="s">
        <v>408</v>
      </c>
      <c r="B2" s="223">
        <v>610060</v>
      </c>
      <c r="C2" s="223">
        <v>610060</v>
      </c>
      <c r="D2" s="159" t="str">
        <f>IF(EXACT(B2,C2),"PASS","FAIL")</f>
        <v>PASS</v>
      </c>
      <c r="F2" s="222" t="s">
        <v>404</v>
      </c>
      <c r="G2" s="222" t="s">
        <v>405</v>
      </c>
      <c r="H2" s="222" t="s">
        <v>406</v>
      </c>
      <c r="I2" s="222" t="s">
        <v>407</v>
      </c>
      <c r="J2" s="222" t="s">
        <v>403</v>
      </c>
    </row>
    <row r="3" spans="1:11" x14ac:dyDescent="0.2">
      <c r="A3" s="154" t="s">
        <v>409</v>
      </c>
      <c r="B3" s="223">
        <v>196605</v>
      </c>
      <c r="C3" s="223">
        <v>196605</v>
      </c>
      <c r="D3" s="159" t="str">
        <f t="shared" ref="D3:D6" si="0">IF(EXACT(B3,C3),"PASS","FAIL")</f>
        <v>PASS</v>
      </c>
      <c r="F3" s="154" t="s">
        <v>347</v>
      </c>
      <c r="G3" s="154" t="s">
        <v>1297</v>
      </c>
      <c r="H3" s="155">
        <v>9</v>
      </c>
      <c r="I3" s="155">
        <v>9</v>
      </c>
      <c r="J3" s="159" t="str">
        <f t="shared" ref="J3:J9" si="1">IF(EXACT(H3,I3),"PASS","FAIL")</f>
        <v>PASS</v>
      </c>
    </row>
    <row r="4" spans="1:11" x14ac:dyDescent="0.2">
      <c r="A4" s="224" t="s">
        <v>322</v>
      </c>
      <c r="B4" s="223">
        <v>207601</v>
      </c>
      <c r="C4" s="223">
        <v>207601</v>
      </c>
      <c r="D4" s="159" t="str">
        <f t="shared" si="0"/>
        <v>PASS</v>
      </c>
      <c r="F4" s="154" t="s">
        <v>349</v>
      </c>
      <c r="G4" s="154" t="s">
        <v>1298</v>
      </c>
      <c r="H4" s="155">
        <v>9</v>
      </c>
      <c r="I4" s="155">
        <v>9</v>
      </c>
      <c r="J4" s="159" t="str">
        <f t="shared" si="1"/>
        <v>PASS</v>
      </c>
    </row>
    <row r="5" spans="1:11" x14ac:dyDescent="0.2">
      <c r="A5" s="224" t="s">
        <v>731</v>
      </c>
      <c r="B5" s="223">
        <v>45720</v>
      </c>
      <c r="C5" s="223">
        <v>45720</v>
      </c>
      <c r="D5" s="159" t="str">
        <f t="shared" si="0"/>
        <v>PASS</v>
      </c>
      <c r="F5" s="154" t="s">
        <v>350</v>
      </c>
      <c r="G5" s="154" t="s">
        <v>1289</v>
      </c>
      <c r="H5" s="155">
        <v>66</v>
      </c>
      <c r="I5" s="155">
        <v>66</v>
      </c>
      <c r="J5" s="159" t="str">
        <f t="shared" si="1"/>
        <v>PASS</v>
      </c>
    </row>
    <row r="6" spans="1:11" x14ac:dyDescent="0.2">
      <c r="A6" s="224" t="s">
        <v>1288</v>
      </c>
      <c r="B6" s="225">
        <v>7109</v>
      </c>
      <c r="C6" s="225">
        <v>7109</v>
      </c>
      <c r="D6" s="159" t="str">
        <f t="shared" si="0"/>
        <v>PASS</v>
      </c>
      <c r="F6" s="154" t="s">
        <v>1299</v>
      </c>
      <c r="G6" s="154" t="s">
        <v>37</v>
      </c>
      <c r="H6" s="155">
        <v>14</v>
      </c>
      <c r="I6" s="155">
        <v>14</v>
      </c>
      <c r="J6" s="159" t="str">
        <f t="shared" si="1"/>
        <v>PASS</v>
      </c>
    </row>
    <row r="7" spans="1:11" x14ac:dyDescent="0.2">
      <c r="F7" s="154" t="s">
        <v>1300</v>
      </c>
      <c r="G7" s="154" t="s">
        <v>1301</v>
      </c>
      <c r="H7" s="155">
        <v>56</v>
      </c>
      <c r="I7" s="155">
        <v>56</v>
      </c>
      <c r="J7" s="159" t="str">
        <f t="shared" si="1"/>
        <v>PASS</v>
      </c>
    </row>
    <row r="8" spans="1:11" x14ac:dyDescent="0.2">
      <c r="F8" s="154" t="s">
        <v>1302</v>
      </c>
      <c r="G8" s="154" t="s">
        <v>1303</v>
      </c>
      <c r="H8" s="155">
        <v>74</v>
      </c>
      <c r="I8" s="155">
        <v>75</v>
      </c>
      <c r="J8" s="159" t="str">
        <f t="shared" si="1"/>
        <v>FAIL</v>
      </c>
      <c r="K8" s="319" t="s">
        <v>1313</v>
      </c>
    </row>
    <row r="9" spans="1:11" x14ac:dyDescent="0.2">
      <c r="F9" s="154" t="s">
        <v>1304</v>
      </c>
      <c r="G9" s="154" t="s">
        <v>1305</v>
      </c>
      <c r="H9" s="155">
        <v>3</v>
      </c>
      <c r="I9" s="155">
        <v>3</v>
      </c>
      <c r="J9" s="159" t="str">
        <f t="shared" si="1"/>
        <v>PASS</v>
      </c>
    </row>
    <row r="14" spans="1:11" ht="25.5" customHeight="1" x14ac:dyDescent="0.2">
      <c r="A14" s="252" t="s">
        <v>339</v>
      </c>
      <c r="B14" s="253"/>
      <c r="C14" s="253"/>
      <c r="D14" s="253"/>
      <c r="E14" s="253"/>
      <c r="F14" s="253"/>
      <c r="G14" s="253"/>
      <c r="H14" s="254"/>
    </row>
    <row r="15" spans="1:11" x14ac:dyDescent="0.2">
      <c r="A15" s="248" t="s">
        <v>340</v>
      </c>
      <c r="B15" s="249"/>
      <c r="C15" s="104" t="s">
        <v>36</v>
      </c>
      <c r="D15" s="105" t="s">
        <v>410</v>
      </c>
      <c r="E15" s="104" t="s">
        <v>341</v>
      </c>
      <c r="F15" s="104" t="s">
        <v>342</v>
      </c>
      <c r="G15" s="63" t="s">
        <v>343</v>
      </c>
      <c r="H15" s="63" t="s">
        <v>2</v>
      </c>
    </row>
    <row r="16" spans="1:11" ht="30" x14ac:dyDescent="0.25">
      <c r="A16" s="250" t="s">
        <v>344</v>
      </c>
      <c r="B16" s="251"/>
      <c r="C16" s="120" t="s">
        <v>345</v>
      </c>
      <c r="D16" s="217" t="s">
        <v>1315</v>
      </c>
      <c r="E16" s="121" t="s">
        <v>411</v>
      </c>
      <c r="F16" s="122" t="s">
        <v>3</v>
      </c>
      <c r="G16" s="66"/>
      <c r="H16" s="66"/>
    </row>
    <row r="17" spans="1:8" ht="38.25" x14ac:dyDescent="0.2">
      <c r="A17" s="250" t="s">
        <v>346</v>
      </c>
      <c r="B17" s="251"/>
      <c r="C17" s="123" t="s">
        <v>412</v>
      </c>
      <c r="D17" s="157" t="s">
        <v>1314</v>
      </c>
      <c r="E17" s="156"/>
      <c r="F17" s="122" t="s">
        <v>3</v>
      </c>
      <c r="G17" s="66"/>
      <c r="H17" s="66"/>
    </row>
    <row r="18" spans="1:8" x14ac:dyDescent="0.2">
      <c r="A18" s="245" t="s">
        <v>348</v>
      </c>
      <c r="B18" s="246"/>
      <c r="C18" s="124" t="s">
        <v>390</v>
      </c>
      <c r="D18" s="125"/>
      <c r="E18" s="125"/>
      <c r="F18" s="122" t="s">
        <v>3</v>
      </c>
      <c r="G18" s="125"/>
      <c r="H18" s="125"/>
    </row>
    <row r="21" spans="1:8" ht="15" customHeight="1" x14ac:dyDescent="0.2"/>
  </sheetData>
  <mergeCells count="6">
    <mergeCell ref="A18:B18"/>
    <mergeCell ref="F1:J1"/>
    <mergeCell ref="A15:B15"/>
    <mergeCell ref="A16:B16"/>
    <mergeCell ref="A17:B17"/>
    <mergeCell ref="A14:H14"/>
  </mergeCells>
  <conditionalFormatting sqref="F15:F16 F18">
    <cfRule type="cellIs" dxfId="188" priority="330" operator="equal">
      <formula>"Not Tested"</formula>
    </cfRule>
    <cfRule type="cellIs" dxfId="187" priority="331" operator="equal">
      <formula>"Pending"</formula>
    </cfRule>
    <cfRule type="cellIs" dxfId="186" priority="332" operator="equal">
      <formula>"Ongoing"</formula>
    </cfRule>
    <cfRule type="cellIs" dxfId="185" priority="333" operator="equal">
      <formula>"Blocked"</formula>
    </cfRule>
    <cfRule type="cellIs" dxfId="184" priority="334" operator="equal">
      <formula>"Fail"</formula>
    </cfRule>
    <cfRule type="cellIs" dxfId="183" priority="335" operator="equal">
      <formula>"Partially Pass"</formula>
    </cfRule>
    <cfRule type="cellIs" dxfId="182" priority="336" operator="equal">
      <formula>"Pass"</formula>
    </cfRule>
  </conditionalFormatting>
  <conditionalFormatting sqref="F15:F16 F18">
    <cfRule type="cellIs" dxfId="181" priority="323" operator="equal">
      <formula>"Not Tested"</formula>
    </cfRule>
    <cfRule type="cellIs" dxfId="180" priority="324" operator="equal">
      <formula>"Pending"</formula>
    </cfRule>
    <cfRule type="cellIs" dxfId="179" priority="325" operator="equal">
      <formula>"Ongoing"</formula>
    </cfRule>
    <cfRule type="cellIs" dxfId="178" priority="326" operator="equal">
      <formula>"Blocked"</formula>
    </cfRule>
    <cfRule type="cellIs" dxfId="177" priority="327" operator="equal">
      <formula>"Fail"</formula>
    </cfRule>
    <cfRule type="cellIs" dxfId="176" priority="328" operator="equal">
      <formula>"Partially Fail"</formula>
    </cfRule>
    <cfRule type="cellIs" dxfId="175" priority="329" operator="equal">
      <formula>"Pass"</formula>
    </cfRule>
  </conditionalFormatting>
  <conditionalFormatting sqref="F15:F16 F17:G17 F18:H18 A18 C18:D18">
    <cfRule type="cellIs" dxfId="174" priority="316" operator="equal">
      <formula>"Not Tested"</formula>
    </cfRule>
    <cfRule type="cellIs" dxfId="173" priority="317" operator="equal">
      <formula>"Pending"</formula>
    </cfRule>
    <cfRule type="cellIs" dxfId="172" priority="318" operator="equal">
      <formula>"Ongoing"</formula>
    </cfRule>
    <cfRule type="cellIs" dxfId="171" priority="319" operator="equal">
      <formula>"Blocked"</formula>
    </cfRule>
    <cfRule type="cellIs" dxfId="170" priority="320" operator="equal">
      <formula>"Fail"</formula>
    </cfRule>
    <cfRule type="cellIs" dxfId="169" priority="321" operator="equal">
      <formula>"Partially Fail"</formula>
    </cfRule>
    <cfRule type="cellIs" dxfId="168" priority="322" operator="equal">
      <formula>"Pass"</formula>
    </cfRule>
  </conditionalFormatting>
  <conditionalFormatting sqref="F15:F16 F17:G17 F18:H18 A18 C18:D18">
    <cfRule type="cellIs" dxfId="167" priority="309" operator="equal">
      <formula>"Not Tested"</formula>
    </cfRule>
    <cfRule type="cellIs" dxfId="166" priority="310" operator="equal">
      <formula>"Pending"</formula>
    </cfRule>
    <cfRule type="cellIs" dxfId="165" priority="311" operator="equal">
      <formula>"Ongoing"</formula>
    </cfRule>
    <cfRule type="cellIs" dxfId="164" priority="312" operator="equal">
      <formula>"Blocked"</formula>
    </cfRule>
    <cfRule type="cellIs" dxfId="163" priority="313" operator="equal">
      <formula>"Fail"</formula>
    </cfRule>
    <cfRule type="cellIs" dxfId="162" priority="314" operator="equal">
      <formula>"Partially Pass"</formula>
    </cfRule>
    <cfRule type="cellIs" dxfId="161" priority="315" operator="equal">
      <formula>"Pass"</formula>
    </cfRule>
  </conditionalFormatting>
  <conditionalFormatting sqref="F15:F18">
    <cfRule type="cellIs" dxfId="160" priority="301" operator="equal">
      <formula>"Not Tested"</formula>
    </cfRule>
    <cfRule type="cellIs" dxfId="159" priority="302" operator="equal">
      <formula>"Not Tested"</formula>
    </cfRule>
    <cfRule type="cellIs" dxfId="158" priority="303" operator="equal">
      <formula>"Pending"</formula>
    </cfRule>
    <cfRule type="cellIs" dxfId="157" priority="304" operator="equal">
      <formula>"Ongoing"</formula>
    </cfRule>
    <cfRule type="cellIs" dxfId="156" priority="305" operator="equal">
      <formula>"Blocked"</formula>
    </cfRule>
    <cfRule type="cellIs" dxfId="155" priority="306" operator="equal">
      <formula>"Fail"</formula>
    </cfRule>
    <cfRule type="cellIs" dxfId="154" priority="307" operator="equal">
      <formula>"Partially Fail"</formula>
    </cfRule>
    <cfRule type="cellIs" dxfId="153" priority="308" operator="equal">
      <formula>"Pass"</formula>
    </cfRule>
  </conditionalFormatting>
  <conditionalFormatting sqref="F15:F18">
    <cfRule type="cellIs" dxfId="152" priority="295" operator="equal">
      <formula>"Pending"</formula>
    </cfRule>
    <cfRule type="cellIs" dxfId="151" priority="296" operator="equal">
      <formula>"Ongoing"</formula>
    </cfRule>
    <cfRule type="cellIs" dxfId="150" priority="297" operator="equal">
      <formula>"Blocked"</formula>
    </cfRule>
    <cfRule type="cellIs" dxfId="149" priority="298" operator="equal">
      <formula>"Fail"</formula>
    </cfRule>
    <cfRule type="cellIs" dxfId="148" priority="299" operator="equal">
      <formula>"Partially Pass"</formula>
    </cfRule>
    <cfRule type="cellIs" dxfId="147" priority="300" operator="equal">
      <formula>"Pass"</formula>
    </cfRule>
  </conditionalFormatting>
  <conditionalFormatting sqref="J3:J5 D2:D6">
    <cfRule type="containsText" dxfId="146" priority="5" operator="containsText" text="FAIL">
      <formula>NOT(ISERROR(SEARCH("FAIL",D2)))</formula>
    </cfRule>
    <cfRule type="containsText" dxfId="145" priority="6" operator="containsText" text="PASS">
      <formula>NOT(ISERROR(SEARCH("PASS",D2)))</formula>
    </cfRule>
  </conditionalFormatting>
  <conditionalFormatting sqref="J3:J9">
    <cfRule type="containsText" dxfId="144" priority="1" operator="containsText" text="FAIL">
      <formula>NOT(ISERROR(SEARCH("FAIL",J3)))</formula>
    </cfRule>
    <cfRule type="containsText" dxfId="143" priority="2" operator="containsText" text="PASS">
      <formula>NOT(ISERROR(SEARCH("PASS",J3)))</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U457"/>
  <sheetViews>
    <sheetView showGridLines="0" zoomScale="70" zoomScaleNormal="70" workbookViewId="0">
      <pane ySplit="1" topLeftCell="A2" activePane="bottomLeft" state="frozen"/>
      <selection pane="bottomLeft" activeCell="A2" sqref="A2"/>
    </sheetView>
  </sheetViews>
  <sheetFormatPr defaultRowHeight="12.75" x14ac:dyDescent="0.2"/>
  <cols>
    <col min="1" max="1" width="22" style="96" customWidth="1"/>
    <col min="2" max="2" width="18.140625" style="100" bestFit="1" customWidth="1"/>
    <col min="3" max="3" width="18.42578125" style="198" customWidth="1"/>
    <col min="4" max="4" width="26.140625" style="197" customWidth="1"/>
    <col min="5" max="5" width="30.140625" style="101" customWidth="1"/>
    <col min="6" max="6" width="31.28515625" style="96" hidden="1" customWidth="1"/>
    <col min="7" max="7" width="72.140625" style="96" customWidth="1"/>
    <col min="8" max="8" width="24.5703125" style="100" customWidth="1"/>
    <col min="9" max="9" width="28.28515625" style="96" customWidth="1"/>
    <col min="10" max="16384" width="9.140625" style="96"/>
  </cols>
  <sheetData>
    <row r="1" spans="1:151" x14ac:dyDescent="0.25">
      <c r="A1" s="291" t="s">
        <v>1287</v>
      </c>
      <c r="B1" s="292"/>
      <c r="C1" s="292"/>
      <c r="D1" s="292"/>
      <c r="E1" s="292"/>
      <c r="F1" s="292"/>
      <c r="G1" s="292"/>
      <c r="H1" s="292"/>
      <c r="I1" s="292"/>
      <c r="J1" s="292"/>
      <c r="K1" s="292"/>
    </row>
    <row r="2" spans="1:151" x14ac:dyDescent="0.25">
      <c r="A2" s="100"/>
      <c r="C2" s="100"/>
      <c r="D2" s="100"/>
      <c r="E2" s="100"/>
      <c r="F2" s="100"/>
      <c r="G2" s="100"/>
      <c r="I2" s="100"/>
      <c r="J2" s="100"/>
    </row>
    <row r="3" spans="1:151" x14ac:dyDescent="0.25">
      <c r="A3" s="102" t="s">
        <v>56</v>
      </c>
      <c r="B3" s="103"/>
      <c r="C3" s="103"/>
      <c r="D3" s="103"/>
      <c r="E3" s="103"/>
      <c r="F3" s="103"/>
      <c r="G3" s="216"/>
      <c r="H3" s="218"/>
      <c r="I3" s="219"/>
      <c r="J3" s="219"/>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c r="DB3" s="110"/>
      <c r="DC3" s="110"/>
      <c r="DD3" s="110"/>
      <c r="DE3" s="110"/>
      <c r="DF3" s="110"/>
      <c r="DG3" s="110"/>
      <c r="DH3" s="110"/>
      <c r="DI3" s="110"/>
      <c r="DJ3" s="110"/>
      <c r="DK3" s="110"/>
      <c r="DL3" s="110"/>
      <c r="DM3" s="110"/>
      <c r="DN3" s="110"/>
      <c r="DO3" s="110"/>
      <c r="DP3" s="110"/>
      <c r="DQ3" s="110"/>
      <c r="DR3" s="110"/>
      <c r="DS3" s="110"/>
      <c r="DT3" s="110"/>
      <c r="DU3" s="110"/>
      <c r="DV3" s="110"/>
      <c r="DW3" s="110"/>
      <c r="DX3" s="110"/>
      <c r="DY3" s="110"/>
      <c r="DZ3" s="110"/>
      <c r="EA3" s="110"/>
      <c r="EB3" s="110"/>
      <c r="EC3" s="110"/>
      <c r="ED3" s="110"/>
      <c r="EE3" s="110"/>
      <c r="EF3" s="110"/>
      <c r="EG3" s="110"/>
      <c r="EH3" s="110"/>
      <c r="EI3" s="110"/>
      <c r="EJ3" s="110"/>
      <c r="EK3" s="110"/>
      <c r="EL3" s="110"/>
      <c r="EM3" s="110"/>
      <c r="EN3" s="110"/>
      <c r="EO3" s="110"/>
      <c r="EP3" s="110"/>
      <c r="EQ3" s="110"/>
      <c r="ER3" s="110"/>
      <c r="ES3" s="110"/>
      <c r="ET3" s="110"/>
    </row>
    <row r="4" spans="1:151" x14ac:dyDescent="0.2">
      <c r="A4" s="104" t="s">
        <v>75</v>
      </c>
      <c r="B4" s="104" t="s">
        <v>76</v>
      </c>
      <c r="C4" s="104" t="s">
        <v>36</v>
      </c>
      <c r="D4" s="105" t="s">
        <v>37</v>
      </c>
      <c r="E4" s="104" t="s">
        <v>1291</v>
      </c>
      <c r="F4" s="104" t="s">
        <v>38</v>
      </c>
      <c r="G4" s="104" t="s">
        <v>39</v>
      </c>
      <c r="H4" s="160" t="s">
        <v>319</v>
      </c>
      <c r="I4" s="104" t="s">
        <v>40</v>
      </c>
      <c r="J4" s="106" t="s">
        <v>2</v>
      </c>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0"/>
      <c r="EL4" s="110"/>
      <c r="EM4" s="110"/>
      <c r="EN4" s="110"/>
      <c r="EO4" s="110"/>
      <c r="EP4" s="110"/>
      <c r="EQ4" s="110"/>
      <c r="ER4" s="110"/>
      <c r="ES4" s="110"/>
      <c r="ET4" s="110"/>
      <c r="EU4" s="110"/>
    </row>
    <row r="5" spans="1:151" x14ac:dyDescent="0.2">
      <c r="A5" s="107" t="s">
        <v>57</v>
      </c>
      <c r="B5" s="296" t="s">
        <v>1310</v>
      </c>
      <c r="C5" s="108" t="s">
        <v>41</v>
      </c>
      <c r="D5" s="298" t="s">
        <v>42</v>
      </c>
      <c r="E5" s="109">
        <v>278.81</v>
      </c>
      <c r="F5" s="109">
        <v>278.81</v>
      </c>
      <c r="G5" s="109">
        <v>340.77</v>
      </c>
      <c r="H5" s="214">
        <v>427.22</v>
      </c>
      <c r="I5" s="107" t="str">
        <f t="shared" ref="I5:I17" si="0">IF(AND(H5&gt;=F5,H5&lt;=G5),"Y","N")</f>
        <v>N</v>
      </c>
      <c r="J5" s="93"/>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row>
    <row r="6" spans="1:151" x14ac:dyDescent="0.2">
      <c r="A6" s="107" t="s">
        <v>58</v>
      </c>
      <c r="B6" s="297"/>
      <c r="C6" s="108" t="s">
        <v>43</v>
      </c>
      <c r="D6" s="298"/>
      <c r="E6" s="109">
        <v>226.56</v>
      </c>
      <c r="F6" s="109">
        <v>226.56</v>
      </c>
      <c r="G6" s="109">
        <v>276.89999999999998</v>
      </c>
      <c r="H6" s="214">
        <v>342.2</v>
      </c>
      <c r="I6" s="107" t="str">
        <f t="shared" si="0"/>
        <v>N</v>
      </c>
      <c r="J6" s="93"/>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c r="DF6" s="110"/>
      <c r="DG6" s="110"/>
      <c r="DH6" s="110"/>
      <c r="DI6" s="110"/>
      <c r="DJ6" s="110"/>
      <c r="DK6" s="110"/>
      <c r="DL6" s="110"/>
      <c r="DM6" s="110"/>
      <c r="DN6" s="110"/>
      <c r="DO6" s="110"/>
      <c r="DP6" s="110"/>
      <c r="DQ6" s="110"/>
      <c r="DR6" s="110"/>
      <c r="DS6" s="110"/>
      <c r="DT6" s="110"/>
      <c r="DU6" s="110"/>
      <c r="DV6" s="110"/>
      <c r="DW6" s="110"/>
      <c r="DX6" s="110"/>
      <c r="DY6" s="110"/>
      <c r="DZ6" s="110"/>
      <c r="EA6" s="110"/>
      <c r="EB6" s="110"/>
      <c r="EC6" s="110"/>
      <c r="ED6" s="110"/>
      <c r="EE6" s="110"/>
      <c r="EF6" s="110"/>
      <c r="EG6" s="110"/>
      <c r="EH6" s="110"/>
      <c r="EI6" s="110"/>
      <c r="EJ6" s="110"/>
      <c r="EK6" s="110"/>
      <c r="EL6" s="110"/>
      <c r="EM6" s="110"/>
      <c r="EN6" s="110"/>
      <c r="EO6" s="110"/>
      <c r="EP6" s="110"/>
      <c r="EQ6" s="110"/>
      <c r="ER6" s="110"/>
      <c r="ES6" s="110"/>
      <c r="ET6" s="110"/>
      <c r="EU6" s="110"/>
    </row>
    <row r="7" spans="1:151" x14ac:dyDescent="0.2">
      <c r="A7" s="107" t="s">
        <v>59</v>
      </c>
      <c r="B7" s="297"/>
      <c r="C7" s="108" t="s">
        <v>44</v>
      </c>
      <c r="D7" s="298"/>
      <c r="E7" s="109">
        <v>52.25</v>
      </c>
      <c r="F7" s="109">
        <v>52.25</v>
      </c>
      <c r="G7" s="109">
        <v>63.87</v>
      </c>
      <c r="H7" s="214">
        <v>85.02</v>
      </c>
      <c r="I7" s="107" t="str">
        <f t="shared" si="0"/>
        <v>N</v>
      </c>
      <c r="J7" s="93"/>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c r="DU7" s="110"/>
      <c r="DV7" s="110"/>
      <c r="DW7" s="110"/>
      <c r="DX7" s="110"/>
      <c r="DY7" s="110"/>
      <c r="DZ7" s="110"/>
      <c r="EA7" s="110"/>
      <c r="EB7" s="110"/>
      <c r="EC7" s="110"/>
      <c r="ED7" s="110"/>
      <c r="EE7" s="110"/>
      <c r="EF7" s="110"/>
      <c r="EG7" s="110"/>
      <c r="EH7" s="110"/>
      <c r="EI7" s="110"/>
      <c r="EJ7" s="110"/>
      <c r="EK7" s="110"/>
      <c r="EL7" s="110"/>
      <c r="EM7" s="110"/>
      <c r="EN7" s="110"/>
      <c r="EO7" s="110"/>
      <c r="EP7" s="110"/>
      <c r="EQ7" s="110"/>
      <c r="ER7" s="110"/>
      <c r="ES7" s="110"/>
      <c r="ET7" s="110"/>
      <c r="EU7" s="110"/>
    </row>
    <row r="8" spans="1:151" x14ac:dyDescent="0.2">
      <c r="A8" s="107" t="s">
        <v>60</v>
      </c>
      <c r="B8" s="297"/>
      <c r="C8" s="108" t="s">
        <v>45</v>
      </c>
      <c r="D8" s="298"/>
      <c r="E8" s="109">
        <v>67.28</v>
      </c>
      <c r="F8" s="109">
        <v>67.28</v>
      </c>
      <c r="G8" s="109">
        <v>82.24</v>
      </c>
      <c r="H8" s="214">
        <v>101.86</v>
      </c>
      <c r="I8" s="107" t="str">
        <f t="shared" si="0"/>
        <v>N</v>
      </c>
      <c r="J8" s="93"/>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row>
    <row r="9" spans="1:151" x14ac:dyDescent="0.2">
      <c r="A9" s="107" t="s">
        <v>61</v>
      </c>
      <c r="B9" s="297"/>
      <c r="C9" s="108" t="s">
        <v>46</v>
      </c>
      <c r="D9" s="298"/>
      <c r="E9" s="109">
        <v>133.68</v>
      </c>
      <c r="F9" s="109">
        <v>133.68</v>
      </c>
      <c r="G9" s="109">
        <v>163.38</v>
      </c>
      <c r="H9" s="214">
        <v>177.58</v>
      </c>
      <c r="I9" s="107" t="str">
        <f t="shared" si="0"/>
        <v>N</v>
      </c>
      <c r="J9" s="93"/>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c r="EB9" s="110"/>
      <c r="EC9" s="110"/>
      <c r="ED9" s="110"/>
      <c r="EE9" s="110"/>
      <c r="EF9" s="110"/>
      <c r="EG9" s="110"/>
      <c r="EH9" s="110"/>
      <c r="EI9" s="110"/>
      <c r="EJ9" s="110"/>
      <c r="EK9" s="110"/>
      <c r="EL9" s="110"/>
      <c r="EM9" s="110"/>
      <c r="EN9" s="110"/>
      <c r="EO9" s="110"/>
      <c r="EP9" s="110"/>
      <c r="EQ9" s="110"/>
      <c r="ER9" s="110"/>
      <c r="ES9" s="110"/>
      <c r="ET9" s="110"/>
      <c r="EU9" s="110"/>
    </row>
    <row r="10" spans="1:151" x14ac:dyDescent="0.2">
      <c r="A10" s="107" t="s">
        <v>62</v>
      </c>
      <c r="B10" s="297"/>
      <c r="C10" s="108" t="s">
        <v>47</v>
      </c>
      <c r="D10" s="298"/>
      <c r="E10" s="109">
        <v>25.6</v>
      </c>
      <c r="F10" s="109">
        <v>25.6</v>
      </c>
      <c r="G10" s="109">
        <v>31.28</v>
      </c>
      <c r="H10" s="214">
        <v>62.76</v>
      </c>
      <c r="I10" s="107" t="str">
        <f t="shared" si="0"/>
        <v>N</v>
      </c>
      <c r="J10" s="93"/>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row>
    <row r="11" spans="1:151" x14ac:dyDescent="0.2">
      <c r="A11" s="107" t="s">
        <v>63</v>
      </c>
      <c r="B11" s="296" t="s">
        <v>1311</v>
      </c>
      <c r="C11" s="108" t="s">
        <v>48</v>
      </c>
      <c r="D11" s="298" t="s">
        <v>49</v>
      </c>
      <c r="E11" s="109">
        <v>191.79</v>
      </c>
      <c r="F11" s="109">
        <v>191.79</v>
      </c>
      <c r="G11" s="109">
        <v>234.41</v>
      </c>
      <c r="H11" s="214">
        <v>189.14</v>
      </c>
      <c r="I11" s="107" t="str">
        <f t="shared" si="0"/>
        <v>N</v>
      </c>
      <c r="J11" s="93"/>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row>
    <row r="12" spans="1:151" x14ac:dyDescent="0.2">
      <c r="A12" s="107" t="s">
        <v>64</v>
      </c>
      <c r="B12" s="297"/>
      <c r="C12" s="108" t="s">
        <v>50</v>
      </c>
      <c r="D12" s="298"/>
      <c r="E12" s="109">
        <v>51.21</v>
      </c>
      <c r="F12" s="109">
        <v>51.21</v>
      </c>
      <c r="G12" s="109">
        <v>62.59</v>
      </c>
      <c r="H12" s="214">
        <v>42.37</v>
      </c>
      <c r="I12" s="107" t="str">
        <f t="shared" si="0"/>
        <v>N</v>
      </c>
      <c r="J12" s="93"/>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0"/>
      <c r="EL12" s="110"/>
      <c r="EM12" s="110"/>
      <c r="EN12" s="110"/>
      <c r="EO12" s="110"/>
      <c r="EP12" s="110"/>
      <c r="EQ12" s="110"/>
      <c r="ER12" s="110"/>
      <c r="ES12" s="110"/>
      <c r="ET12" s="110"/>
      <c r="EU12" s="110"/>
    </row>
    <row r="13" spans="1:151" x14ac:dyDescent="0.2">
      <c r="A13" s="107" t="s">
        <v>65</v>
      </c>
      <c r="B13" s="297"/>
      <c r="C13" s="108" t="s">
        <v>51</v>
      </c>
      <c r="D13" s="298"/>
      <c r="E13" s="109">
        <v>94.77</v>
      </c>
      <c r="F13" s="109">
        <v>94.77</v>
      </c>
      <c r="G13" s="109">
        <v>115.83</v>
      </c>
      <c r="H13" s="214">
        <v>68.290000000000006</v>
      </c>
      <c r="I13" s="107" t="str">
        <f t="shared" si="0"/>
        <v>N</v>
      </c>
      <c r="J13" s="215"/>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c r="DT13" s="110"/>
      <c r="DU13" s="110"/>
      <c r="DV13" s="110"/>
      <c r="DW13" s="110"/>
      <c r="DX13" s="110"/>
      <c r="DY13" s="110"/>
      <c r="DZ13" s="110"/>
      <c r="EA13" s="110"/>
      <c r="EB13" s="110"/>
      <c r="EC13" s="110"/>
      <c r="ED13" s="110"/>
      <c r="EE13" s="110"/>
      <c r="EF13" s="110"/>
      <c r="EG13" s="110"/>
      <c r="EH13" s="110"/>
      <c r="EI13" s="110"/>
      <c r="EJ13" s="110"/>
      <c r="EK13" s="110"/>
      <c r="EL13" s="110"/>
      <c r="EM13" s="110"/>
      <c r="EN13" s="110"/>
      <c r="EO13" s="110"/>
      <c r="EP13" s="110"/>
      <c r="EQ13" s="110"/>
      <c r="ER13" s="110"/>
      <c r="ES13" s="110"/>
      <c r="ET13" s="110"/>
      <c r="EU13" s="110"/>
    </row>
    <row r="14" spans="1:151" x14ac:dyDescent="0.2">
      <c r="A14" s="107" t="s">
        <v>66</v>
      </c>
      <c r="B14" s="297"/>
      <c r="C14" s="108" t="s">
        <v>52</v>
      </c>
      <c r="D14" s="298"/>
      <c r="E14" s="109">
        <v>89.1</v>
      </c>
      <c r="F14" s="109">
        <v>89.1</v>
      </c>
      <c r="G14" s="109">
        <v>108.9</v>
      </c>
      <c r="H14" s="214">
        <v>74.55</v>
      </c>
      <c r="I14" s="107" t="str">
        <f t="shared" si="0"/>
        <v>N</v>
      </c>
      <c r="J14" s="93"/>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10"/>
      <c r="CT14" s="110"/>
      <c r="CU14" s="110"/>
      <c r="CV14" s="110"/>
      <c r="CW14" s="110"/>
      <c r="CX14" s="110"/>
      <c r="CY14" s="110"/>
      <c r="CZ14" s="110"/>
      <c r="DA14" s="110"/>
      <c r="DB14" s="110"/>
      <c r="DC14" s="110"/>
      <c r="DD14" s="110"/>
      <c r="DE14" s="110"/>
      <c r="DF14" s="110"/>
      <c r="DG14" s="110"/>
      <c r="DH14" s="110"/>
      <c r="DI14" s="110"/>
      <c r="DJ14" s="110"/>
      <c r="DK14" s="110"/>
      <c r="DL14" s="110"/>
      <c r="DM14" s="110"/>
      <c r="DN14" s="110"/>
      <c r="DO14" s="110"/>
      <c r="DP14" s="110"/>
      <c r="DQ14" s="110"/>
      <c r="DR14" s="110"/>
      <c r="DS14" s="110"/>
      <c r="DT14" s="110"/>
      <c r="DU14" s="110"/>
      <c r="DV14" s="110"/>
      <c r="DW14" s="110"/>
      <c r="DX14" s="110"/>
      <c r="DY14" s="110"/>
      <c r="DZ14" s="110"/>
      <c r="EA14" s="110"/>
      <c r="EB14" s="110"/>
      <c r="EC14" s="110"/>
      <c r="ED14" s="110"/>
      <c r="EE14" s="110"/>
      <c r="EF14" s="110"/>
      <c r="EG14" s="110"/>
      <c r="EH14" s="110"/>
      <c r="EI14" s="110"/>
      <c r="EJ14" s="110"/>
      <c r="EK14" s="110"/>
      <c r="EL14" s="110"/>
      <c r="EM14" s="110"/>
      <c r="EN14" s="110"/>
      <c r="EO14" s="110"/>
      <c r="EP14" s="110"/>
      <c r="EQ14" s="110"/>
      <c r="ER14" s="110"/>
      <c r="ES14" s="110"/>
      <c r="ET14" s="110"/>
      <c r="EU14" s="110"/>
    </row>
    <row r="15" spans="1:151" x14ac:dyDescent="0.2">
      <c r="A15" s="107" t="s">
        <v>67</v>
      </c>
      <c r="B15" s="297"/>
      <c r="C15" s="108" t="s">
        <v>53</v>
      </c>
      <c r="D15" s="298"/>
      <c r="E15" s="109">
        <v>191.34</v>
      </c>
      <c r="F15" s="109">
        <v>191.34</v>
      </c>
      <c r="G15" s="109">
        <v>233.86</v>
      </c>
      <c r="H15" s="214">
        <v>199.82</v>
      </c>
      <c r="I15" s="107" t="str">
        <f t="shared" si="0"/>
        <v>Y</v>
      </c>
      <c r="J15" s="93"/>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c r="DT15" s="110"/>
      <c r="DU15" s="110"/>
      <c r="DV15" s="110"/>
      <c r="DW15" s="110"/>
      <c r="DX15" s="110"/>
      <c r="DY15" s="110"/>
      <c r="DZ15" s="110"/>
      <c r="EA15" s="110"/>
      <c r="EB15" s="110"/>
      <c r="EC15" s="110"/>
      <c r="ED15" s="110"/>
      <c r="EE15" s="110"/>
      <c r="EF15" s="110"/>
      <c r="EG15" s="110"/>
      <c r="EH15" s="110"/>
      <c r="EI15" s="110"/>
      <c r="EJ15" s="110"/>
      <c r="EK15" s="110"/>
      <c r="EL15" s="110"/>
      <c r="EM15" s="110"/>
      <c r="EN15" s="110"/>
      <c r="EO15" s="110"/>
      <c r="EP15" s="110"/>
      <c r="EQ15" s="110"/>
      <c r="ER15" s="110"/>
      <c r="ES15" s="110"/>
      <c r="ET15" s="110"/>
      <c r="EU15" s="110"/>
    </row>
    <row r="16" spans="1:151" x14ac:dyDescent="0.2">
      <c r="A16" s="107" t="s">
        <v>68</v>
      </c>
      <c r="B16" s="297"/>
      <c r="C16" s="108" t="s">
        <v>71</v>
      </c>
      <c r="D16" s="298"/>
      <c r="E16" s="109">
        <v>8091.53</v>
      </c>
      <c r="F16" s="109">
        <v>8091.53</v>
      </c>
      <c r="G16" s="109">
        <v>9889.65</v>
      </c>
      <c r="H16" s="214">
        <v>9208.02</v>
      </c>
      <c r="I16" s="107" t="str">
        <f t="shared" si="0"/>
        <v>Y</v>
      </c>
      <c r="J16" s="93"/>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c r="DT16" s="110"/>
      <c r="DU16" s="110"/>
      <c r="DV16" s="110"/>
      <c r="DW16" s="110"/>
      <c r="DX16" s="110"/>
      <c r="DY16" s="110"/>
      <c r="DZ16" s="110"/>
      <c r="EA16" s="110"/>
      <c r="EB16" s="110"/>
      <c r="EC16" s="110"/>
      <c r="ED16" s="110"/>
      <c r="EE16" s="110"/>
      <c r="EF16" s="110"/>
      <c r="EG16" s="110"/>
      <c r="EH16" s="110"/>
      <c r="EI16" s="110"/>
      <c r="EJ16" s="110"/>
      <c r="EK16" s="110"/>
      <c r="EL16" s="110"/>
      <c r="EM16" s="110"/>
      <c r="EN16" s="110"/>
      <c r="EO16" s="110"/>
      <c r="EP16" s="110"/>
      <c r="EQ16" s="110"/>
      <c r="ER16" s="110"/>
      <c r="ES16" s="110"/>
      <c r="ET16" s="110"/>
      <c r="EU16" s="110"/>
    </row>
    <row r="17" spans="1:151" x14ac:dyDescent="0.2">
      <c r="A17" s="107" t="s">
        <v>69</v>
      </c>
      <c r="B17" s="299"/>
      <c r="C17" s="108" t="s">
        <v>54</v>
      </c>
      <c r="D17" s="170" t="s">
        <v>55</v>
      </c>
      <c r="E17" s="109">
        <v>3.42</v>
      </c>
      <c r="F17" s="109">
        <v>3.42</v>
      </c>
      <c r="G17" s="109">
        <v>4.18</v>
      </c>
      <c r="H17" s="214">
        <v>4.72</v>
      </c>
      <c r="I17" s="107" t="str">
        <f t="shared" si="0"/>
        <v>N</v>
      </c>
      <c r="J17" s="93"/>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c r="DD17" s="110"/>
      <c r="DE17" s="110"/>
      <c r="DF17" s="110"/>
      <c r="DG17" s="110"/>
      <c r="DH17" s="110"/>
      <c r="DI17" s="110"/>
      <c r="DJ17" s="110"/>
      <c r="DK17" s="110"/>
      <c r="DL17" s="110"/>
      <c r="DM17" s="110"/>
      <c r="DN17" s="110"/>
      <c r="DO17" s="110"/>
      <c r="DP17" s="110"/>
      <c r="DQ17" s="110"/>
      <c r="DR17" s="110"/>
      <c r="DS17" s="110"/>
      <c r="DT17" s="110"/>
      <c r="DU17" s="110"/>
      <c r="DV17" s="110"/>
      <c r="DW17" s="110"/>
      <c r="DX17" s="110"/>
      <c r="DY17" s="110"/>
      <c r="DZ17" s="110"/>
      <c r="EA17" s="110"/>
      <c r="EB17" s="110"/>
      <c r="EC17" s="110"/>
      <c r="ED17" s="110"/>
      <c r="EE17" s="110"/>
      <c r="EF17" s="110"/>
      <c r="EG17" s="110"/>
      <c r="EH17" s="110"/>
      <c r="EI17" s="110"/>
      <c r="EJ17" s="110"/>
      <c r="EK17" s="110"/>
      <c r="EL17" s="110"/>
      <c r="EM17" s="110"/>
      <c r="EN17" s="110"/>
      <c r="EO17" s="110"/>
      <c r="EP17" s="110"/>
      <c r="EQ17" s="110"/>
      <c r="ER17" s="110"/>
      <c r="ES17" s="110"/>
      <c r="ET17" s="110"/>
      <c r="EU17" s="110"/>
    </row>
    <row r="19" spans="1:151" x14ac:dyDescent="0.25">
      <c r="A19" s="300" t="s">
        <v>1286</v>
      </c>
      <c r="B19" s="300"/>
      <c r="C19" s="300"/>
      <c r="D19" s="300"/>
      <c r="E19" s="300"/>
      <c r="F19" s="300"/>
      <c r="G19" s="300"/>
      <c r="H19" s="300"/>
      <c r="I19" s="300"/>
    </row>
    <row r="20" spans="1:151" x14ac:dyDescent="0.2">
      <c r="A20" s="56"/>
      <c r="B20" s="56"/>
      <c r="C20" s="57"/>
      <c r="D20" s="58"/>
      <c r="E20" s="55"/>
      <c r="F20" s="55"/>
      <c r="G20" s="55"/>
      <c r="H20" s="55"/>
      <c r="I20" s="55"/>
    </row>
    <row r="21" spans="1:151" x14ac:dyDescent="0.2">
      <c r="A21" s="59"/>
      <c r="B21" s="59" t="s">
        <v>0</v>
      </c>
      <c r="C21" s="60" t="s">
        <v>20</v>
      </c>
      <c r="D21" s="61" t="s">
        <v>23</v>
      </c>
      <c r="E21" s="62"/>
      <c r="F21" s="63" t="s">
        <v>6</v>
      </c>
      <c r="G21" s="63" t="s">
        <v>1</v>
      </c>
      <c r="H21" s="213" t="s">
        <v>17</v>
      </c>
      <c r="I21" s="63" t="s">
        <v>2</v>
      </c>
    </row>
    <row r="22" spans="1:151" ht="25.5" x14ac:dyDescent="0.25">
      <c r="A22" s="199" t="s">
        <v>215</v>
      </c>
      <c r="B22" s="261" t="s">
        <v>18</v>
      </c>
      <c r="C22" s="261" t="s">
        <v>333</v>
      </c>
      <c r="D22" s="65" t="s">
        <v>413</v>
      </c>
      <c r="E22" s="65"/>
      <c r="F22" s="66" t="s">
        <v>334</v>
      </c>
      <c r="G22" s="66" t="s">
        <v>414</v>
      </c>
      <c r="H22" s="67" t="s">
        <v>385</v>
      </c>
      <c r="I22" s="68"/>
    </row>
    <row r="23" spans="1:151" x14ac:dyDescent="0.25">
      <c r="A23" s="199" t="s">
        <v>217</v>
      </c>
      <c r="B23" s="262"/>
      <c r="C23" s="262"/>
      <c r="D23" s="65" t="s">
        <v>415</v>
      </c>
      <c r="E23" s="65"/>
      <c r="F23" s="66"/>
      <c r="G23" s="66" t="s">
        <v>416</v>
      </c>
      <c r="H23" s="67" t="s">
        <v>3</v>
      </c>
      <c r="I23" s="68"/>
    </row>
    <row r="24" spans="1:151" ht="51" x14ac:dyDescent="0.25">
      <c r="A24" s="199" t="s">
        <v>218</v>
      </c>
      <c r="B24" s="262"/>
      <c r="C24" s="262"/>
      <c r="D24" s="64" t="s">
        <v>417</v>
      </c>
      <c r="E24" s="65"/>
      <c r="F24" s="66" t="s">
        <v>35</v>
      </c>
      <c r="G24" s="66" t="s">
        <v>418</v>
      </c>
      <c r="H24" s="67" t="s">
        <v>3</v>
      </c>
      <c r="I24" s="68"/>
    </row>
    <row r="25" spans="1:151" ht="25.5" x14ac:dyDescent="0.25">
      <c r="A25" s="199" t="s">
        <v>219</v>
      </c>
      <c r="B25" s="262"/>
      <c r="C25" s="262"/>
      <c r="D25" s="168" t="s">
        <v>27</v>
      </c>
      <c r="E25" s="258"/>
      <c r="F25" s="66"/>
      <c r="G25" s="66" t="s">
        <v>419</v>
      </c>
      <c r="H25" s="67" t="s">
        <v>3</v>
      </c>
      <c r="I25" s="68"/>
    </row>
    <row r="26" spans="1:151" ht="51" x14ac:dyDescent="0.25">
      <c r="A26" s="199" t="s">
        <v>1285</v>
      </c>
      <c r="B26" s="263"/>
      <c r="C26" s="263"/>
      <c r="D26" s="69"/>
      <c r="E26" s="260"/>
      <c r="F26" s="66" t="s">
        <v>24</v>
      </c>
      <c r="G26" s="66" t="s">
        <v>420</v>
      </c>
      <c r="H26" s="67" t="s">
        <v>3</v>
      </c>
      <c r="I26" s="68"/>
    </row>
    <row r="27" spans="1:151" ht="408" x14ac:dyDescent="0.25">
      <c r="A27" s="199" t="s">
        <v>1284</v>
      </c>
      <c r="B27" s="261" t="s">
        <v>19</v>
      </c>
      <c r="C27" s="261" t="s">
        <v>19</v>
      </c>
      <c r="D27" s="65" t="s">
        <v>421</v>
      </c>
      <c r="E27" s="65"/>
      <c r="F27" s="212" t="s">
        <v>21</v>
      </c>
      <c r="G27" s="68" t="s">
        <v>422</v>
      </c>
      <c r="H27" s="67" t="s">
        <v>3</v>
      </c>
      <c r="I27" s="68"/>
    </row>
    <row r="28" spans="1:151" ht="25.5" x14ac:dyDescent="0.25">
      <c r="A28" s="199" t="s">
        <v>1283</v>
      </c>
      <c r="B28" s="262"/>
      <c r="C28" s="262"/>
      <c r="D28" s="70" t="s">
        <v>423</v>
      </c>
      <c r="E28" s="258"/>
      <c r="F28" s="161"/>
      <c r="G28" s="165" t="s">
        <v>424</v>
      </c>
      <c r="H28" s="67" t="s">
        <v>3</v>
      </c>
      <c r="I28" s="68"/>
    </row>
    <row r="29" spans="1:151" s="210" customFormat="1" ht="25.5" x14ac:dyDescent="0.25">
      <c r="A29" s="199" t="s">
        <v>1282</v>
      </c>
      <c r="B29" s="71"/>
      <c r="C29" s="262"/>
      <c r="D29" s="72"/>
      <c r="E29" s="259"/>
      <c r="F29" s="211"/>
      <c r="G29" s="73" t="s">
        <v>425</v>
      </c>
      <c r="H29" s="67" t="s">
        <v>3</v>
      </c>
      <c r="I29" s="74"/>
    </row>
    <row r="30" spans="1:151" s="210" customFormat="1" ht="25.5" x14ac:dyDescent="0.25">
      <c r="A30" s="199" t="s">
        <v>1281</v>
      </c>
      <c r="B30" s="71"/>
      <c r="C30" s="262"/>
      <c r="D30" s="72"/>
      <c r="E30" s="259"/>
      <c r="F30" s="211"/>
      <c r="G30" s="73" t="s">
        <v>426</v>
      </c>
      <c r="H30" s="67" t="s">
        <v>3</v>
      </c>
      <c r="I30" s="74"/>
    </row>
    <row r="31" spans="1:151" s="210" customFormat="1" x14ac:dyDescent="0.25">
      <c r="A31" s="199" t="s">
        <v>1280</v>
      </c>
      <c r="B31" s="71"/>
      <c r="C31" s="263"/>
      <c r="D31" s="75"/>
      <c r="E31" s="260"/>
      <c r="F31" s="211"/>
      <c r="G31" s="73" t="s">
        <v>427</v>
      </c>
      <c r="H31" s="67" t="s">
        <v>3</v>
      </c>
      <c r="I31" s="74" t="s">
        <v>1279</v>
      </c>
    </row>
    <row r="32" spans="1:151" ht="25.5" x14ac:dyDescent="0.25">
      <c r="A32" s="199" t="s">
        <v>1278</v>
      </c>
      <c r="B32" s="276" t="s">
        <v>428</v>
      </c>
      <c r="C32" s="270" t="s">
        <v>429</v>
      </c>
      <c r="D32" s="76" t="s">
        <v>327</v>
      </c>
      <c r="E32" s="76"/>
      <c r="F32" s="166" t="s">
        <v>328</v>
      </c>
      <c r="G32" s="68" t="s">
        <v>430</v>
      </c>
      <c r="H32" s="67" t="s">
        <v>3</v>
      </c>
      <c r="I32" s="68"/>
    </row>
    <row r="33" spans="1:9" x14ac:dyDescent="0.25">
      <c r="A33" s="199" t="s">
        <v>1277</v>
      </c>
      <c r="B33" s="277"/>
      <c r="C33" s="271"/>
      <c r="D33" s="77"/>
      <c r="E33" s="78"/>
      <c r="F33" s="166"/>
      <c r="G33" s="68" t="s">
        <v>431</v>
      </c>
      <c r="H33" s="67" t="s">
        <v>3</v>
      </c>
      <c r="I33" s="68"/>
    </row>
    <row r="34" spans="1:9" ht="76.5" x14ac:dyDescent="0.25">
      <c r="A34" s="199" t="s">
        <v>1276</v>
      </c>
      <c r="B34" s="277"/>
      <c r="C34" s="271"/>
      <c r="D34" s="77"/>
      <c r="E34" s="77"/>
      <c r="F34" s="68" t="s">
        <v>82</v>
      </c>
      <c r="G34" s="68" t="s">
        <v>432</v>
      </c>
      <c r="H34" s="67" t="s">
        <v>3</v>
      </c>
      <c r="I34" s="68"/>
    </row>
    <row r="35" spans="1:9" ht="25.5" x14ac:dyDescent="0.25">
      <c r="A35" s="199" t="s">
        <v>1275</v>
      </c>
      <c r="B35" s="277"/>
      <c r="C35" s="271"/>
      <c r="D35" s="77"/>
      <c r="E35" s="77"/>
      <c r="F35" s="68"/>
      <c r="G35" s="68" t="s">
        <v>433</v>
      </c>
      <c r="H35" s="67" t="s">
        <v>3</v>
      </c>
      <c r="I35" s="68"/>
    </row>
    <row r="36" spans="1:9" x14ac:dyDescent="0.25">
      <c r="A36" s="199" t="s">
        <v>1274</v>
      </c>
      <c r="B36" s="277"/>
      <c r="C36" s="271"/>
      <c r="D36" s="78"/>
      <c r="E36" s="78"/>
      <c r="F36" s="68"/>
      <c r="G36" s="68" t="s">
        <v>434</v>
      </c>
      <c r="H36" s="67" t="s">
        <v>3</v>
      </c>
      <c r="I36" s="68" t="s">
        <v>1273</v>
      </c>
    </row>
    <row r="37" spans="1:9" ht="38.25" x14ac:dyDescent="0.25">
      <c r="A37" s="199" t="s">
        <v>1272</v>
      </c>
      <c r="B37" s="277"/>
      <c r="C37" s="271"/>
      <c r="D37" s="76" t="s">
        <v>435</v>
      </c>
      <c r="E37" s="273"/>
      <c r="F37" s="68" t="s">
        <v>329</v>
      </c>
      <c r="G37" s="68" t="s">
        <v>436</v>
      </c>
      <c r="H37" s="67" t="s">
        <v>3</v>
      </c>
      <c r="I37" s="68"/>
    </row>
    <row r="38" spans="1:9" ht="76.5" x14ac:dyDescent="0.25">
      <c r="A38" s="199" t="s">
        <v>1271</v>
      </c>
      <c r="B38" s="277"/>
      <c r="C38" s="271"/>
      <c r="D38" s="77"/>
      <c r="E38" s="274"/>
      <c r="F38" s="68"/>
      <c r="G38" s="68" t="s">
        <v>437</v>
      </c>
      <c r="H38" s="67" t="s">
        <v>3</v>
      </c>
      <c r="I38" s="68"/>
    </row>
    <row r="39" spans="1:9" ht="25.5" x14ac:dyDescent="0.25">
      <c r="A39" s="199" t="s">
        <v>1270</v>
      </c>
      <c r="B39" s="277"/>
      <c r="C39" s="271"/>
      <c r="D39" s="78"/>
      <c r="E39" s="275"/>
      <c r="F39" s="68"/>
      <c r="G39" s="68" t="s">
        <v>438</v>
      </c>
      <c r="H39" s="67" t="s">
        <v>3</v>
      </c>
      <c r="I39" s="68"/>
    </row>
    <row r="40" spans="1:9" x14ac:dyDescent="0.25">
      <c r="A40" s="199" t="s">
        <v>1269</v>
      </c>
      <c r="B40" s="277"/>
      <c r="C40" s="271"/>
      <c r="D40" s="77"/>
      <c r="E40" s="162"/>
      <c r="F40" s="68"/>
      <c r="G40" s="68" t="s">
        <v>1111</v>
      </c>
      <c r="H40" s="67" t="s">
        <v>3</v>
      </c>
      <c r="I40" s="68" t="s">
        <v>1010</v>
      </c>
    </row>
    <row r="41" spans="1:9" ht="51" x14ac:dyDescent="0.25">
      <c r="A41" s="199" t="s">
        <v>1268</v>
      </c>
      <c r="B41" s="277"/>
      <c r="C41" s="271"/>
      <c r="D41" s="70" t="s">
        <v>439</v>
      </c>
      <c r="E41" s="258"/>
      <c r="F41" s="68" t="s">
        <v>83</v>
      </c>
      <c r="G41" s="68" t="s">
        <v>440</v>
      </c>
      <c r="H41" s="67" t="s">
        <v>3</v>
      </c>
      <c r="I41" s="68"/>
    </row>
    <row r="42" spans="1:9" ht="25.5" x14ac:dyDescent="0.25">
      <c r="A42" s="199" t="s">
        <v>1267</v>
      </c>
      <c r="B42" s="277"/>
      <c r="C42" s="271"/>
      <c r="D42" s="72"/>
      <c r="E42" s="259"/>
      <c r="F42" s="68"/>
      <c r="G42" s="68" t="s">
        <v>441</v>
      </c>
      <c r="H42" s="67" t="s">
        <v>3</v>
      </c>
      <c r="I42" s="68"/>
    </row>
    <row r="43" spans="1:9" x14ac:dyDescent="0.25">
      <c r="A43" s="199" t="s">
        <v>1266</v>
      </c>
      <c r="B43" s="277"/>
      <c r="C43" s="271"/>
      <c r="D43" s="72"/>
      <c r="E43" s="259"/>
      <c r="F43" s="68"/>
      <c r="G43" s="68" t="s">
        <v>442</v>
      </c>
      <c r="H43" s="67" t="s">
        <v>3</v>
      </c>
      <c r="I43" s="68"/>
    </row>
    <row r="44" spans="1:9" ht="25.5" x14ac:dyDescent="0.25">
      <c r="A44" s="199" t="s">
        <v>1265</v>
      </c>
      <c r="B44" s="277"/>
      <c r="C44" s="271"/>
      <c r="D44" s="72"/>
      <c r="E44" s="259"/>
      <c r="F44" s="68"/>
      <c r="G44" s="68" t="s">
        <v>1264</v>
      </c>
      <c r="H44" s="67" t="s">
        <v>3</v>
      </c>
      <c r="I44" s="68"/>
    </row>
    <row r="45" spans="1:9" x14ac:dyDescent="0.25">
      <c r="A45" s="199" t="s">
        <v>1263</v>
      </c>
      <c r="B45" s="277"/>
      <c r="C45" s="271"/>
      <c r="D45" s="72"/>
      <c r="E45" s="259"/>
      <c r="F45" s="68"/>
      <c r="G45" s="68" t="s">
        <v>1262</v>
      </c>
      <c r="H45" s="67" t="s">
        <v>3</v>
      </c>
      <c r="I45" s="68" t="s">
        <v>896</v>
      </c>
    </row>
    <row r="46" spans="1:9" x14ac:dyDescent="0.25">
      <c r="A46" s="199" t="s">
        <v>1261</v>
      </c>
      <c r="B46" s="277"/>
      <c r="C46" s="271"/>
      <c r="D46" s="72"/>
      <c r="E46" s="259"/>
      <c r="F46" s="68"/>
      <c r="G46" s="68" t="s">
        <v>443</v>
      </c>
      <c r="H46" s="67" t="s">
        <v>3</v>
      </c>
      <c r="I46" s="68"/>
    </row>
    <row r="47" spans="1:9" ht="25.5" x14ac:dyDescent="0.25">
      <c r="A47" s="199" t="s">
        <v>1260</v>
      </c>
      <c r="B47" s="277"/>
      <c r="C47" s="271"/>
      <c r="D47" s="72"/>
      <c r="E47" s="259"/>
      <c r="F47" s="68"/>
      <c r="G47" s="68" t="s">
        <v>444</v>
      </c>
      <c r="H47" s="67" t="s">
        <v>3</v>
      </c>
      <c r="I47" s="68"/>
    </row>
    <row r="48" spans="1:9" x14ac:dyDescent="0.25">
      <c r="A48" s="199" t="s">
        <v>1259</v>
      </c>
      <c r="B48" s="277"/>
      <c r="C48" s="271"/>
      <c r="D48" s="72"/>
      <c r="E48" s="259"/>
      <c r="F48" s="68"/>
      <c r="G48" s="68" t="s">
        <v>445</v>
      </c>
      <c r="H48" s="67" t="s">
        <v>3</v>
      </c>
      <c r="I48" s="68"/>
    </row>
    <row r="49" spans="1:9" ht="25.5" x14ac:dyDescent="0.25">
      <c r="A49" s="199" t="s">
        <v>1258</v>
      </c>
      <c r="B49" s="277"/>
      <c r="C49" s="271"/>
      <c r="D49" s="75"/>
      <c r="E49" s="260"/>
      <c r="F49" s="68"/>
      <c r="G49" s="68" t="s">
        <v>446</v>
      </c>
      <c r="H49" s="67" t="s">
        <v>3</v>
      </c>
      <c r="I49" s="68"/>
    </row>
    <row r="50" spans="1:9" x14ac:dyDescent="0.25">
      <c r="A50" s="199" t="s">
        <v>1257</v>
      </c>
      <c r="B50" s="277"/>
      <c r="C50" s="271"/>
      <c r="D50" s="77"/>
      <c r="E50" s="162"/>
      <c r="F50" s="68"/>
      <c r="G50" s="68" t="s">
        <v>1116</v>
      </c>
      <c r="H50" s="67" t="s">
        <v>3</v>
      </c>
      <c r="I50" s="68" t="s">
        <v>1010</v>
      </c>
    </row>
    <row r="51" spans="1:9" ht="51" x14ac:dyDescent="0.25">
      <c r="A51" s="199" t="s">
        <v>1256</v>
      </c>
      <c r="B51" s="277"/>
      <c r="C51" s="271"/>
      <c r="D51" s="70" t="s">
        <v>447</v>
      </c>
      <c r="E51" s="258"/>
      <c r="F51" s="68" t="s">
        <v>448</v>
      </c>
      <c r="G51" s="68" t="s">
        <v>449</v>
      </c>
      <c r="H51" s="67" t="s">
        <v>3</v>
      </c>
      <c r="I51" s="68"/>
    </row>
    <row r="52" spans="1:9" x14ac:dyDescent="0.25">
      <c r="A52" s="199" t="s">
        <v>1255</v>
      </c>
      <c r="B52" s="277"/>
      <c r="C52" s="271"/>
      <c r="D52" s="72"/>
      <c r="E52" s="259"/>
      <c r="F52" s="68"/>
      <c r="G52" s="68"/>
      <c r="H52" s="67" t="s">
        <v>3</v>
      </c>
      <c r="I52" s="68"/>
    </row>
    <row r="53" spans="1:9" ht="25.5" x14ac:dyDescent="0.25">
      <c r="A53" s="199" t="s">
        <v>1254</v>
      </c>
      <c r="B53" s="277"/>
      <c r="C53" s="271"/>
      <c r="D53" s="72"/>
      <c r="E53" s="259"/>
      <c r="F53" s="68"/>
      <c r="G53" s="68" t="s">
        <v>441</v>
      </c>
      <c r="H53" s="67" t="s">
        <v>3</v>
      </c>
      <c r="I53" s="68"/>
    </row>
    <row r="54" spans="1:9" x14ac:dyDescent="0.25">
      <c r="A54" s="199" t="s">
        <v>1253</v>
      </c>
      <c r="B54" s="277"/>
      <c r="C54" s="271"/>
      <c r="D54" s="72"/>
      <c r="E54" s="259"/>
      <c r="F54" s="68"/>
      <c r="G54" s="68" t="s">
        <v>442</v>
      </c>
      <c r="H54" s="67" t="s">
        <v>3</v>
      </c>
      <c r="I54" s="68"/>
    </row>
    <row r="55" spans="1:9" ht="25.5" x14ac:dyDescent="0.25">
      <c r="A55" s="199" t="s">
        <v>1252</v>
      </c>
      <c r="B55" s="277"/>
      <c r="C55" s="271"/>
      <c r="D55" s="72"/>
      <c r="E55" s="259"/>
      <c r="F55" s="68"/>
      <c r="G55" s="68" t="s">
        <v>450</v>
      </c>
      <c r="H55" s="67" t="s">
        <v>3</v>
      </c>
      <c r="I55" s="68"/>
    </row>
    <row r="56" spans="1:9" ht="38.25" x14ac:dyDescent="0.25">
      <c r="A56" s="199" t="s">
        <v>1251</v>
      </c>
      <c r="B56" s="277"/>
      <c r="C56" s="271"/>
      <c r="D56" s="72"/>
      <c r="E56" s="259"/>
      <c r="F56" s="68"/>
      <c r="G56" s="68" t="s">
        <v>451</v>
      </c>
      <c r="H56" s="67" t="s">
        <v>3</v>
      </c>
      <c r="I56" s="68"/>
    </row>
    <row r="57" spans="1:9" x14ac:dyDescent="0.25">
      <c r="A57" s="199" t="s">
        <v>1250</v>
      </c>
      <c r="B57" s="277"/>
      <c r="C57" s="271"/>
      <c r="D57" s="72"/>
      <c r="E57" s="259"/>
      <c r="F57" s="68"/>
      <c r="G57" s="68" t="s">
        <v>1249</v>
      </c>
      <c r="H57" s="67" t="s">
        <v>3</v>
      </c>
      <c r="I57" s="68" t="s">
        <v>896</v>
      </c>
    </row>
    <row r="58" spans="1:9" x14ac:dyDescent="0.25">
      <c r="A58" s="199" t="s">
        <v>1248</v>
      </c>
      <c r="B58" s="277"/>
      <c r="C58" s="271"/>
      <c r="D58" s="72"/>
      <c r="E58" s="259"/>
      <c r="F58" s="68"/>
      <c r="G58" s="68" t="s">
        <v>1247</v>
      </c>
      <c r="H58" s="67" t="s">
        <v>3</v>
      </c>
      <c r="I58" s="68"/>
    </row>
    <row r="59" spans="1:9" ht="25.5" x14ac:dyDescent="0.25">
      <c r="A59" s="199" t="s">
        <v>1246</v>
      </c>
      <c r="B59" s="277"/>
      <c r="C59" s="271"/>
      <c r="D59" s="72"/>
      <c r="E59" s="259"/>
      <c r="F59" s="68"/>
      <c r="G59" s="68" t="s">
        <v>1245</v>
      </c>
      <c r="H59" s="67" t="s">
        <v>3</v>
      </c>
      <c r="I59" s="68"/>
    </row>
    <row r="60" spans="1:9" x14ac:dyDescent="0.25">
      <c r="A60" s="199" t="s">
        <v>1244</v>
      </c>
      <c r="B60" s="277"/>
      <c r="C60" s="271"/>
      <c r="D60" s="72"/>
      <c r="E60" s="259"/>
      <c r="F60" s="68"/>
      <c r="G60" s="68" t="s">
        <v>1243</v>
      </c>
      <c r="H60" s="67" t="s">
        <v>3</v>
      </c>
      <c r="I60" s="68"/>
    </row>
    <row r="61" spans="1:9" ht="25.5" x14ac:dyDescent="0.25">
      <c r="A61" s="199" t="s">
        <v>1242</v>
      </c>
      <c r="B61" s="277"/>
      <c r="C61" s="271"/>
      <c r="D61" s="72"/>
      <c r="E61" s="259"/>
      <c r="F61" s="68"/>
      <c r="G61" s="68" t="s">
        <v>1241</v>
      </c>
      <c r="H61" s="67" t="s">
        <v>3</v>
      </c>
      <c r="I61" s="68" t="s">
        <v>1240</v>
      </c>
    </row>
    <row r="62" spans="1:9" ht="25.5" x14ac:dyDescent="0.25">
      <c r="A62" s="199" t="s">
        <v>1239</v>
      </c>
      <c r="B62" s="277"/>
      <c r="C62" s="271"/>
      <c r="D62" s="75"/>
      <c r="E62" s="260"/>
      <c r="F62" s="68"/>
      <c r="G62" s="68" t="s">
        <v>1238</v>
      </c>
      <c r="H62" s="67" t="s">
        <v>3</v>
      </c>
      <c r="I62" s="68"/>
    </row>
    <row r="63" spans="1:9" x14ac:dyDescent="0.25">
      <c r="A63" s="199" t="s">
        <v>1237</v>
      </c>
      <c r="B63" s="277"/>
      <c r="C63" s="271"/>
      <c r="D63" s="77"/>
      <c r="E63" s="162"/>
      <c r="F63" s="68"/>
      <c r="G63" s="68" t="s">
        <v>1236</v>
      </c>
      <c r="H63" s="67" t="s">
        <v>3</v>
      </c>
      <c r="I63" s="68" t="s">
        <v>1010</v>
      </c>
    </row>
    <row r="64" spans="1:9" ht="25.5" x14ac:dyDescent="0.25">
      <c r="A64" s="199" t="s">
        <v>1235</v>
      </c>
      <c r="B64" s="277"/>
      <c r="C64" s="271"/>
      <c r="D64" s="70" t="s">
        <v>1234</v>
      </c>
      <c r="E64" s="258"/>
      <c r="F64" s="68" t="s">
        <v>1233</v>
      </c>
      <c r="G64" s="68" t="s">
        <v>338</v>
      </c>
      <c r="H64" s="67" t="s">
        <v>3</v>
      </c>
      <c r="I64" s="68"/>
    </row>
    <row r="65" spans="1:9" ht="51" x14ac:dyDescent="0.25">
      <c r="A65" s="199" t="s">
        <v>1232</v>
      </c>
      <c r="B65" s="277"/>
      <c r="C65" s="271"/>
      <c r="D65" s="72"/>
      <c r="E65" s="259"/>
      <c r="F65" s="68"/>
      <c r="G65" s="68" t="s">
        <v>452</v>
      </c>
      <c r="H65" s="67" t="s">
        <v>3</v>
      </c>
      <c r="I65" s="68"/>
    </row>
    <row r="66" spans="1:9" ht="25.5" x14ac:dyDescent="0.25">
      <c r="A66" s="199" t="s">
        <v>1231</v>
      </c>
      <c r="B66" s="277"/>
      <c r="C66" s="271"/>
      <c r="D66" s="72"/>
      <c r="E66" s="259"/>
      <c r="F66" s="68"/>
      <c r="G66" s="68" t="s">
        <v>453</v>
      </c>
      <c r="H66" s="67" t="s">
        <v>3</v>
      </c>
      <c r="I66" s="68"/>
    </row>
    <row r="67" spans="1:9" ht="25.5" x14ac:dyDescent="0.25">
      <c r="A67" s="199" t="s">
        <v>1230</v>
      </c>
      <c r="B67" s="277"/>
      <c r="C67" s="271"/>
      <c r="D67" s="75"/>
      <c r="E67" s="260"/>
      <c r="F67" s="68"/>
      <c r="G67" s="68" t="s">
        <v>454</v>
      </c>
      <c r="H67" s="67" t="s">
        <v>3</v>
      </c>
      <c r="I67" s="68"/>
    </row>
    <row r="68" spans="1:9" x14ac:dyDescent="0.25">
      <c r="A68" s="199" t="s">
        <v>1229</v>
      </c>
      <c r="B68" s="277"/>
      <c r="C68" s="271"/>
      <c r="D68" s="77"/>
      <c r="E68" s="162"/>
      <c r="F68" s="68"/>
      <c r="G68" s="68" t="s">
        <v>1228</v>
      </c>
      <c r="H68" s="67" t="s">
        <v>3</v>
      </c>
      <c r="I68" s="68" t="s">
        <v>1010</v>
      </c>
    </row>
    <row r="69" spans="1:9" ht="63.75" x14ac:dyDescent="0.25">
      <c r="A69" s="199" t="s">
        <v>1227</v>
      </c>
      <c r="B69" s="277"/>
      <c r="C69" s="271"/>
      <c r="D69" s="258" t="s">
        <v>77</v>
      </c>
      <c r="E69" s="258"/>
      <c r="F69" s="68"/>
      <c r="G69" s="68" t="s">
        <v>455</v>
      </c>
      <c r="H69" s="67" t="s">
        <v>3</v>
      </c>
      <c r="I69" s="68"/>
    </row>
    <row r="70" spans="1:9" x14ac:dyDescent="0.25">
      <c r="A70" s="199" t="s">
        <v>1226</v>
      </c>
      <c r="B70" s="277"/>
      <c r="C70" s="271"/>
      <c r="D70" s="259"/>
      <c r="E70" s="259"/>
      <c r="F70" s="68"/>
      <c r="G70" s="68" t="s">
        <v>456</v>
      </c>
      <c r="H70" s="67" t="s">
        <v>3</v>
      </c>
      <c r="I70" s="68"/>
    </row>
    <row r="71" spans="1:9" x14ac:dyDescent="0.25">
      <c r="A71" s="199" t="s">
        <v>1225</v>
      </c>
      <c r="B71" s="277"/>
      <c r="C71" s="271"/>
      <c r="D71" s="259"/>
      <c r="E71" s="259"/>
      <c r="F71" s="68"/>
      <c r="G71" s="68" t="s">
        <v>457</v>
      </c>
      <c r="H71" s="67" t="s">
        <v>3</v>
      </c>
      <c r="I71" s="68"/>
    </row>
    <row r="72" spans="1:9" x14ac:dyDescent="0.25">
      <c r="A72" s="199" t="s">
        <v>1224</v>
      </c>
      <c r="B72" s="277"/>
      <c r="C72" s="271"/>
      <c r="D72" s="259"/>
      <c r="E72" s="259"/>
      <c r="F72" s="68"/>
      <c r="G72" s="68" t="s">
        <v>1223</v>
      </c>
      <c r="H72" s="67" t="s">
        <v>3</v>
      </c>
      <c r="I72" s="68"/>
    </row>
    <row r="73" spans="1:9" x14ac:dyDescent="0.25">
      <c r="A73" s="199" t="s">
        <v>1222</v>
      </c>
      <c r="B73" s="277"/>
      <c r="C73" s="271"/>
      <c r="D73" s="259"/>
      <c r="E73" s="259"/>
      <c r="F73" s="68"/>
      <c r="G73" s="68" t="s">
        <v>458</v>
      </c>
      <c r="H73" s="67" t="s">
        <v>3</v>
      </c>
      <c r="I73" s="68"/>
    </row>
    <row r="74" spans="1:9" ht="38.25" x14ac:dyDescent="0.25">
      <c r="A74" s="199" t="s">
        <v>1221</v>
      </c>
      <c r="B74" s="277"/>
      <c r="C74" s="271"/>
      <c r="D74" s="259"/>
      <c r="E74" s="259"/>
      <c r="F74" s="68"/>
      <c r="G74" s="68" t="s">
        <v>1220</v>
      </c>
      <c r="H74" s="67" t="s">
        <v>3</v>
      </c>
      <c r="I74" s="68"/>
    </row>
    <row r="75" spans="1:9" x14ac:dyDescent="0.25">
      <c r="A75" s="199" t="s">
        <v>1219</v>
      </c>
      <c r="B75" s="277"/>
      <c r="C75" s="271"/>
      <c r="D75" s="259"/>
      <c r="E75" s="259"/>
      <c r="F75" s="68"/>
      <c r="G75" s="68" t="s">
        <v>1079</v>
      </c>
      <c r="H75" s="67" t="s">
        <v>3</v>
      </c>
      <c r="I75" s="68" t="s">
        <v>1010</v>
      </c>
    </row>
    <row r="76" spans="1:9" x14ac:dyDescent="0.25">
      <c r="A76" s="199" t="s">
        <v>1218</v>
      </c>
      <c r="B76" s="277"/>
      <c r="C76" s="271"/>
      <c r="D76" s="260"/>
      <c r="E76" s="260"/>
      <c r="F76" s="68"/>
      <c r="G76" s="68" t="s">
        <v>1217</v>
      </c>
      <c r="H76" s="67" t="s">
        <v>3</v>
      </c>
      <c r="I76" s="68"/>
    </row>
    <row r="77" spans="1:9" ht="51" x14ac:dyDescent="0.25">
      <c r="A77" s="199" t="s">
        <v>1216</v>
      </c>
      <c r="B77" s="277"/>
      <c r="C77" s="271"/>
      <c r="D77" s="76" t="s">
        <v>28</v>
      </c>
      <c r="E77" s="273"/>
      <c r="F77" s="68" t="s">
        <v>29</v>
      </c>
      <c r="G77" s="68" t="s">
        <v>459</v>
      </c>
      <c r="H77" s="67" t="s">
        <v>3</v>
      </c>
      <c r="I77" s="68"/>
    </row>
    <row r="78" spans="1:9" ht="25.5" x14ac:dyDescent="0.25">
      <c r="A78" s="199" t="s">
        <v>1215</v>
      </c>
      <c r="B78" s="277"/>
      <c r="C78" s="271"/>
      <c r="D78" s="77"/>
      <c r="E78" s="274"/>
      <c r="F78" s="68"/>
      <c r="G78" s="68" t="s">
        <v>460</v>
      </c>
      <c r="H78" s="67" t="s">
        <v>3</v>
      </c>
      <c r="I78" s="68"/>
    </row>
    <row r="79" spans="1:9" x14ac:dyDescent="0.25">
      <c r="A79" s="199" t="s">
        <v>1214</v>
      </c>
      <c r="B79" s="277"/>
      <c r="C79" s="271"/>
      <c r="D79" s="77"/>
      <c r="E79" s="274"/>
      <c r="F79" s="68"/>
      <c r="G79" s="68" t="s">
        <v>461</v>
      </c>
      <c r="H79" s="67" t="s">
        <v>3</v>
      </c>
      <c r="I79" s="68"/>
    </row>
    <row r="80" spans="1:9" ht="89.25" x14ac:dyDescent="0.25">
      <c r="A80" s="199" t="s">
        <v>1213</v>
      </c>
      <c r="B80" s="277"/>
      <c r="C80" s="271"/>
      <c r="D80" s="77"/>
      <c r="E80" s="274"/>
      <c r="F80" s="68"/>
      <c r="G80" s="68" t="s">
        <v>462</v>
      </c>
      <c r="H80" s="67" t="s">
        <v>3</v>
      </c>
      <c r="I80" s="68"/>
    </row>
    <row r="81" spans="1:9" x14ac:dyDescent="0.25">
      <c r="A81" s="199" t="s">
        <v>1212</v>
      </c>
      <c r="B81" s="277"/>
      <c r="C81" s="271"/>
      <c r="D81" s="77"/>
      <c r="E81" s="274"/>
      <c r="F81" s="68"/>
      <c r="G81" s="68" t="s">
        <v>463</v>
      </c>
      <c r="H81" s="67" t="s">
        <v>3</v>
      </c>
      <c r="I81" s="68"/>
    </row>
    <row r="82" spans="1:9" ht="25.5" x14ac:dyDescent="0.25">
      <c r="A82" s="199" t="s">
        <v>1211</v>
      </c>
      <c r="B82" s="277"/>
      <c r="C82" s="271"/>
      <c r="D82" s="78"/>
      <c r="E82" s="275"/>
      <c r="F82" s="68"/>
      <c r="G82" s="68" t="s">
        <v>464</v>
      </c>
      <c r="H82" s="67" t="s">
        <v>3</v>
      </c>
      <c r="I82" s="68"/>
    </row>
    <row r="83" spans="1:9" x14ac:dyDescent="0.25">
      <c r="A83" s="199" t="s">
        <v>1210</v>
      </c>
      <c r="B83" s="277"/>
      <c r="C83" s="271"/>
      <c r="D83" s="77"/>
      <c r="E83" s="162"/>
      <c r="F83" s="68"/>
      <c r="G83" s="68" t="s">
        <v>1079</v>
      </c>
      <c r="H83" s="67" t="s">
        <v>3</v>
      </c>
      <c r="I83" s="68" t="s">
        <v>1010</v>
      </c>
    </row>
    <row r="84" spans="1:9" ht="25.5" x14ac:dyDescent="0.25">
      <c r="A84" s="199" t="s">
        <v>1209</v>
      </c>
      <c r="B84" s="277"/>
      <c r="C84" s="271"/>
      <c r="D84" s="209" t="s">
        <v>30</v>
      </c>
      <c r="E84" s="258" t="s">
        <v>465</v>
      </c>
      <c r="F84" s="68" t="s">
        <v>369</v>
      </c>
      <c r="G84" s="68" t="s">
        <v>466</v>
      </c>
      <c r="H84" s="67" t="s">
        <v>3</v>
      </c>
      <c r="I84" s="68"/>
    </row>
    <row r="85" spans="1:9" x14ac:dyDescent="0.25">
      <c r="A85" s="199" t="s">
        <v>1208</v>
      </c>
      <c r="B85" s="277"/>
      <c r="C85" s="271"/>
      <c r="D85" s="206"/>
      <c r="E85" s="259"/>
      <c r="F85" s="68"/>
      <c r="G85" s="68" t="s">
        <v>467</v>
      </c>
      <c r="H85" s="67" t="s">
        <v>3</v>
      </c>
      <c r="I85" s="68"/>
    </row>
    <row r="86" spans="1:9" ht="38.25" x14ac:dyDescent="0.25">
      <c r="A86" s="199" t="s">
        <v>1207</v>
      </c>
      <c r="B86" s="277"/>
      <c r="C86" s="271"/>
      <c r="D86" s="206"/>
      <c r="E86" s="259"/>
      <c r="F86" s="68"/>
      <c r="G86" s="68" t="s">
        <v>468</v>
      </c>
      <c r="H86" s="67" t="s">
        <v>3</v>
      </c>
      <c r="I86" s="68"/>
    </row>
    <row r="87" spans="1:9" ht="25.5" x14ac:dyDescent="0.25">
      <c r="A87" s="199" t="s">
        <v>1206</v>
      </c>
      <c r="B87" s="277"/>
      <c r="C87" s="271"/>
      <c r="D87" s="206"/>
      <c r="E87" s="259"/>
      <c r="F87" s="68"/>
      <c r="G87" s="68" t="s">
        <v>469</v>
      </c>
      <c r="H87" s="67" t="s">
        <v>3</v>
      </c>
      <c r="I87" s="68"/>
    </row>
    <row r="88" spans="1:9" ht="25.5" x14ac:dyDescent="0.25">
      <c r="A88" s="199" t="s">
        <v>1205</v>
      </c>
      <c r="B88" s="277"/>
      <c r="C88" s="271"/>
      <c r="D88" s="206"/>
      <c r="E88" s="259"/>
      <c r="F88" s="68"/>
      <c r="G88" s="68" t="s">
        <v>470</v>
      </c>
      <c r="H88" s="67" t="s">
        <v>3</v>
      </c>
      <c r="I88" s="68"/>
    </row>
    <row r="89" spans="1:9" ht="25.5" x14ac:dyDescent="0.25">
      <c r="A89" s="199" t="s">
        <v>1204</v>
      </c>
      <c r="B89" s="277"/>
      <c r="C89" s="271"/>
      <c r="D89" s="206"/>
      <c r="E89" s="260"/>
      <c r="F89" s="68"/>
      <c r="G89" s="68" t="s">
        <v>464</v>
      </c>
      <c r="H89" s="67" t="s">
        <v>3</v>
      </c>
      <c r="I89" s="68"/>
    </row>
    <row r="90" spans="1:9" x14ac:dyDescent="0.25">
      <c r="A90" s="199" t="s">
        <v>1203</v>
      </c>
      <c r="B90" s="277"/>
      <c r="C90" s="271"/>
      <c r="D90" s="77"/>
      <c r="E90" s="162"/>
      <c r="F90" s="68"/>
      <c r="G90" s="68" t="s">
        <v>1079</v>
      </c>
      <c r="H90" s="67" t="s">
        <v>3</v>
      </c>
      <c r="I90" s="68" t="s">
        <v>1010</v>
      </c>
    </row>
    <row r="91" spans="1:9" x14ac:dyDescent="0.25">
      <c r="A91" s="199" t="s">
        <v>1202</v>
      </c>
      <c r="B91" s="277"/>
      <c r="C91" s="271"/>
      <c r="D91" s="206"/>
      <c r="E91" s="258" t="s">
        <v>471</v>
      </c>
      <c r="F91" s="68" t="s">
        <v>73</v>
      </c>
      <c r="G91" s="74" t="s">
        <v>472</v>
      </c>
      <c r="H91" s="67" t="s">
        <v>3</v>
      </c>
      <c r="I91" s="68"/>
    </row>
    <row r="92" spans="1:9" ht="51" x14ac:dyDescent="0.25">
      <c r="A92" s="199" t="s">
        <v>1201</v>
      </c>
      <c r="B92" s="277"/>
      <c r="C92" s="271"/>
      <c r="D92" s="206"/>
      <c r="E92" s="259"/>
      <c r="F92" s="68"/>
      <c r="G92" s="68" t="s">
        <v>473</v>
      </c>
      <c r="H92" s="67" t="s">
        <v>3</v>
      </c>
      <c r="I92" s="68"/>
    </row>
    <row r="93" spans="1:9" ht="25.5" x14ac:dyDescent="0.25">
      <c r="A93" s="199" t="s">
        <v>1200</v>
      </c>
      <c r="B93" s="277"/>
      <c r="C93" s="271"/>
      <c r="D93" s="206"/>
      <c r="E93" s="259"/>
      <c r="F93" s="68"/>
      <c r="G93" s="68" t="s">
        <v>474</v>
      </c>
      <c r="H93" s="67" t="s">
        <v>3</v>
      </c>
      <c r="I93" s="68"/>
    </row>
    <row r="94" spans="1:9" ht="25.5" x14ac:dyDescent="0.25">
      <c r="A94" s="199" t="s">
        <v>1199</v>
      </c>
      <c r="B94" s="277"/>
      <c r="C94" s="271"/>
      <c r="D94" s="206"/>
      <c r="E94" s="259"/>
      <c r="F94" s="68"/>
      <c r="G94" s="68" t="s">
        <v>475</v>
      </c>
      <c r="H94" s="67" t="s">
        <v>3</v>
      </c>
      <c r="I94" s="68"/>
    </row>
    <row r="95" spans="1:9" ht="25.5" x14ac:dyDescent="0.25">
      <c r="A95" s="199" t="s">
        <v>1198</v>
      </c>
      <c r="B95" s="277"/>
      <c r="C95" s="271"/>
      <c r="D95" s="206"/>
      <c r="E95" s="260"/>
      <c r="F95" s="68"/>
      <c r="G95" s="68" t="s">
        <v>476</v>
      </c>
      <c r="H95" s="67" t="s">
        <v>3</v>
      </c>
      <c r="I95" s="68"/>
    </row>
    <row r="96" spans="1:9" x14ac:dyDescent="0.25">
      <c r="A96" s="199" t="s">
        <v>1197</v>
      </c>
      <c r="B96" s="277"/>
      <c r="C96" s="271"/>
      <c r="D96" s="77"/>
      <c r="E96" s="162"/>
      <c r="F96" s="68"/>
      <c r="G96" s="68" t="s">
        <v>1046</v>
      </c>
      <c r="H96" s="67" t="s">
        <v>3</v>
      </c>
      <c r="I96" s="68" t="s">
        <v>1010</v>
      </c>
    </row>
    <row r="97" spans="1:9" ht="38.25" x14ac:dyDescent="0.25">
      <c r="A97" s="199" t="s">
        <v>1196</v>
      </c>
      <c r="B97" s="277"/>
      <c r="C97" s="271"/>
      <c r="D97" s="206"/>
      <c r="E97" s="258" t="s">
        <v>477</v>
      </c>
      <c r="F97" s="68" t="s">
        <v>320</v>
      </c>
      <c r="G97" s="68" t="s">
        <v>478</v>
      </c>
      <c r="H97" s="67" t="s">
        <v>3</v>
      </c>
      <c r="I97" s="68"/>
    </row>
    <row r="98" spans="1:9" ht="38.25" x14ac:dyDescent="0.25">
      <c r="A98" s="199" t="s">
        <v>1195</v>
      </c>
      <c r="B98" s="277"/>
      <c r="C98" s="271"/>
      <c r="D98" s="206"/>
      <c r="E98" s="259"/>
      <c r="F98" s="68"/>
      <c r="G98" s="68" t="s">
        <v>479</v>
      </c>
      <c r="H98" s="67" t="s">
        <v>3</v>
      </c>
      <c r="I98" s="68"/>
    </row>
    <row r="99" spans="1:9" ht="25.5" x14ac:dyDescent="0.25">
      <c r="A99" s="199" t="s">
        <v>1194</v>
      </c>
      <c r="B99" s="277"/>
      <c r="C99" s="271"/>
      <c r="D99" s="206"/>
      <c r="E99" s="259"/>
      <c r="F99" s="68"/>
      <c r="G99" s="68" t="s">
        <v>480</v>
      </c>
      <c r="H99" s="67" t="s">
        <v>3</v>
      </c>
      <c r="I99" s="68"/>
    </row>
    <row r="100" spans="1:9" ht="25.5" x14ac:dyDescent="0.25">
      <c r="A100" s="199" t="s">
        <v>1193</v>
      </c>
      <c r="B100" s="277"/>
      <c r="C100" s="271"/>
      <c r="D100" s="206"/>
      <c r="E100" s="259"/>
      <c r="F100" s="68"/>
      <c r="G100" s="68" t="s">
        <v>475</v>
      </c>
      <c r="H100" s="67" t="s">
        <v>3</v>
      </c>
      <c r="I100" s="68"/>
    </row>
    <row r="101" spans="1:9" ht="25.5" x14ac:dyDescent="0.25">
      <c r="A101" s="199" t="s">
        <v>1192</v>
      </c>
      <c r="B101" s="277"/>
      <c r="C101" s="271"/>
      <c r="D101" s="206"/>
      <c r="E101" s="260"/>
      <c r="F101" s="68"/>
      <c r="G101" s="68" t="s">
        <v>476</v>
      </c>
      <c r="H101" s="67" t="s">
        <v>3</v>
      </c>
      <c r="I101" s="68"/>
    </row>
    <row r="102" spans="1:9" x14ac:dyDescent="0.25">
      <c r="A102" s="199" t="s">
        <v>1191</v>
      </c>
      <c r="B102" s="277"/>
      <c r="C102" s="271"/>
      <c r="D102" s="77"/>
      <c r="E102" s="162"/>
      <c r="F102" s="68"/>
      <c r="G102" s="68" t="s">
        <v>1046</v>
      </c>
      <c r="H102" s="67" t="s">
        <v>3</v>
      </c>
      <c r="I102" s="68" t="s">
        <v>1306</v>
      </c>
    </row>
    <row r="103" spans="1:9" ht="63.75" x14ac:dyDescent="0.2">
      <c r="A103" s="199" t="s">
        <v>1190</v>
      </c>
      <c r="B103" s="277"/>
      <c r="C103" s="271"/>
      <c r="D103" s="206"/>
      <c r="E103" s="208" t="s">
        <v>481</v>
      </c>
      <c r="F103" s="207" t="s">
        <v>321</v>
      </c>
      <c r="G103" s="68" t="s">
        <v>482</v>
      </c>
      <c r="H103" s="67" t="s">
        <v>3</v>
      </c>
      <c r="I103" s="68"/>
    </row>
    <row r="104" spans="1:9" ht="51" x14ac:dyDescent="0.2">
      <c r="A104" s="199" t="s">
        <v>1189</v>
      </c>
      <c r="B104" s="277"/>
      <c r="C104" s="271"/>
      <c r="D104" s="206"/>
      <c r="E104" s="208"/>
      <c r="F104" s="207"/>
      <c r="G104" s="68" t="s">
        <v>483</v>
      </c>
      <c r="H104" s="67" t="s">
        <v>3</v>
      </c>
      <c r="I104" s="68"/>
    </row>
    <row r="105" spans="1:9" ht="25.5" x14ac:dyDescent="0.2">
      <c r="A105" s="199" t="s">
        <v>1188</v>
      </c>
      <c r="B105" s="277"/>
      <c r="C105" s="271"/>
      <c r="D105" s="206"/>
      <c r="E105" s="208"/>
      <c r="F105" s="207"/>
      <c r="G105" s="68" t="s">
        <v>484</v>
      </c>
      <c r="H105" s="67" t="s">
        <v>3</v>
      </c>
      <c r="I105" s="68"/>
    </row>
    <row r="106" spans="1:9" ht="25.5" x14ac:dyDescent="0.2">
      <c r="A106" s="199" t="s">
        <v>1187</v>
      </c>
      <c r="B106" s="277"/>
      <c r="C106" s="271"/>
      <c r="D106" s="206"/>
      <c r="E106" s="208"/>
      <c r="F106" s="207"/>
      <c r="G106" s="68" t="s">
        <v>475</v>
      </c>
      <c r="H106" s="67" t="s">
        <v>3</v>
      </c>
      <c r="I106" s="68"/>
    </row>
    <row r="107" spans="1:9" ht="25.5" x14ac:dyDescent="0.2">
      <c r="A107" s="199" t="s">
        <v>1186</v>
      </c>
      <c r="B107" s="277"/>
      <c r="C107" s="271"/>
      <c r="D107" s="206"/>
      <c r="E107" s="208"/>
      <c r="F107" s="207"/>
      <c r="G107" s="68" t="s">
        <v>476</v>
      </c>
      <c r="H107" s="67" t="s">
        <v>3</v>
      </c>
      <c r="I107" s="68"/>
    </row>
    <row r="108" spans="1:9" x14ac:dyDescent="0.25">
      <c r="A108" s="199" t="s">
        <v>1185</v>
      </c>
      <c r="B108" s="277"/>
      <c r="C108" s="271"/>
      <c r="D108" s="77"/>
      <c r="E108" s="162"/>
      <c r="F108" s="68"/>
      <c r="G108" s="68" t="s">
        <v>1046</v>
      </c>
      <c r="H108" s="67" t="s">
        <v>3</v>
      </c>
      <c r="I108" s="68" t="s">
        <v>1010</v>
      </c>
    </row>
    <row r="109" spans="1:9" ht="38.25" x14ac:dyDescent="0.25">
      <c r="A109" s="199" t="s">
        <v>1184</v>
      </c>
      <c r="B109" s="277"/>
      <c r="C109" s="271"/>
      <c r="D109" s="206"/>
      <c r="E109" s="258" t="s">
        <v>485</v>
      </c>
      <c r="F109" s="68" t="s">
        <v>74</v>
      </c>
      <c r="G109" s="68" t="s">
        <v>486</v>
      </c>
      <c r="H109" s="67" t="s">
        <v>3</v>
      </c>
      <c r="I109" s="68"/>
    </row>
    <row r="110" spans="1:9" ht="51" x14ac:dyDescent="0.25">
      <c r="A110" s="199" t="s">
        <v>1183</v>
      </c>
      <c r="B110" s="277"/>
      <c r="C110" s="271"/>
      <c r="D110" s="206"/>
      <c r="E110" s="259"/>
      <c r="F110" s="68"/>
      <c r="G110" s="68" t="s">
        <v>487</v>
      </c>
      <c r="H110" s="67" t="s">
        <v>3</v>
      </c>
      <c r="I110" s="68"/>
    </row>
    <row r="111" spans="1:9" ht="38.25" x14ac:dyDescent="0.25">
      <c r="A111" s="199" t="s">
        <v>1182</v>
      </c>
      <c r="B111" s="277"/>
      <c r="C111" s="271"/>
      <c r="D111" s="206"/>
      <c r="E111" s="259"/>
      <c r="F111" s="68"/>
      <c r="G111" s="68" t="s">
        <v>488</v>
      </c>
      <c r="H111" s="67" t="s">
        <v>3</v>
      </c>
      <c r="I111" s="68"/>
    </row>
    <row r="112" spans="1:9" ht="25.5" x14ac:dyDescent="0.25">
      <c r="A112" s="199" t="s">
        <v>1181</v>
      </c>
      <c r="B112" s="277"/>
      <c r="C112" s="271"/>
      <c r="D112" s="206"/>
      <c r="E112" s="259"/>
      <c r="F112" s="68"/>
      <c r="G112" s="68" t="s">
        <v>475</v>
      </c>
      <c r="H112" s="67" t="s">
        <v>3</v>
      </c>
      <c r="I112" s="68"/>
    </row>
    <row r="113" spans="1:9" ht="25.5" x14ac:dyDescent="0.25">
      <c r="A113" s="199" t="s">
        <v>1180</v>
      </c>
      <c r="B113" s="277"/>
      <c r="C113" s="271"/>
      <c r="D113" s="206"/>
      <c r="E113" s="260"/>
      <c r="F113" s="68"/>
      <c r="G113" s="68" t="s">
        <v>476</v>
      </c>
      <c r="H113" s="67" t="s">
        <v>3</v>
      </c>
      <c r="I113" s="68"/>
    </row>
    <row r="114" spans="1:9" x14ac:dyDescent="0.25">
      <c r="A114" s="199" t="s">
        <v>1179</v>
      </c>
      <c r="B114" s="277"/>
      <c r="C114" s="271"/>
      <c r="D114" s="77"/>
      <c r="E114" s="162"/>
      <c r="F114" s="68"/>
      <c r="G114" s="68" t="s">
        <v>1046</v>
      </c>
      <c r="H114" s="67" t="s">
        <v>3</v>
      </c>
      <c r="I114" s="68" t="s">
        <v>1010</v>
      </c>
    </row>
    <row r="115" spans="1:9" ht="51" x14ac:dyDescent="0.25">
      <c r="A115" s="199" t="s">
        <v>1178</v>
      </c>
      <c r="B115" s="277"/>
      <c r="C115" s="271"/>
      <c r="D115" s="206"/>
      <c r="E115" s="258" t="s">
        <v>277</v>
      </c>
      <c r="F115" s="68" t="s">
        <v>72</v>
      </c>
      <c r="G115" s="68" t="s">
        <v>489</v>
      </c>
      <c r="H115" s="67" t="s">
        <v>3</v>
      </c>
      <c r="I115" s="68"/>
    </row>
    <row r="116" spans="1:9" ht="38.25" x14ac:dyDescent="0.25">
      <c r="A116" s="199" t="s">
        <v>1177</v>
      </c>
      <c r="B116" s="277"/>
      <c r="C116" s="271"/>
      <c r="D116" s="206"/>
      <c r="E116" s="259"/>
      <c r="F116" s="68"/>
      <c r="G116" s="68" t="s">
        <v>490</v>
      </c>
      <c r="H116" s="67" t="s">
        <v>3</v>
      </c>
      <c r="I116" s="68"/>
    </row>
    <row r="117" spans="1:9" ht="25.5" x14ac:dyDescent="0.25">
      <c r="A117" s="199" t="s">
        <v>1176</v>
      </c>
      <c r="B117" s="277"/>
      <c r="C117" s="271"/>
      <c r="D117" s="206"/>
      <c r="E117" s="259"/>
      <c r="F117" s="68"/>
      <c r="G117" s="68" t="s">
        <v>491</v>
      </c>
      <c r="H117" s="67" t="s">
        <v>3</v>
      </c>
      <c r="I117" s="68" t="s">
        <v>1175</v>
      </c>
    </row>
    <row r="118" spans="1:9" ht="25.5" x14ac:dyDescent="0.25">
      <c r="A118" s="199" t="s">
        <v>1174</v>
      </c>
      <c r="B118" s="277"/>
      <c r="C118" s="271"/>
      <c r="D118" s="206"/>
      <c r="E118" s="259"/>
      <c r="F118" s="68"/>
      <c r="G118" s="68" t="s">
        <v>475</v>
      </c>
      <c r="H118" s="67" t="s">
        <v>3</v>
      </c>
      <c r="I118" s="68"/>
    </row>
    <row r="119" spans="1:9" ht="25.5" x14ac:dyDescent="0.25">
      <c r="A119" s="199" t="s">
        <v>1173</v>
      </c>
      <c r="B119" s="277"/>
      <c r="C119" s="271"/>
      <c r="D119" s="206"/>
      <c r="E119" s="260"/>
      <c r="F119" s="68"/>
      <c r="G119" s="68" t="s">
        <v>476</v>
      </c>
      <c r="H119" s="67" t="s">
        <v>3</v>
      </c>
      <c r="I119" s="68"/>
    </row>
    <row r="120" spans="1:9" x14ac:dyDescent="0.25">
      <c r="A120" s="199" t="s">
        <v>1172</v>
      </c>
      <c r="B120" s="277"/>
      <c r="C120" s="271"/>
      <c r="D120" s="77"/>
      <c r="E120" s="258" t="s">
        <v>492</v>
      </c>
      <c r="F120" s="68"/>
      <c r="G120" s="68" t="s">
        <v>1046</v>
      </c>
      <c r="H120" s="67" t="s">
        <v>3</v>
      </c>
      <c r="I120" s="68" t="s">
        <v>1010</v>
      </c>
    </row>
    <row r="121" spans="1:9" ht="51" x14ac:dyDescent="0.25">
      <c r="A121" s="199" t="s">
        <v>1171</v>
      </c>
      <c r="B121" s="277"/>
      <c r="C121" s="271"/>
      <c r="D121" s="169"/>
      <c r="E121" s="259"/>
      <c r="F121" s="68"/>
      <c r="G121" s="68" t="s">
        <v>493</v>
      </c>
      <c r="H121" s="67" t="s">
        <v>3</v>
      </c>
      <c r="I121" s="68"/>
    </row>
    <row r="122" spans="1:9" ht="25.5" x14ac:dyDescent="0.25">
      <c r="A122" s="199" t="s">
        <v>1170</v>
      </c>
      <c r="B122" s="277"/>
      <c r="C122" s="271"/>
      <c r="D122" s="169"/>
      <c r="E122" s="259"/>
      <c r="F122" s="68"/>
      <c r="G122" s="68" t="s">
        <v>1169</v>
      </c>
      <c r="H122" s="67" t="s">
        <v>3</v>
      </c>
      <c r="I122" s="68"/>
    </row>
    <row r="123" spans="1:9" ht="25.5" x14ac:dyDescent="0.25">
      <c r="A123" s="199" t="s">
        <v>1168</v>
      </c>
      <c r="B123" s="277"/>
      <c r="C123" s="271"/>
      <c r="D123" s="169"/>
      <c r="E123" s="259"/>
      <c r="F123" s="68"/>
      <c r="G123" s="68" t="s">
        <v>475</v>
      </c>
      <c r="H123" s="67" t="s">
        <v>3</v>
      </c>
      <c r="I123" s="68"/>
    </row>
    <row r="124" spans="1:9" ht="25.5" x14ac:dyDescent="0.25">
      <c r="A124" s="199" t="s">
        <v>1167</v>
      </c>
      <c r="B124" s="277"/>
      <c r="C124" s="271"/>
      <c r="D124" s="169"/>
      <c r="E124" s="260"/>
      <c r="F124" s="68"/>
      <c r="G124" s="68" t="s">
        <v>476</v>
      </c>
      <c r="H124" s="67" t="s">
        <v>3</v>
      </c>
      <c r="I124" s="68"/>
    </row>
    <row r="125" spans="1:9" x14ac:dyDescent="0.25">
      <c r="A125" s="199" t="s">
        <v>1166</v>
      </c>
      <c r="B125" s="277"/>
      <c r="C125" s="271"/>
      <c r="D125" s="77"/>
      <c r="E125" s="164"/>
      <c r="F125" s="68"/>
      <c r="G125" s="68" t="s">
        <v>1046</v>
      </c>
      <c r="H125" s="67" t="s">
        <v>3</v>
      </c>
      <c r="I125" s="68" t="s">
        <v>1010</v>
      </c>
    </row>
    <row r="126" spans="1:9" ht="51" x14ac:dyDescent="0.2">
      <c r="A126" s="199" t="s">
        <v>1165</v>
      </c>
      <c r="B126" s="277"/>
      <c r="C126" s="271"/>
      <c r="D126" s="205"/>
      <c r="E126" s="258" t="s">
        <v>494</v>
      </c>
      <c r="F126" s="68"/>
      <c r="G126" s="68" t="s">
        <v>495</v>
      </c>
      <c r="H126" s="67" t="s">
        <v>385</v>
      </c>
      <c r="I126" s="68"/>
    </row>
    <row r="127" spans="1:9" ht="63.75" x14ac:dyDescent="0.2">
      <c r="A127" s="199" t="s">
        <v>1164</v>
      </c>
      <c r="B127" s="277"/>
      <c r="C127" s="271"/>
      <c r="D127" s="205"/>
      <c r="E127" s="259"/>
      <c r="F127" s="68"/>
      <c r="G127" s="68" t="s">
        <v>496</v>
      </c>
      <c r="H127" s="67" t="s">
        <v>385</v>
      </c>
      <c r="I127" s="68" t="s">
        <v>1163</v>
      </c>
    </row>
    <row r="128" spans="1:9" ht="25.5" x14ac:dyDescent="0.2">
      <c r="A128" s="199" t="s">
        <v>1162</v>
      </c>
      <c r="B128" s="277"/>
      <c r="C128" s="271"/>
      <c r="D128" s="205"/>
      <c r="E128" s="259"/>
      <c r="F128" s="68"/>
      <c r="G128" s="68" t="s">
        <v>497</v>
      </c>
      <c r="H128" s="67" t="s">
        <v>385</v>
      </c>
      <c r="I128" s="68"/>
    </row>
    <row r="129" spans="1:14" ht="25.5" x14ac:dyDescent="0.2">
      <c r="A129" s="199" t="s">
        <v>1161</v>
      </c>
      <c r="B129" s="277"/>
      <c r="C129" s="271"/>
      <c r="D129" s="205"/>
      <c r="E129" s="259"/>
      <c r="F129" s="68"/>
      <c r="G129" s="68" t="s">
        <v>1160</v>
      </c>
      <c r="H129" s="67" t="s">
        <v>385</v>
      </c>
      <c r="I129" s="68"/>
    </row>
    <row r="130" spans="1:14" ht="25.5" x14ac:dyDescent="0.2">
      <c r="A130" s="199" t="s">
        <v>1159</v>
      </c>
      <c r="B130" s="277"/>
      <c r="C130" s="271"/>
      <c r="D130" s="205"/>
      <c r="E130" s="260"/>
      <c r="F130" s="68"/>
      <c r="G130" s="68" t="s">
        <v>476</v>
      </c>
      <c r="H130" s="67" t="s">
        <v>385</v>
      </c>
      <c r="I130" s="68"/>
    </row>
    <row r="131" spans="1:14" x14ac:dyDescent="0.25">
      <c r="A131" s="199" t="s">
        <v>1158</v>
      </c>
      <c r="B131" s="277"/>
      <c r="C131" s="271"/>
      <c r="D131" s="77"/>
      <c r="E131" s="164"/>
      <c r="F131" s="68"/>
      <c r="G131" s="68" t="s">
        <v>1046</v>
      </c>
      <c r="H131" s="67" t="s">
        <v>385</v>
      </c>
      <c r="I131" s="68" t="s">
        <v>1010</v>
      </c>
    </row>
    <row r="132" spans="1:14" ht="102" x14ac:dyDescent="0.25">
      <c r="A132" s="199" t="s">
        <v>1157</v>
      </c>
      <c r="B132" s="277"/>
      <c r="C132" s="271"/>
      <c r="D132" s="76" t="s">
        <v>31</v>
      </c>
      <c r="E132" s="273"/>
      <c r="F132" s="68" t="s">
        <v>32</v>
      </c>
      <c r="G132" s="74" t="s">
        <v>498</v>
      </c>
      <c r="H132" s="67" t="s">
        <v>3</v>
      </c>
      <c r="I132" s="68"/>
      <c r="J132" s="111"/>
      <c r="K132" s="111"/>
      <c r="L132" s="111"/>
      <c r="M132" s="111"/>
      <c r="N132" s="111"/>
    </row>
    <row r="133" spans="1:14" x14ac:dyDescent="0.25">
      <c r="A133" s="199" t="s">
        <v>1156</v>
      </c>
      <c r="B133" s="277"/>
      <c r="C133" s="271"/>
      <c r="D133" s="77"/>
      <c r="E133" s="274"/>
      <c r="F133" s="68"/>
      <c r="G133" s="68" t="s">
        <v>499</v>
      </c>
      <c r="H133" s="67" t="s">
        <v>3</v>
      </c>
      <c r="I133" s="68"/>
      <c r="J133" s="111"/>
      <c r="K133" s="111"/>
      <c r="L133" s="111"/>
      <c r="M133" s="111"/>
      <c r="N133" s="111"/>
    </row>
    <row r="134" spans="1:14" ht="25.5" x14ac:dyDescent="0.25">
      <c r="A134" s="199" t="s">
        <v>1155</v>
      </c>
      <c r="B134" s="277"/>
      <c r="C134" s="271"/>
      <c r="D134" s="77"/>
      <c r="E134" s="274"/>
      <c r="F134" s="68"/>
      <c r="G134" s="68" t="s">
        <v>500</v>
      </c>
      <c r="H134" s="67" t="s">
        <v>3</v>
      </c>
      <c r="I134" s="68"/>
      <c r="J134" s="111"/>
      <c r="K134" s="111"/>
      <c r="L134" s="111"/>
      <c r="M134" s="111"/>
      <c r="N134" s="111"/>
    </row>
    <row r="135" spans="1:14" ht="25.5" x14ac:dyDescent="0.25">
      <c r="A135" s="199" t="s">
        <v>1154</v>
      </c>
      <c r="B135" s="277"/>
      <c r="C135" s="271"/>
      <c r="D135" s="77"/>
      <c r="E135" s="274"/>
      <c r="F135" s="68"/>
      <c r="G135" s="68" t="s">
        <v>501</v>
      </c>
      <c r="H135" s="67" t="s">
        <v>3</v>
      </c>
      <c r="I135" s="68"/>
      <c r="J135" s="111"/>
      <c r="K135" s="111"/>
      <c r="L135" s="111"/>
      <c r="M135" s="111"/>
      <c r="N135" s="111"/>
    </row>
    <row r="136" spans="1:14" x14ac:dyDescent="0.25">
      <c r="A136" s="199" t="s">
        <v>1153</v>
      </c>
      <c r="B136" s="277"/>
      <c r="C136" s="271"/>
      <c r="D136" s="77"/>
      <c r="E136" s="274"/>
      <c r="F136" s="68"/>
      <c r="G136" s="68" t="s">
        <v>502</v>
      </c>
      <c r="H136" s="67" t="s">
        <v>3</v>
      </c>
      <c r="I136" s="68"/>
      <c r="J136" s="111"/>
      <c r="K136" s="111"/>
      <c r="L136" s="111"/>
      <c r="M136" s="111"/>
      <c r="N136" s="111"/>
    </row>
    <row r="137" spans="1:14" ht="25.5" x14ac:dyDescent="0.25">
      <c r="A137" s="199" t="s">
        <v>1152</v>
      </c>
      <c r="B137" s="277"/>
      <c r="C137" s="271"/>
      <c r="D137" s="77"/>
      <c r="E137" s="274"/>
      <c r="F137" s="68"/>
      <c r="G137" s="68" t="s">
        <v>503</v>
      </c>
      <c r="H137" s="67" t="s">
        <v>385</v>
      </c>
      <c r="I137" s="68"/>
      <c r="J137" s="111"/>
      <c r="K137" s="111"/>
      <c r="L137" s="111"/>
      <c r="M137" s="111"/>
      <c r="N137" s="111"/>
    </row>
    <row r="138" spans="1:14" ht="102" x14ac:dyDescent="0.25">
      <c r="A138" s="199" t="s">
        <v>1151</v>
      </c>
      <c r="B138" s="277"/>
      <c r="C138" s="271"/>
      <c r="D138" s="77"/>
      <c r="E138" s="274"/>
      <c r="F138" s="68"/>
      <c r="G138" s="68" t="s">
        <v>1150</v>
      </c>
      <c r="H138" s="67" t="s">
        <v>385</v>
      </c>
      <c r="I138" s="68"/>
      <c r="J138" s="111"/>
      <c r="K138" s="111"/>
      <c r="L138" s="111"/>
      <c r="M138" s="111"/>
      <c r="N138" s="111"/>
    </row>
    <row r="139" spans="1:14" ht="25.5" x14ac:dyDescent="0.25">
      <c r="A139" s="199" t="s">
        <v>1149</v>
      </c>
      <c r="B139" s="277"/>
      <c r="C139" s="271"/>
      <c r="D139" s="78"/>
      <c r="E139" s="275"/>
      <c r="F139" s="68"/>
      <c r="G139" s="68" t="s">
        <v>1148</v>
      </c>
      <c r="H139" s="67" t="s">
        <v>385</v>
      </c>
      <c r="I139" s="68"/>
      <c r="J139" s="111"/>
      <c r="K139" s="111"/>
      <c r="L139" s="111"/>
      <c r="M139" s="111"/>
      <c r="N139" s="111"/>
    </row>
    <row r="140" spans="1:14" x14ac:dyDescent="0.25">
      <c r="A140" s="199" t="s">
        <v>1147</v>
      </c>
      <c r="B140" s="277"/>
      <c r="C140" s="271"/>
      <c r="D140" s="77"/>
      <c r="E140" s="164"/>
      <c r="F140" s="68"/>
      <c r="G140" s="68" t="s">
        <v>1146</v>
      </c>
      <c r="H140" s="67" t="s">
        <v>385</v>
      </c>
      <c r="I140" s="68" t="s">
        <v>1010</v>
      </c>
    </row>
    <row r="141" spans="1:14" ht="63.75" x14ac:dyDescent="0.25">
      <c r="A141" s="199" t="s">
        <v>1145</v>
      </c>
      <c r="B141" s="277"/>
      <c r="C141" s="271"/>
      <c r="D141" s="76" t="s">
        <v>1144</v>
      </c>
      <c r="E141" s="273" t="s">
        <v>504</v>
      </c>
      <c r="F141" s="68"/>
      <c r="G141" s="68" t="s">
        <v>1143</v>
      </c>
      <c r="H141" s="67" t="s">
        <v>3</v>
      </c>
      <c r="I141" s="68"/>
      <c r="J141" s="111"/>
      <c r="K141" s="111"/>
      <c r="L141" s="111"/>
      <c r="M141" s="111"/>
      <c r="N141" s="111"/>
    </row>
    <row r="142" spans="1:14" ht="25.5" x14ac:dyDescent="0.25">
      <c r="A142" s="199" t="s">
        <v>1142</v>
      </c>
      <c r="B142" s="277"/>
      <c r="C142" s="271"/>
      <c r="D142" s="77"/>
      <c r="E142" s="274"/>
      <c r="F142" s="68"/>
      <c r="G142" s="68" t="s">
        <v>1141</v>
      </c>
      <c r="H142" s="67" t="s">
        <v>3</v>
      </c>
      <c r="I142" s="68"/>
      <c r="J142" s="111"/>
      <c r="K142" s="111"/>
      <c r="L142" s="111"/>
      <c r="M142" s="111"/>
      <c r="N142" s="111"/>
    </row>
    <row r="143" spans="1:14" ht="38.25" x14ac:dyDescent="0.25">
      <c r="A143" s="199" t="s">
        <v>1140</v>
      </c>
      <c r="B143" s="277"/>
      <c r="C143" s="271"/>
      <c r="D143" s="77"/>
      <c r="E143" s="274"/>
      <c r="F143" s="68"/>
      <c r="G143" s="68" t="s">
        <v>1139</v>
      </c>
      <c r="H143" s="67" t="s">
        <v>3</v>
      </c>
      <c r="I143" s="68"/>
      <c r="J143" s="111"/>
      <c r="K143" s="111"/>
      <c r="L143" s="111"/>
      <c r="M143" s="111"/>
      <c r="N143" s="111"/>
    </row>
    <row r="144" spans="1:14" ht="25.5" x14ac:dyDescent="0.25">
      <c r="A144" s="199" t="s">
        <v>1138</v>
      </c>
      <c r="B144" s="277"/>
      <c r="C144" s="271"/>
      <c r="D144" s="77"/>
      <c r="E144" s="274"/>
      <c r="F144" s="68"/>
      <c r="G144" s="68" t="s">
        <v>1125</v>
      </c>
      <c r="H144" s="67" t="s">
        <v>3</v>
      </c>
      <c r="I144" s="68"/>
      <c r="J144" s="111"/>
      <c r="K144" s="111"/>
      <c r="L144" s="111"/>
      <c r="M144" s="111"/>
      <c r="N144" s="111"/>
    </row>
    <row r="145" spans="1:14" ht="38.25" x14ac:dyDescent="0.25">
      <c r="A145" s="199" t="s">
        <v>1137</v>
      </c>
      <c r="B145" s="277"/>
      <c r="C145" s="271"/>
      <c r="D145" s="77"/>
      <c r="E145" s="274"/>
      <c r="F145" s="68"/>
      <c r="G145" s="68" t="s">
        <v>1136</v>
      </c>
      <c r="H145" s="67" t="s">
        <v>3</v>
      </c>
      <c r="I145" s="68"/>
      <c r="J145" s="111"/>
      <c r="K145" s="111"/>
      <c r="L145" s="111"/>
      <c r="M145" s="111"/>
      <c r="N145" s="111"/>
    </row>
    <row r="146" spans="1:14" ht="25.5" x14ac:dyDescent="0.25">
      <c r="A146" s="199" t="s">
        <v>1135</v>
      </c>
      <c r="B146" s="277"/>
      <c r="C146" s="271"/>
      <c r="D146" s="77"/>
      <c r="E146" s="274"/>
      <c r="F146" s="68"/>
      <c r="G146" s="68" t="s">
        <v>1134</v>
      </c>
      <c r="H146" s="67" t="s">
        <v>3</v>
      </c>
      <c r="I146" s="68"/>
      <c r="J146" s="111"/>
      <c r="K146" s="111"/>
      <c r="L146" s="111"/>
      <c r="M146" s="111"/>
      <c r="N146" s="111"/>
    </row>
    <row r="147" spans="1:14" ht="25.5" x14ac:dyDescent="0.25">
      <c r="A147" s="199" t="s">
        <v>1133</v>
      </c>
      <c r="B147" s="277"/>
      <c r="C147" s="271"/>
      <c r="D147" s="77"/>
      <c r="E147" s="274"/>
      <c r="F147" s="68"/>
      <c r="G147" s="68" t="s">
        <v>1132</v>
      </c>
      <c r="H147" s="67" t="s">
        <v>3</v>
      </c>
      <c r="I147" s="68"/>
      <c r="J147" s="111"/>
      <c r="K147" s="111"/>
      <c r="L147" s="111"/>
      <c r="M147" s="111"/>
      <c r="N147" s="111"/>
    </row>
    <row r="148" spans="1:14" ht="25.5" x14ac:dyDescent="0.25">
      <c r="A148" s="199" t="s">
        <v>1131</v>
      </c>
      <c r="B148" s="277"/>
      <c r="C148" s="271"/>
      <c r="D148" s="77"/>
      <c r="E148" s="275"/>
      <c r="F148" s="68"/>
      <c r="G148" s="68" t="s">
        <v>446</v>
      </c>
      <c r="H148" s="67" t="s">
        <v>3</v>
      </c>
      <c r="I148" s="68"/>
      <c r="J148" s="111"/>
      <c r="K148" s="111"/>
      <c r="L148" s="111"/>
      <c r="M148" s="111"/>
      <c r="N148" s="111"/>
    </row>
    <row r="149" spans="1:14" x14ac:dyDescent="0.25">
      <c r="A149" s="199" t="s">
        <v>1130</v>
      </c>
      <c r="B149" s="277"/>
      <c r="C149" s="271"/>
      <c r="D149" s="77"/>
      <c r="E149" s="164"/>
      <c r="F149" s="68"/>
      <c r="G149" s="68" t="s">
        <v>1116</v>
      </c>
      <c r="H149" s="67" t="s">
        <v>3</v>
      </c>
      <c r="I149" s="68" t="s">
        <v>1010</v>
      </c>
    </row>
    <row r="150" spans="1:14" ht="63.75" x14ac:dyDescent="0.25">
      <c r="A150" s="199" t="s">
        <v>1129</v>
      </c>
      <c r="B150" s="277"/>
      <c r="C150" s="271"/>
      <c r="D150" s="77"/>
      <c r="E150" s="273" t="s">
        <v>84</v>
      </c>
      <c r="F150" s="68"/>
      <c r="G150" s="68" t="s">
        <v>505</v>
      </c>
      <c r="H150" s="67" t="s">
        <v>3</v>
      </c>
      <c r="I150" s="68"/>
      <c r="J150" s="111"/>
      <c r="K150" s="111"/>
      <c r="L150" s="111"/>
      <c r="M150" s="111"/>
      <c r="N150" s="111"/>
    </row>
    <row r="151" spans="1:14" x14ac:dyDescent="0.25">
      <c r="A151" s="199" t="s">
        <v>1128</v>
      </c>
      <c r="B151" s="277"/>
      <c r="C151" s="271"/>
      <c r="D151" s="77"/>
      <c r="E151" s="274"/>
      <c r="F151" s="68"/>
      <c r="G151" s="68" t="s">
        <v>506</v>
      </c>
      <c r="H151" s="67" t="s">
        <v>3</v>
      </c>
      <c r="I151" s="68"/>
      <c r="J151" s="111"/>
      <c r="K151" s="111"/>
      <c r="L151" s="111"/>
      <c r="M151" s="111"/>
      <c r="N151" s="111"/>
    </row>
    <row r="152" spans="1:14" ht="25.5" x14ac:dyDescent="0.25">
      <c r="A152" s="199" t="s">
        <v>1127</v>
      </c>
      <c r="B152" s="277"/>
      <c r="C152" s="271"/>
      <c r="D152" s="77"/>
      <c r="E152" s="274"/>
      <c r="F152" s="68"/>
      <c r="G152" s="68" t="s">
        <v>507</v>
      </c>
      <c r="H152" s="67" t="s">
        <v>3</v>
      </c>
      <c r="I152" s="68"/>
      <c r="J152" s="111"/>
      <c r="K152" s="111"/>
      <c r="L152" s="111"/>
      <c r="M152" s="111"/>
      <c r="N152" s="111"/>
    </row>
    <row r="153" spans="1:14" ht="25.5" x14ac:dyDescent="0.25">
      <c r="A153" s="199" t="s">
        <v>1126</v>
      </c>
      <c r="B153" s="277"/>
      <c r="C153" s="271"/>
      <c r="D153" s="77"/>
      <c r="E153" s="274"/>
      <c r="F153" s="68"/>
      <c r="G153" s="68" t="s">
        <v>1125</v>
      </c>
      <c r="H153" s="67" t="s">
        <v>3</v>
      </c>
      <c r="I153" s="68"/>
      <c r="J153" s="111"/>
      <c r="K153" s="111"/>
      <c r="L153" s="111"/>
      <c r="M153" s="111"/>
      <c r="N153" s="111"/>
    </row>
    <row r="154" spans="1:14" ht="25.5" x14ac:dyDescent="0.25">
      <c r="A154" s="199" t="s">
        <v>1124</v>
      </c>
      <c r="B154" s="277"/>
      <c r="C154" s="271"/>
      <c r="D154" s="77"/>
      <c r="E154" s="274"/>
      <c r="F154" s="68"/>
      <c r="G154" s="68" t="s">
        <v>1123</v>
      </c>
      <c r="H154" s="67" t="s">
        <v>3</v>
      </c>
      <c r="I154" s="68"/>
      <c r="J154" s="111"/>
      <c r="K154" s="111"/>
      <c r="L154" s="111"/>
      <c r="M154" s="111"/>
      <c r="N154" s="111"/>
    </row>
    <row r="155" spans="1:14" ht="38.25" x14ac:dyDescent="0.25">
      <c r="A155" s="199" t="s">
        <v>1122</v>
      </c>
      <c r="B155" s="277"/>
      <c r="C155" s="271"/>
      <c r="D155" s="77"/>
      <c r="E155" s="274"/>
      <c r="F155" s="68"/>
      <c r="G155" s="68" t="s">
        <v>1121</v>
      </c>
      <c r="H155" s="67" t="s">
        <v>3</v>
      </c>
      <c r="I155" s="68"/>
      <c r="J155" s="111"/>
      <c r="K155" s="111"/>
      <c r="L155" s="111"/>
      <c r="M155" s="111"/>
      <c r="N155" s="111"/>
    </row>
    <row r="156" spans="1:14" ht="25.5" x14ac:dyDescent="0.25">
      <c r="A156" s="199" t="s">
        <v>1120</v>
      </c>
      <c r="B156" s="277"/>
      <c r="C156" s="271"/>
      <c r="D156" s="77"/>
      <c r="E156" s="274"/>
      <c r="F156" s="68"/>
      <c r="G156" s="68" t="s">
        <v>1119</v>
      </c>
      <c r="H156" s="67" t="s">
        <v>3</v>
      </c>
      <c r="I156" s="68"/>
      <c r="J156" s="111"/>
      <c r="K156" s="111"/>
      <c r="L156" s="111"/>
      <c r="M156" s="111"/>
      <c r="N156" s="111"/>
    </row>
    <row r="157" spans="1:14" ht="25.5" x14ac:dyDescent="0.25">
      <c r="A157" s="199" t="s">
        <v>1118</v>
      </c>
      <c r="B157" s="277"/>
      <c r="C157" s="271"/>
      <c r="D157" s="78"/>
      <c r="E157" s="275"/>
      <c r="F157" s="68"/>
      <c r="G157" s="68" t="s">
        <v>446</v>
      </c>
      <c r="H157" s="67" t="s">
        <v>3</v>
      </c>
      <c r="I157" s="68"/>
      <c r="J157" s="111"/>
      <c r="K157" s="111"/>
      <c r="L157" s="111"/>
      <c r="M157" s="111"/>
      <c r="N157" s="111"/>
    </row>
    <row r="158" spans="1:14" x14ac:dyDescent="0.25">
      <c r="A158" s="199" t="s">
        <v>1117</v>
      </c>
      <c r="B158" s="277"/>
      <c r="C158" s="271"/>
      <c r="D158" s="77"/>
      <c r="E158" s="164"/>
      <c r="F158" s="68"/>
      <c r="G158" s="68" t="s">
        <v>1116</v>
      </c>
      <c r="H158" s="67" t="s">
        <v>3</v>
      </c>
      <c r="I158" s="68" t="s">
        <v>1010</v>
      </c>
    </row>
    <row r="159" spans="1:14" ht="38.25" x14ac:dyDescent="0.25">
      <c r="A159" s="199" t="s">
        <v>1115</v>
      </c>
      <c r="B159" s="277"/>
      <c r="C159" s="271"/>
      <c r="D159" s="76" t="s">
        <v>78</v>
      </c>
      <c r="E159" s="273"/>
      <c r="F159" s="68"/>
      <c r="G159" s="68" t="s">
        <v>508</v>
      </c>
      <c r="H159" s="67" t="s">
        <v>3</v>
      </c>
      <c r="I159" s="68"/>
      <c r="J159" s="111"/>
      <c r="K159" s="111"/>
      <c r="L159" s="111"/>
      <c r="M159" s="111"/>
      <c r="N159" s="111"/>
    </row>
    <row r="160" spans="1:14" ht="63.75" x14ac:dyDescent="0.25">
      <c r="A160" s="199" t="s">
        <v>1114</v>
      </c>
      <c r="B160" s="277"/>
      <c r="C160" s="271"/>
      <c r="D160" s="77"/>
      <c r="E160" s="274"/>
      <c r="F160" s="68"/>
      <c r="G160" s="68" t="s">
        <v>509</v>
      </c>
      <c r="H160" s="67" t="s">
        <v>3</v>
      </c>
      <c r="I160" s="68"/>
      <c r="J160" s="111"/>
      <c r="K160" s="111"/>
      <c r="L160" s="111"/>
      <c r="M160" s="111"/>
      <c r="N160" s="111"/>
    </row>
    <row r="161" spans="1:14" ht="25.5" x14ac:dyDescent="0.25">
      <c r="A161" s="199" t="s">
        <v>1113</v>
      </c>
      <c r="B161" s="277"/>
      <c r="C161" s="271"/>
      <c r="D161" s="78"/>
      <c r="E161" s="275"/>
      <c r="F161" s="68"/>
      <c r="G161" s="68" t="s">
        <v>438</v>
      </c>
      <c r="H161" s="67" t="s">
        <v>3</v>
      </c>
      <c r="I161" s="68"/>
      <c r="J161" s="111"/>
      <c r="K161" s="111"/>
      <c r="L161" s="111"/>
      <c r="M161" s="111"/>
      <c r="N161" s="111"/>
    </row>
    <row r="162" spans="1:14" x14ac:dyDescent="0.25">
      <c r="A162" s="199" t="s">
        <v>1112</v>
      </c>
      <c r="B162" s="277"/>
      <c r="C162" s="271"/>
      <c r="D162" s="77"/>
      <c r="E162" s="164"/>
      <c r="F162" s="68"/>
      <c r="G162" s="68" t="s">
        <v>1111</v>
      </c>
      <c r="H162" s="67" t="s">
        <v>3</v>
      </c>
      <c r="I162" s="68" t="s">
        <v>1010</v>
      </c>
    </row>
    <row r="163" spans="1:14" ht="51" x14ac:dyDescent="0.25">
      <c r="A163" s="199" t="s">
        <v>1110</v>
      </c>
      <c r="B163" s="277"/>
      <c r="C163" s="271"/>
      <c r="D163" s="273" t="s">
        <v>79</v>
      </c>
      <c r="E163" s="273"/>
      <c r="F163" s="68"/>
      <c r="G163" s="68" t="s">
        <v>510</v>
      </c>
      <c r="H163" s="67" t="s">
        <v>3</v>
      </c>
      <c r="I163" s="68"/>
      <c r="J163" s="111"/>
      <c r="K163" s="111"/>
      <c r="L163" s="111"/>
      <c r="M163" s="111"/>
      <c r="N163" s="111"/>
    </row>
    <row r="164" spans="1:14" ht="38.25" x14ac:dyDescent="0.25">
      <c r="A164" s="199" t="s">
        <v>1109</v>
      </c>
      <c r="B164" s="277"/>
      <c r="C164" s="271"/>
      <c r="D164" s="274"/>
      <c r="E164" s="274"/>
      <c r="F164" s="68"/>
      <c r="G164" s="68" t="s">
        <v>511</v>
      </c>
      <c r="H164" s="67" t="s">
        <v>3</v>
      </c>
      <c r="I164" s="68"/>
      <c r="J164" s="111"/>
      <c r="K164" s="111"/>
      <c r="L164" s="111"/>
      <c r="M164" s="111"/>
      <c r="N164" s="111"/>
    </row>
    <row r="165" spans="1:14" x14ac:dyDescent="0.25">
      <c r="A165" s="199" t="s">
        <v>1108</v>
      </c>
      <c r="B165" s="277"/>
      <c r="C165" s="271"/>
      <c r="D165" s="274"/>
      <c r="E165" s="274"/>
      <c r="F165" s="68"/>
      <c r="G165" s="68" t="s">
        <v>512</v>
      </c>
      <c r="H165" s="67" t="s">
        <v>3</v>
      </c>
      <c r="I165" s="68"/>
      <c r="J165" s="111"/>
      <c r="K165" s="111"/>
      <c r="L165" s="111"/>
      <c r="M165" s="111"/>
      <c r="N165" s="111"/>
    </row>
    <row r="166" spans="1:14" x14ac:dyDescent="0.25">
      <c r="A166" s="199" t="s">
        <v>1107</v>
      </c>
      <c r="B166" s="277"/>
      <c r="C166" s="271"/>
      <c r="D166" s="274"/>
      <c r="E166" s="274"/>
      <c r="F166" s="68"/>
      <c r="G166" s="68" t="s">
        <v>513</v>
      </c>
      <c r="H166" s="67" t="s">
        <v>3</v>
      </c>
      <c r="I166" s="68"/>
      <c r="J166" s="111"/>
      <c r="K166" s="111"/>
      <c r="L166" s="111"/>
      <c r="M166" s="111"/>
      <c r="N166" s="111"/>
    </row>
    <row r="167" spans="1:14" ht="25.5" x14ac:dyDescent="0.25">
      <c r="A167" s="199" t="s">
        <v>1106</v>
      </c>
      <c r="B167" s="277"/>
      <c r="C167" s="271"/>
      <c r="D167" s="274"/>
      <c r="E167" s="274"/>
      <c r="F167" s="68"/>
      <c r="G167" s="68" t="s">
        <v>514</v>
      </c>
      <c r="H167" s="67" t="s">
        <v>3</v>
      </c>
      <c r="I167" s="68"/>
      <c r="J167" s="111"/>
      <c r="K167" s="111"/>
      <c r="L167" s="111"/>
      <c r="M167" s="111"/>
      <c r="N167" s="111"/>
    </row>
    <row r="168" spans="1:14" ht="25.5" x14ac:dyDescent="0.25">
      <c r="A168" s="199" t="s">
        <v>1105</v>
      </c>
      <c r="B168" s="277"/>
      <c r="C168" s="271"/>
      <c r="D168" s="275"/>
      <c r="E168" s="275"/>
      <c r="F168" s="68"/>
      <c r="G168" s="68" t="s">
        <v>1104</v>
      </c>
      <c r="H168" s="67" t="s">
        <v>3</v>
      </c>
      <c r="I168" s="68" t="s">
        <v>1103</v>
      </c>
      <c r="J168" s="111"/>
      <c r="K168" s="111"/>
      <c r="L168" s="111"/>
      <c r="M168" s="111"/>
      <c r="N168" s="111"/>
    </row>
    <row r="169" spans="1:14" x14ac:dyDescent="0.25">
      <c r="A169" s="199" t="s">
        <v>1102</v>
      </c>
      <c r="B169" s="277"/>
      <c r="C169" s="271"/>
      <c r="D169" s="77"/>
      <c r="E169" s="164"/>
      <c r="F169" s="68"/>
      <c r="G169" s="68" t="s">
        <v>1079</v>
      </c>
      <c r="H169" s="67" t="s">
        <v>3</v>
      </c>
      <c r="I169" s="68" t="s">
        <v>1010</v>
      </c>
    </row>
    <row r="170" spans="1:14" ht="51" x14ac:dyDescent="0.25">
      <c r="A170" s="199" t="s">
        <v>1101</v>
      </c>
      <c r="B170" s="277"/>
      <c r="C170" s="271"/>
      <c r="D170" s="273" t="s">
        <v>33</v>
      </c>
      <c r="E170" s="273"/>
      <c r="F170" s="68"/>
      <c r="G170" s="68" t="s">
        <v>515</v>
      </c>
      <c r="H170" s="67" t="s">
        <v>3</v>
      </c>
      <c r="I170" s="68"/>
      <c r="J170" s="111"/>
      <c r="K170" s="111"/>
      <c r="L170" s="111"/>
      <c r="M170" s="111"/>
      <c r="N170" s="111"/>
    </row>
    <row r="171" spans="1:14" ht="25.5" x14ac:dyDescent="0.25">
      <c r="A171" s="199" t="s">
        <v>1100</v>
      </c>
      <c r="B171" s="277"/>
      <c r="C171" s="271"/>
      <c r="D171" s="274"/>
      <c r="E171" s="274"/>
      <c r="F171" s="68"/>
      <c r="G171" s="68" t="s">
        <v>516</v>
      </c>
      <c r="H171" s="67" t="s">
        <v>3</v>
      </c>
      <c r="I171" s="68"/>
      <c r="J171" s="111"/>
      <c r="K171" s="111"/>
      <c r="L171" s="111"/>
      <c r="M171" s="111"/>
      <c r="N171" s="111"/>
    </row>
    <row r="172" spans="1:14" x14ac:dyDescent="0.25">
      <c r="A172" s="199" t="s">
        <v>1099</v>
      </c>
      <c r="B172" s="277"/>
      <c r="C172" s="271"/>
      <c r="D172" s="274"/>
      <c r="E172" s="274"/>
      <c r="F172" s="68"/>
      <c r="G172" s="68" t="s">
        <v>517</v>
      </c>
      <c r="H172" s="67" t="s">
        <v>3</v>
      </c>
      <c r="I172" s="68"/>
      <c r="J172" s="111"/>
      <c r="K172" s="111"/>
      <c r="L172" s="111"/>
      <c r="M172" s="111"/>
      <c r="N172" s="111"/>
    </row>
    <row r="173" spans="1:14" ht="25.5" x14ac:dyDescent="0.25">
      <c r="A173" s="199" t="s">
        <v>1098</v>
      </c>
      <c r="B173" s="277"/>
      <c r="C173" s="271"/>
      <c r="D173" s="274"/>
      <c r="E173" s="274"/>
      <c r="F173" s="68"/>
      <c r="G173" s="68" t="s">
        <v>518</v>
      </c>
      <c r="H173" s="67" t="s">
        <v>3</v>
      </c>
      <c r="I173" s="68"/>
      <c r="J173" s="111"/>
      <c r="K173" s="111"/>
      <c r="L173" s="111"/>
      <c r="M173" s="111"/>
      <c r="N173" s="111"/>
    </row>
    <row r="174" spans="1:14" x14ac:dyDescent="0.25">
      <c r="A174" s="199" t="s">
        <v>1097</v>
      </c>
      <c r="B174" s="277"/>
      <c r="C174" s="271"/>
      <c r="D174" s="274"/>
      <c r="E174" s="274"/>
      <c r="F174" s="68"/>
      <c r="G174" s="68" t="s">
        <v>519</v>
      </c>
      <c r="H174" s="67" t="s">
        <v>3</v>
      </c>
      <c r="I174" s="68"/>
      <c r="J174" s="111"/>
      <c r="K174" s="111"/>
      <c r="L174" s="111"/>
      <c r="M174" s="111"/>
      <c r="N174" s="111"/>
    </row>
    <row r="175" spans="1:14" x14ac:dyDescent="0.25">
      <c r="A175" s="199" t="s">
        <v>1096</v>
      </c>
      <c r="B175" s="277"/>
      <c r="C175" s="271"/>
      <c r="D175" s="274"/>
      <c r="E175" s="274"/>
      <c r="F175" s="68"/>
      <c r="G175" s="68" t="s">
        <v>520</v>
      </c>
      <c r="H175" s="67" t="s">
        <v>3</v>
      </c>
      <c r="I175" s="68"/>
      <c r="J175" s="111"/>
      <c r="K175" s="111"/>
      <c r="L175" s="111"/>
      <c r="M175" s="111"/>
      <c r="N175" s="111"/>
    </row>
    <row r="176" spans="1:14" ht="25.5" x14ac:dyDescent="0.25">
      <c r="A176" s="199" t="s">
        <v>1095</v>
      </c>
      <c r="B176" s="277"/>
      <c r="C176" s="271"/>
      <c r="D176" s="275"/>
      <c r="E176" s="275"/>
      <c r="F176" s="68"/>
      <c r="G176" s="68" t="s">
        <v>521</v>
      </c>
      <c r="H176" s="67" t="s">
        <v>3</v>
      </c>
      <c r="I176" s="68"/>
      <c r="J176" s="111"/>
      <c r="K176" s="111"/>
      <c r="L176" s="111"/>
      <c r="M176" s="111"/>
      <c r="N176" s="111"/>
    </row>
    <row r="177" spans="1:14" x14ac:dyDescent="0.25">
      <c r="A177" s="199" t="s">
        <v>1094</v>
      </c>
      <c r="B177" s="277"/>
      <c r="C177" s="271"/>
      <c r="D177" s="77"/>
      <c r="E177" s="164"/>
      <c r="F177" s="68"/>
      <c r="G177" s="68" t="s">
        <v>1011</v>
      </c>
      <c r="H177" s="67" t="s">
        <v>3</v>
      </c>
      <c r="I177" s="68" t="s">
        <v>1010</v>
      </c>
    </row>
    <row r="178" spans="1:14" ht="51" x14ac:dyDescent="0.25">
      <c r="A178" s="199" t="s">
        <v>1093</v>
      </c>
      <c r="B178" s="277"/>
      <c r="C178" s="271"/>
      <c r="D178" s="273" t="s">
        <v>522</v>
      </c>
      <c r="E178" s="273" t="s">
        <v>523</v>
      </c>
      <c r="F178" s="68"/>
      <c r="G178" s="68" t="s">
        <v>524</v>
      </c>
      <c r="H178" s="67" t="s">
        <v>3</v>
      </c>
      <c r="I178" s="68"/>
      <c r="J178" s="111"/>
      <c r="K178" s="111"/>
      <c r="L178" s="111"/>
      <c r="M178" s="111"/>
      <c r="N178" s="111"/>
    </row>
    <row r="179" spans="1:14" ht="38.25" x14ac:dyDescent="0.25">
      <c r="A179" s="199" t="s">
        <v>1092</v>
      </c>
      <c r="B179" s="277"/>
      <c r="C179" s="271"/>
      <c r="D179" s="274"/>
      <c r="E179" s="274"/>
      <c r="F179" s="68"/>
      <c r="G179" s="68" t="s">
        <v>525</v>
      </c>
      <c r="H179" s="67" t="s">
        <v>3</v>
      </c>
      <c r="I179" s="68"/>
      <c r="J179" s="111"/>
      <c r="K179" s="111"/>
      <c r="L179" s="111"/>
      <c r="M179" s="111"/>
      <c r="N179" s="111"/>
    </row>
    <row r="180" spans="1:14" ht="38.25" x14ac:dyDescent="0.25">
      <c r="A180" s="199" t="s">
        <v>1091</v>
      </c>
      <c r="B180" s="277"/>
      <c r="C180" s="271"/>
      <c r="D180" s="274"/>
      <c r="E180" s="274"/>
      <c r="F180" s="68"/>
      <c r="G180" s="68" t="s">
        <v>526</v>
      </c>
      <c r="H180" s="67" t="s">
        <v>3</v>
      </c>
      <c r="I180" s="68"/>
      <c r="J180" s="111"/>
      <c r="K180" s="111"/>
      <c r="L180" s="111"/>
      <c r="M180" s="111"/>
      <c r="N180" s="111"/>
    </row>
    <row r="181" spans="1:14" x14ac:dyDescent="0.25">
      <c r="A181" s="199" t="s">
        <v>1090</v>
      </c>
      <c r="B181" s="277"/>
      <c r="C181" s="271"/>
      <c r="D181" s="274"/>
      <c r="E181" s="274"/>
      <c r="F181" s="68"/>
      <c r="G181" s="68" t="s">
        <v>527</v>
      </c>
      <c r="H181" s="67" t="s">
        <v>3</v>
      </c>
      <c r="I181" s="68"/>
      <c r="J181" s="111"/>
      <c r="K181" s="111"/>
      <c r="L181" s="111"/>
      <c r="M181" s="111"/>
      <c r="N181" s="111"/>
    </row>
    <row r="182" spans="1:14" ht="25.5" x14ac:dyDescent="0.25">
      <c r="A182" s="199" t="s">
        <v>1089</v>
      </c>
      <c r="B182" s="277"/>
      <c r="C182" s="271"/>
      <c r="D182" s="274"/>
      <c r="E182" s="274"/>
      <c r="F182" s="68"/>
      <c r="G182" s="68" t="s">
        <v>528</v>
      </c>
      <c r="H182" s="67" t="s">
        <v>3</v>
      </c>
      <c r="I182" s="68"/>
      <c r="J182" s="111"/>
      <c r="K182" s="111"/>
      <c r="L182" s="111"/>
      <c r="M182" s="111"/>
      <c r="N182" s="111"/>
    </row>
    <row r="183" spans="1:14" ht="38.25" x14ac:dyDescent="0.25">
      <c r="A183" s="199" t="s">
        <v>1088</v>
      </c>
      <c r="B183" s="277"/>
      <c r="C183" s="271"/>
      <c r="D183" s="274"/>
      <c r="E183" s="275"/>
      <c r="F183" s="68"/>
      <c r="G183" s="68" t="s">
        <v>529</v>
      </c>
      <c r="H183" s="67" t="s">
        <v>3</v>
      </c>
      <c r="I183" s="68"/>
      <c r="J183" s="111"/>
      <c r="K183" s="111"/>
      <c r="L183" s="111"/>
      <c r="M183" s="111"/>
      <c r="N183" s="111"/>
    </row>
    <row r="184" spans="1:14" x14ac:dyDescent="0.25">
      <c r="A184" s="199" t="s">
        <v>1087</v>
      </c>
      <c r="B184" s="277"/>
      <c r="C184" s="271"/>
      <c r="D184" s="274"/>
      <c r="E184" s="164"/>
      <c r="F184" s="68"/>
      <c r="G184" s="68" t="s">
        <v>1079</v>
      </c>
      <c r="H184" s="67" t="s">
        <v>3</v>
      </c>
      <c r="I184" s="68" t="s">
        <v>1010</v>
      </c>
    </row>
    <row r="185" spans="1:14" x14ac:dyDescent="0.25">
      <c r="A185" s="199" t="s">
        <v>1086</v>
      </c>
      <c r="B185" s="277"/>
      <c r="C185" s="271"/>
      <c r="D185" s="274"/>
      <c r="E185" s="273" t="s">
        <v>530</v>
      </c>
      <c r="F185" s="68"/>
      <c r="G185" s="68" t="s">
        <v>531</v>
      </c>
      <c r="H185" s="67" t="s">
        <v>3</v>
      </c>
      <c r="I185" s="68"/>
      <c r="J185" s="111"/>
      <c r="K185" s="111"/>
      <c r="L185" s="111"/>
      <c r="M185" s="111"/>
      <c r="N185" s="111"/>
    </row>
    <row r="186" spans="1:14" x14ac:dyDescent="0.25">
      <c r="A186" s="199" t="s">
        <v>1085</v>
      </c>
      <c r="B186" s="277"/>
      <c r="C186" s="271"/>
      <c r="D186" s="274"/>
      <c r="E186" s="274"/>
      <c r="F186" s="68"/>
      <c r="G186" s="68" t="s">
        <v>532</v>
      </c>
      <c r="H186" s="67" t="s">
        <v>3</v>
      </c>
      <c r="I186" s="68"/>
      <c r="J186" s="111"/>
      <c r="K186" s="111"/>
      <c r="L186" s="111"/>
      <c r="M186" s="111"/>
      <c r="N186" s="111"/>
    </row>
    <row r="187" spans="1:14" ht="38.25" x14ac:dyDescent="0.25">
      <c r="A187" s="199" t="s">
        <v>1084</v>
      </c>
      <c r="B187" s="277"/>
      <c r="C187" s="271"/>
      <c r="D187" s="274"/>
      <c r="E187" s="274"/>
      <c r="F187" s="68"/>
      <c r="G187" s="68" t="s">
        <v>526</v>
      </c>
      <c r="H187" s="67" t="s">
        <v>3</v>
      </c>
      <c r="I187" s="68"/>
      <c r="J187" s="111"/>
      <c r="K187" s="111"/>
      <c r="L187" s="111"/>
      <c r="M187" s="111"/>
      <c r="N187" s="111"/>
    </row>
    <row r="188" spans="1:14" x14ac:dyDescent="0.25">
      <c r="A188" s="199" t="s">
        <v>1083</v>
      </c>
      <c r="B188" s="277"/>
      <c r="C188" s="271"/>
      <c r="D188" s="274"/>
      <c r="E188" s="274"/>
      <c r="F188" s="68"/>
      <c r="G188" s="68" t="s">
        <v>527</v>
      </c>
      <c r="H188" s="67" t="s">
        <v>3</v>
      </c>
      <c r="I188" s="68"/>
      <c r="J188" s="111"/>
      <c r="K188" s="111"/>
      <c r="L188" s="111"/>
      <c r="M188" s="111"/>
      <c r="N188" s="111"/>
    </row>
    <row r="189" spans="1:14" ht="25.5" x14ac:dyDescent="0.25">
      <c r="A189" s="199" t="s">
        <v>1082</v>
      </c>
      <c r="B189" s="277"/>
      <c r="C189" s="271"/>
      <c r="D189" s="274"/>
      <c r="E189" s="274"/>
      <c r="F189" s="68"/>
      <c r="G189" s="68" t="s">
        <v>528</v>
      </c>
      <c r="H189" s="67" t="s">
        <v>3</v>
      </c>
      <c r="I189" s="68"/>
      <c r="J189" s="111"/>
      <c r="K189" s="111"/>
      <c r="L189" s="111"/>
      <c r="M189" s="111"/>
      <c r="N189" s="111"/>
    </row>
    <row r="190" spans="1:14" ht="38.25" x14ac:dyDescent="0.25">
      <c r="A190" s="199" t="s">
        <v>1081</v>
      </c>
      <c r="B190" s="277"/>
      <c r="C190" s="271"/>
      <c r="D190" s="274"/>
      <c r="E190" s="275"/>
      <c r="F190" s="68"/>
      <c r="G190" s="68" t="s">
        <v>529</v>
      </c>
      <c r="H190" s="67" t="s">
        <v>3</v>
      </c>
      <c r="I190" s="68"/>
      <c r="J190" s="111"/>
      <c r="K190" s="111"/>
      <c r="L190" s="111"/>
      <c r="M190" s="111"/>
      <c r="N190" s="111"/>
    </row>
    <row r="191" spans="1:14" x14ac:dyDescent="0.25">
      <c r="A191" s="199" t="s">
        <v>1080</v>
      </c>
      <c r="B191" s="277"/>
      <c r="C191" s="271"/>
      <c r="D191" s="162"/>
      <c r="E191" s="164"/>
      <c r="F191" s="68"/>
      <c r="G191" s="68" t="s">
        <v>1079</v>
      </c>
      <c r="H191" s="67" t="s">
        <v>3</v>
      </c>
      <c r="I191" s="68" t="s">
        <v>1010</v>
      </c>
    </row>
    <row r="192" spans="1:14" ht="25.5" x14ac:dyDescent="0.25">
      <c r="A192" s="199" t="s">
        <v>1078</v>
      </c>
      <c r="B192" s="277"/>
      <c r="C192" s="271"/>
      <c r="D192" s="258" t="s">
        <v>368</v>
      </c>
      <c r="E192" s="258"/>
      <c r="F192" s="79" t="s">
        <v>1077</v>
      </c>
      <c r="G192" s="68" t="s">
        <v>533</v>
      </c>
      <c r="H192" s="67" t="s">
        <v>3</v>
      </c>
      <c r="I192" s="68"/>
    </row>
    <row r="193" spans="1:9" x14ac:dyDescent="0.25">
      <c r="A193" s="199" t="s">
        <v>1076</v>
      </c>
      <c r="B193" s="277"/>
      <c r="C193" s="271"/>
      <c r="D193" s="260"/>
      <c r="E193" s="260"/>
      <c r="F193" s="79"/>
      <c r="G193" s="68" t="s">
        <v>534</v>
      </c>
      <c r="H193" s="67" t="s">
        <v>3</v>
      </c>
      <c r="I193" s="68"/>
    </row>
    <row r="194" spans="1:9" ht="51" x14ac:dyDescent="0.25">
      <c r="A194" s="199" t="s">
        <v>1075</v>
      </c>
      <c r="B194" s="277"/>
      <c r="C194" s="272"/>
      <c r="D194" s="258" t="s">
        <v>70</v>
      </c>
      <c r="E194" s="258"/>
      <c r="F194" s="79"/>
      <c r="G194" s="68" t="s">
        <v>535</v>
      </c>
      <c r="H194" s="67" t="s">
        <v>3</v>
      </c>
      <c r="I194" s="68"/>
    </row>
    <row r="195" spans="1:9" x14ac:dyDescent="0.25">
      <c r="A195" s="199" t="s">
        <v>1074</v>
      </c>
      <c r="B195" s="277"/>
      <c r="C195" s="167"/>
      <c r="D195" s="259"/>
      <c r="E195" s="259"/>
      <c r="F195" s="79"/>
      <c r="G195" s="68" t="s">
        <v>536</v>
      </c>
      <c r="H195" s="67" t="s">
        <v>3</v>
      </c>
      <c r="I195" s="68"/>
    </row>
    <row r="196" spans="1:9" x14ac:dyDescent="0.25">
      <c r="A196" s="199" t="s">
        <v>1073</v>
      </c>
      <c r="B196" s="277"/>
      <c r="C196" s="167"/>
      <c r="D196" s="259"/>
      <c r="E196" s="259"/>
      <c r="F196" s="79"/>
      <c r="G196" s="68" t="s">
        <v>537</v>
      </c>
      <c r="H196" s="67" t="s">
        <v>3</v>
      </c>
      <c r="I196" s="68"/>
    </row>
    <row r="197" spans="1:9" x14ac:dyDescent="0.25">
      <c r="A197" s="199" t="s">
        <v>1072</v>
      </c>
      <c r="B197" s="277"/>
      <c r="C197" s="167"/>
      <c r="D197" s="259"/>
      <c r="E197" s="259"/>
      <c r="F197" s="79"/>
      <c r="G197" s="68" t="s">
        <v>538</v>
      </c>
      <c r="H197" s="67" t="s">
        <v>3</v>
      </c>
      <c r="I197" s="68"/>
    </row>
    <row r="198" spans="1:9" x14ac:dyDescent="0.25">
      <c r="A198" s="199" t="s">
        <v>1071</v>
      </c>
      <c r="B198" s="277"/>
      <c r="C198" s="167"/>
      <c r="D198" s="259"/>
      <c r="E198" s="259"/>
      <c r="F198" s="79"/>
      <c r="G198" s="68" t="s">
        <v>539</v>
      </c>
      <c r="H198" s="67" t="s">
        <v>3</v>
      </c>
      <c r="I198" s="68"/>
    </row>
    <row r="199" spans="1:9" x14ac:dyDescent="0.25">
      <c r="A199" s="199" t="s">
        <v>1070</v>
      </c>
      <c r="B199" s="277"/>
      <c r="C199" s="167"/>
      <c r="D199" s="260"/>
      <c r="E199" s="260"/>
      <c r="F199" s="79"/>
      <c r="G199" s="68" t="s">
        <v>540</v>
      </c>
      <c r="H199" s="67" t="s">
        <v>3</v>
      </c>
      <c r="I199" s="68"/>
    </row>
    <row r="200" spans="1:9" ht="38.25" x14ac:dyDescent="0.25">
      <c r="A200" s="199" t="s">
        <v>1069</v>
      </c>
      <c r="B200" s="277"/>
      <c r="C200" s="285" t="s">
        <v>541</v>
      </c>
      <c r="D200" s="258" t="s">
        <v>542</v>
      </c>
      <c r="E200" s="70"/>
      <c r="F200" s="79"/>
      <c r="G200" s="68" t="s">
        <v>543</v>
      </c>
      <c r="H200" s="67" t="s">
        <v>3</v>
      </c>
      <c r="I200" s="68"/>
    </row>
    <row r="201" spans="1:9" x14ac:dyDescent="0.25">
      <c r="A201" s="199" t="s">
        <v>1068</v>
      </c>
      <c r="B201" s="277"/>
      <c r="C201" s="286"/>
      <c r="D201" s="259"/>
      <c r="E201" s="75"/>
      <c r="F201" s="79"/>
      <c r="G201" s="68" t="s">
        <v>431</v>
      </c>
      <c r="H201" s="67" t="s">
        <v>3</v>
      </c>
      <c r="I201" s="68"/>
    </row>
    <row r="202" spans="1:9" ht="51" x14ac:dyDescent="0.25">
      <c r="A202" s="199" t="s">
        <v>1067</v>
      </c>
      <c r="B202" s="277"/>
      <c r="C202" s="286"/>
      <c r="D202" s="259"/>
      <c r="E202" s="258"/>
      <c r="F202" s="79"/>
      <c r="G202" s="68" t="s">
        <v>544</v>
      </c>
      <c r="H202" s="67" t="s">
        <v>3</v>
      </c>
      <c r="I202" s="68"/>
    </row>
    <row r="203" spans="1:9" x14ac:dyDescent="0.25">
      <c r="A203" s="199" t="s">
        <v>1066</v>
      </c>
      <c r="B203" s="277"/>
      <c r="C203" s="286"/>
      <c r="D203" s="259"/>
      <c r="E203" s="259"/>
      <c r="F203" s="79"/>
      <c r="G203" s="68" t="s">
        <v>545</v>
      </c>
      <c r="H203" s="67" t="s">
        <v>3</v>
      </c>
      <c r="I203" s="68"/>
    </row>
    <row r="204" spans="1:9" x14ac:dyDescent="0.25">
      <c r="A204" s="199" t="s">
        <v>1065</v>
      </c>
      <c r="B204" s="277"/>
      <c r="C204" s="286"/>
      <c r="D204" s="260"/>
      <c r="E204" s="260"/>
      <c r="F204" s="79"/>
      <c r="G204" s="68" t="s">
        <v>546</v>
      </c>
      <c r="H204" s="67" t="s">
        <v>3</v>
      </c>
      <c r="I204" s="68"/>
    </row>
    <row r="205" spans="1:9" ht="25.5" x14ac:dyDescent="0.25">
      <c r="A205" s="199" t="s">
        <v>1064</v>
      </c>
      <c r="B205" s="277"/>
      <c r="C205" s="286"/>
      <c r="D205" s="258" t="s">
        <v>547</v>
      </c>
      <c r="E205" s="258"/>
      <c r="F205" s="79"/>
      <c r="G205" s="68" t="s">
        <v>548</v>
      </c>
      <c r="H205" s="67" t="s">
        <v>3</v>
      </c>
      <c r="I205" s="68"/>
    </row>
    <row r="206" spans="1:9" x14ac:dyDescent="0.25">
      <c r="A206" s="199" t="s">
        <v>1063</v>
      </c>
      <c r="B206" s="277"/>
      <c r="C206" s="286"/>
      <c r="D206" s="259"/>
      <c r="E206" s="259"/>
      <c r="F206" s="79"/>
      <c r="G206" s="68" t="s">
        <v>549</v>
      </c>
      <c r="H206" s="67" t="s">
        <v>3</v>
      </c>
      <c r="I206" s="68"/>
    </row>
    <row r="207" spans="1:9" ht="25.5" x14ac:dyDescent="0.25">
      <c r="A207" s="199" t="s">
        <v>1062</v>
      </c>
      <c r="B207" s="277"/>
      <c r="C207" s="286"/>
      <c r="D207" s="259"/>
      <c r="E207" s="259"/>
      <c r="F207" s="79"/>
      <c r="G207" s="68" t="s">
        <v>550</v>
      </c>
      <c r="H207" s="67" t="s">
        <v>3</v>
      </c>
      <c r="I207" s="68"/>
    </row>
    <row r="208" spans="1:9" ht="25.5" x14ac:dyDescent="0.25">
      <c r="A208" s="199" t="s">
        <v>1061</v>
      </c>
      <c r="B208" s="277"/>
      <c r="C208" s="286"/>
      <c r="D208" s="259"/>
      <c r="E208" s="259"/>
      <c r="F208" s="79"/>
      <c r="G208" s="68" t="s">
        <v>551</v>
      </c>
      <c r="H208" s="67" t="s">
        <v>3</v>
      </c>
      <c r="I208" s="68"/>
    </row>
    <row r="209" spans="1:9" ht="25.5" x14ac:dyDescent="0.25">
      <c r="A209" s="199" t="s">
        <v>1060</v>
      </c>
      <c r="B209" s="277"/>
      <c r="C209" s="286"/>
      <c r="D209" s="260"/>
      <c r="E209" s="260"/>
      <c r="F209" s="79"/>
      <c r="G209" s="68" t="s">
        <v>476</v>
      </c>
      <c r="H209" s="67" t="s">
        <v>3</v>
      </c>
      <c r="I209" s="68"/>
    </row>
    <row r="210" spans="1:9" x14ac:dyDescent="0.25">
      <c r="A210" s="199" t="s">
        <v>1059</v>
      </c>
      <c r="B210" s="277"/>
      <c r="C210" s="286"/>
      <c r="D210" s="162"/>
      <c r="E210" s="164"/>
      <c r="F210" s="68"/>
      <c r="G210" s="68" t="s">
        <v>1046</v>
      </c>
      <c r="H210" s="67" t="s">
        <v>3</v>
      </c>
      <c r="I210" s="68" t="s">
        <v>1010</v>
      </c>
    </row>
    <row r="211" spans="1:9" ht="25.5" x14ac:dyDescent="0.25">
      <c r="A211" s="199" t="s">
        <v>1058</v>
      </c>
      <c r="B211" s="277"/>
      <c r="C211" s="286"/>
      <c r="D211" s="258" t="s">
        <v>552</v>
      </c>
      <c r="E211" s="258"/>
      <c r="F211" s="79"/>
      <c r="G211" s="68" t="s">
        <v>553</v>
      </c>
      <c r="H211" s="67" t="s">
        <v>3</v>
      </c>
      <c r="I211" s="68"/>
    </row>
    <row r="212" spans="1:9" ht="25.5" x14ac:dyDescent="0.25">
      <c r="A212" s="199" t="s">
        <v>1057</v>
      </c>
      <c r="B212" s="277"/>
      <c r="C212" s="286"/>
      <c r="D212" s="259"/>
      <c r="E212" s="259"/>
      <c r="F212" s="79"/>
      <c r="G212" s="68" t="s">
        <v>554</v>
      </c>
      <c r="H212" s="67" t="s">
        <v>3</v>
      </c>
      <c r="I212" s="68"/>
    </row>
    <row r="213" spans="1:9" ht="38.25" x14ac:dyDescent="0.25">
      <c r="A213" s="199" t="s">
        <v>1056</v>
      </c>
      <c r="B213" s="277"/>
      <c r="C213" s="286"/>
      <c r="D213" s="259"/>
      <c r="E213" s="259"/>
      <c r="F213" s="79"/>
      <c r="G213" s="68" t="s">
        <v>555</v>
      </c>
      <c r="H213" s="67" t="s">
        <v>3</v>
      </c>
      <c r="I213" s="68"/>
    </row>
    <row r="214" spans="1:9" x14ac:dyDescent="0.25">
      <c r="A214" s="199" t="s">
        <v>1055</v>
      </c>
      <c r="B214" s="277"/>
      <c r="C214" s="286"/>
      <c r="D214" s="259"/>
      <c r="E214" s="259"/>
      <c r="F214" s="79"/>
      <c r="G214" s="68" t="s">
        <v>556</v>
      </c>
      <c r="H214" s="67" t="s">
        <v>3</v>
      </c>
      <c r="I214" s="68"/>
    </row>
    <row r="215" spans="1:9" ht="25.5" x14ac:dyDescent="0.25">
      <c r="A215" s="199" t="s">
        <v>1054</v>
      </c>
      <c r="B215" s="277"/>
      <c r="C215" s="286"/>
      <c r="D215" s="260"/>
      <c r="E215" s="260"/>
      <c r="F215" s="79"/>
      <c r="G215" s="68" t="s">
        <v>476</v>
      </c>
      <c r="H215" s="67" t="s">
        <v>3</v>
      </c>
      <c r="I215" s="68"/>
    </row>
    <row r="216" spans="1:9" x14ac:dyDescent="0.25">
      <c r="A216" s="199" t="s">
        <v>1053</v>
      </c>
      <c r="B216" s="277"/>
      <c r="C216" s="286"/>
      <c r="D216" s="162"/>
      <c r="E216" s="164"/>
      <c r="F216" s="68"/>
      <c r="G216" s="68" t="s">
        <v>1046</v>
      </c>
      <c r="H216" s="67" t="s">
        <v>3</v>
      </c>
      <c r="I216" s="68" t="s">
        <v>1010</v>
      </c>
    </row>
    <row r="217" spans="1:9" ht="25.5" x14ac:dyDescent="0.25">
      <c r="A217" s="199" t="s">
        <v>1052</v>
      </c>
      <c r="B217" s="277"/>
      <c r="C217" s="286"/>
      <c r="D217" s="258" t="s">
        <v>299</v>
      </c>
      <c r="E217" s="258"/>
      <c r="F217" s="79"/>
      <c r="G217" s="68" t="s">
        <v>557</v>
      </c>
      <c r="H217" s="67" t="s">
        <v>385</v>
      </c>
      <c r="I217" s="68"/>
    </row>
    <row r="218" spans="1:9" ht="38.25" x14ac:dyDescent="0.25">
      <c r="A218" s="199" t="s">
        <v>1051</v>
      </c>
      <c r="B218" s="277"/>
      <c r="C218" s="286"/>
      <c r="D218" s="259"/>
      <c r="E218" s="259"/>
      <c r="F218" s="79"/>
      <c r="G218" s="68" t="s">
        <v>558</v>
      </c>
      <c r="H218" s="67" t="s">
        <v>385</v>
      </c>
      <c r="I218" s="68"/>
    </row>
    <row r="219" spans="1:9" x14ac:dyDescent="0.25">
      <c r="A219" s="199" t="s">
        <v>1050</v>
      </c>
      <c r="B219" s="277"/>
      <c r="C219" s="286"/>
      <c r="D219" s="259"/>
      <c r="E219" s="259"/>
      <c r="F219" s="79"/>
      <c r="G219" s="68" t="s">
        <v>559</v>
      </c>
      <c r="H219" s="67" t="s">
        <v>385</v>
      </c>
      <c r="I219" s="68"/>
    </row>
    <row r="220" spans="1:9" ht="127.5" x14ac:dyDescent="0.25">
      <c r="A220" s="199" t="s">
        <v>1049</v>
      </c>
      <c r="B220" s="277"/>
      <c r="C220" s="286"/>
      <c r="D220" s="259"/>
      <c r="E220" s="259"/>
      <c r="F220" s="79"/>
      <c r="G220" s="68" t="s">
        <v>560</v>
      </c>
      <c r="H220" s="67" t="s">
        <v>385</v>
      </c>
      <c r="I220" s="68"/>
    </row>
    <row r="221" spans="1:9" ht="25.5" x14ac:dyDescent="0.25">
      <c r="A221" s="199" t="s">
        <v>1048</v>
      </c>
      <c r="B221" s="277"/>
      <c r="C221" s="286"/>
      <c r="D221" s="260"/>
      <c r="E221" s="260"/>
      <c r="F221" s="79"/>
      <c r="G221" s="68" t="s">
        <v>476</v>
      </c>
      <c r="H221" s="67" t="s">
        <v>385</v>
      </c>
      <c r="I221" s="68"/>
    </row>
    <row r="222" spans="1:9" x14ac:dyDescent="0.25">
      <c r="A222" s="199" t="s">
        <v>1047</v>
      </c>
      <c r="B222" s="277"/>
      <c r="C222" s="286"/>
      <c r="D222" s="162"/>
      <c r="E222" s="164"/>
      <c r="F222" s="68"/>
      <c r="G222" s="68" t="s">
        <v>1046</v>
      </c>
      <c r="H222" s="67" t="s">
        <v>385</v>
      </c>
      <c r="I222" s="68" t="s">
        <v>1010</v>
      </c>
    </row>
    <row r="223" spans="1:9" ht="76.5" x14ac:dyDescent="0.25">
      <c r="A223" s="199" t="s">
        <v>1045</v>
      </c>
      <c r="B223" s="277"/>
      <c r="C223" s="286"/>
      <c r="D223" s="273" t="s">
        <v>364</v>
      </c>
      <c r="E223" s="273"/>
      <c r="F223" s="68" t="s">
        <v>365</v>
      </c>
      <c r="G223" s="68" t="s">
        <v>561</v>
      </c>
      <c r="H223" s="67" t="s">
        <v>3</v>
      </c>
      <c r="I223" s="80"/>
    </row>
    <row r="224" spans="1:9" ht="38.25" x14ac:dyDescent="0.25">
      <c r="A224" s="199" t="s">
        <v>1044</v>
      </c>
      <c r="B224" s="277"/>
      <c r="C224" s="286"/>
      <c r="D224" s="274"/>
      <c r="E224" s="274"/>
      <c r="F224" s="68"/>
      <c r="G224" s="68" t="s">
        <v>562</v>
      </c>
      <c r="H224" s="67" t="s">
        <v>3</v>
      </c>
      <c r="I224" s="80"/>
    </row>
    <row r="225" spans="1:9" x14ac:dyDescent="0.25">
      <c r="A225" s="199" t="s">
        <v>1043</v>
      </c>
      <c r="B225" s="277"/>
      <c r="C225" s="286"/>
      <c r="D225" s="274"/>
      <c r="E225" s="274"/>
      <c r="F225" s="68"/>
      <c r="G225" s="68" t="s">
        <v>563</v>
      </c>
      <c r="H225" s="67" t="s">
        <v>3</v>
      </c>
      <c r="I225" s="80"/>
    </row>
    <row r="226" spans="1:9" ht="25.5" x14ac:dyDescent="0.25">
      <c r="A226" s="199" t="s">
        <v>1042</v>
      </c>
      <c r="B226" s="277"/>
      <c r="C226" s="286"/>
      <c r="D226" s="274"/>
      <c r="E226" s="274"/>
      <c r="F226" s="68"/>
      <c r="G226" s="68" t="s">
        <v>564</v>
      </c>
      <c r="H226" s="67" t="s">
        <v>3</v>
      </c>
      <c r="I226" s="80"/>
    </row>
    <row r="227" spans="1:9" ht="25.5" x14ac:dyDescent="0.25">
      <c r="A227" s="199" t="s">
        <v>1041</v>
      </c>
      <c r="B227" s="277"/>
      <c r="C227" s="286"/>
      <c r="D227" s="274"/>
      <c r="E227" s="274"/>
      <c r="F227" s="68"/>
      <c r="G227" s="68" t="s">
        <v>565</v>
      </c>
      <c r="H227" s="67" t="s">
        <v>3</v>
      </c>
      <c r="I227" s="80"/>
    </row>
    <row r="228" spans="1:9" ht="25.5" x14ac:dyDescent="0.25">
      <c r="A228" s="199" t="s">
        <v>1040</v>
      </c>
      <c r="B228" s="277"/>
      <c r="C228" s="286"/>
      <c r="D228" s="274"/>
      <c r="E228" s="274"/>
      <c r="F228" s="68"/>
      <c r="G228" s="68" t="s">
        <v>566</v>
      </c>
      <c r="H228" s="67" t="s">
        <v>3</v>
      </c>
      <c r="I228" s="80"/>
    </row>
    <row r="229" spans="1:9" x14ac:dyDescent="0.25">
      <c r="A229" s="199" t="s">
        <v>1039</v>
      </c>
      <c r="B229" s="277"/>
      <c r="C229" s="286"/>
      <c r="D229" s="274"/>
      <c r="E229" s="274"/>
      <c r="F229" s="68"/>
      <c r="G229" s="68" t="s">
        <v>567</v>
      </c>
      <c r="H229" s="67" t="s">
        <v>3</v>
      </c>
      <c r="I229" s="80"/>
    </row>
    <row r="230" spans="1:9" x14ac:dyDescent="0.25">
      <c r="A230" s="199" t="s">
        <v>1038</v>
      </c>
      <c r="B230" s="277"/>
      <c r="C230" s="286"/>
      <c r="D230" s="274"/>
      <c r="E230" s="274"/>
      <c r="F230" s="68"/>
      <c r="G230" s="68" t="s">
        <v>568</v>
      </c>
      <c r="H230" s="67" t="s">
        <v>3</v>
      </c>
      <c r="I230" s="80"/>
    </row>
    <row r="231" spans="1:9" ht="25.5" x14ac:dyDescent="0.25">
      <c r="A231" s="199" t="s">
        <v>1037</v>
      </c>
      <c r="B231" s="277"/>
      <c r="C231" s="286"/>
      <c r="D231" s="274"/>
      <c r="E231" s="274"/>
      <c r="F231" s="68"/>
      <c r="G231" s="68" t="s">
        <v>897</v>
      </c>
      <c r="H231" s="67" t="s">
        <v>3</v>
      </c>
      <c r="I231" s="68" t="s">
        <v>896</v>
      </c>
    </row>
    <row r="232" spans="1:9" ht="25.5" x14ac:dyDescent="0.25">
      <c r="A232" s="199" t="s">
        <v>1036</v>
      </c>
      <c r="B232" s="277"/>
      <c r="C232" s="286"/>
      <c r="D232" s="275"/>
      <c r="E232" s="275"/>
      <c r="F232" s="68"/>
      <c r="G232" s="68" t="s">
        <v>569</v>
      </c>
      <c r="H232" s="67" t="s">
        <v>3</v>
      </c>
      <c r="I232" s="80"/>
    </row>
    <row r="233" spans="1:9" x14ac:dyDescent="0.25">
      <c r="A233" s="199" t="s">
        <v>1035</v>
      </c>
      <c r="B233" s="277"/>
      <c r="C233" s="286"/>
      <c r="D233" s="162"/>
      <c r="E233" s="164"/>
      <c r="F233" s="68"/>
      <c r="G233" s="68" t="s">
        <v>1034</v>
      </c>
      <c r="H233" s="67" t="s">
        <v>3</v>
      </c>
      <c r="I233" s="68" t="s">
        <v>1010</v>
      </c>
    </row>
    <row r="234" spans="1:9" ht="51" x14ac:dyDescent="0.25">
      <c r="A234" s="199" t="s">
        <v>1033</v>
      </c>
      <c r="B234" s="277"/>
      <c r="C234" s="286"/>
      <c r="D234" s="273" t="s">
        <v>570</v>
      </c>
      <c r="E234" s="76" t="s">
        <v>1032</v>
      </c>
      <c r="F234" s="68"/>
      <c r="G234" s="68" t="s">
        <v>1031</v>
      </c>
      <c r="H234" s="67" t="s">
        <v>3</v>
      </c>
      <c r="I234" s="68"/>
    </row>
    <row r="235" spans="1:9" ht="25.5" x14ac:dyDescent="0.25">
      <c r="A235" s="199" t="s">
        <v>1030</v>
      </c>
      <c r="B235" s="277"/>
      <c r="C235" s="286"/>
      <c r="D235" s="274"/>
      <c r="E235" s="77"/>
      <c r="F235" s="68"/>
      <c r="G235" s="68" t="s">
        <v>571</v>
      </c>
      <c r="H235" s="67" t="s">
        <v>3</v>
      </c>
      <c r="I235" s="68"/>
    </row>
    <row r="236" spans="1:9" ht="38.25" x14ac:dyDescent="0.25">
      <c r="A236" s="199" t="s">
        <v>1029</v>
      </c>
      <c r="B236" s="277"/>
      <c r="C236" s="286"/>
      <c r="D236" s="274"/>
      <c r="E236" s="77"/>
      <c r="F236" s="68"/>
      <c r="G236" s="68" t="s">
        <v>572</v>
      </c>
      <c r="H236" s="67" t="s">
        <v>3</v>
      </c>
      <c r="I236" s="68"/>
    </row>
    <row r="237" spans="1:9" x14ac:dyDescent="0.25">
      <c r="A237" s="199" t="s">
        <v>1028</v>
      </c>
      <c r="B237" s="277"/>
      <c r="C237" s="286"/>
      <c r="D237" s="274"/>
      <c r="E237" s="77"/>
      <c r="F237" s="68"/>
      <c r="G237" s="68" t="s">
        <v>573</v>
      </c>
      <c r="H237" s="67" t="s">
        <v>3</v>
      </c>
      <c r="I237" s="68"/>
    </row>
    <row r="238" spans="1:9" ht="25.5" x14ac:dyDescent="0.25">
      <c r="A238" s="199" t="s">
        <v>1027</v>
      </c>
      <c r="B238" s="277"/>
      <c r="C238" s="286"/>
      <c r="D238" s="274"/>
      <c r="E238" s="77"/>
      <c r="F238" s="68"/>
      <c r="G238" s="68" t="s">
        <v>574</v>
      </c>
      <c r="H238" s="67" t="s">
        <v>3</v>
      </c>
      <c r="I238" s="68"/>
    </row>
    <row r="239" spans="1:9" ht="25.5" x14ac:dyDescent="0.25">
      <c r="A239" s="199" t="s">
        <v>1026</v>
      </c>
      <c r="B239" s="277"/>
      <c r="C239" s="286"/>
      <c r="D239" s="274"/>
      <c r="E239" s="77"/>
      <c r="F239" s="68"/>
      <c r="G239" s="68" t="s">
        <v>503</v>
      </c>
      <c r="H239" s="67" t="s">
        <v>385</v>
      </c>
      <c r="I239" s="68"/>
    </row>
    <row r="240" spans="1:9" ht="25.5" x14ac:dyDescent="0.25">
      <c r="A240" s="199" t="s">
        <v>1025</v>
      </c>
      <c r="B240" s="277"/>
      <c r="C240" s="286"/>
      <c r="D240" s="274"/>
      <c r="E240" s="77"/>
      <c r="F240" s="165"/>
      <c r="G240" s="165" t="s">
        <v>521</v>
      </c>
      <c r="H240" s="67" t="s">
        <v>3</v>
      </c>
      <c r="I240" s="165"/>
    </row>
    <row r="241" spans="1:9" x14ac:dyDescent="0.25">
      <c r="A241" s="199" t="s">
        <v>1024</v>
      </c>
      <c r="B241" s="277"/>
      <c r="C241" s="286"/>
      <c r="D241" s="274"/>
      <c r="E241" s="164"/>
      <c r="F241" s="68"/>
      <c r="G241" s="68" t="s">
        <v>1011</v>
      </c>
      <c r="H241" s="67" t="s">
        <v>3</v>
      </c>
      <c r="I241" s="68" t="s">
        <v>1010</v>
      </c>
    </row>
    <row r="242" spans="1:9" s="93" customFormat="1" ht="51" x14ac:dyDescent="0.25">
      <c r="A242" s="199" t="s">
        <v>1023</v>
      </c>
      <c r="B242" s="277"/>
      <c r="C242" s="286"/>
      <c r="D242" s="274"/>
      <c r="E242" s="273" t="s">
        <v>1022</v>
      </c>
      <c r="F242" s="68"/>
      <c r="G242" s="68" t="s">
        <v>1021</v>
      </c>
      <c r="H242" s="67" t="s">
        <v>3</v>
      </c>
      <c r="I242" s="68" t="s">
        <v>999</v>
      </c>
    </row>
    <row r="243" spans="1:9" s="110" customFormat="1" ht="25.5" x14ac:dyDescent="0.25">
      <c r="A243" s="199" t="s">
        <v>1020</v>
      </c>
      <c r="B243" s="277"/>
      <c r="C243" s="286"/>
      <c r="D243" s="274"/>
      <c r="E243" s="274"/>
      <c r="F243" s="166"/>
      <c r="G243" s="68" t="s">
        <v>571</v>
      </c>
      <c r="H243" s="67" t="s">
        <v>3</v>
      </c>
      <c r="I243" s="166"/>
    </row>
    <row r="244" spans="1:9" s="110" customFormat="1" ht="38.25" x14ac:dyDescent="0.25">
      <c r="A244" s="199" t="s">
        <v>1019</v>
      </c>
      <c r="B244" s="277"/>
      <c r="C244" s="286"/>
      <c r="D244" s="274"/>
      <c r="E244" s="274"/>
      <c r="F244" s="166"/>
      <c r="G244" s="68" t="s">
        <v>1018</v>
      </c>
      <c r="H244" s="67" t="s">
        <v>3</v>
      </c>
      <c r="I244" s="166"/>
    </row>
    <row r="245" spans="1:9" s="110" customFormat="1" x14ac:dyDescent="0.25">
      <c r="A245" s="199" t="s">
        <v>1017</v>
      </c>
      <c r="B245" s="277"/>
      <c r="C245" s="286"/>
      <c r="D245" s="274"/>
      <c r="E245" s="274"/>
      <c r="F245" s="166"/>
      <c r="G245" s="68" t="s">
        <v>573</v>
      </c>
      <c r="H245" s="67" t="s">
        <v>3</v>
      </c>
      <c r="I245" s="166"/>
    </row>
    <row r="246" spans="1:9" s="110" customFormat="1" ht="25.5" x14ac:dyDescent="0.25">
      <c r="A246" s="199" t="s">
        <v>1016</v>
      </c>
      <c r="B246" s="277"/>
      <c r="C246" s="286"/>
      <c r="D246" s="274"/>
      <c r="E246" s="274"/>
      <c r="F246" s="166"/>
      <c r="G246" s="68" t="s">
        <v>1015</v>
      </c>
      <c r="H246" s="67" t="s">
        <v>3</v>
      </c>
      <c r="I246" s="166"/>
    </row>
    <row r="247" spans="1:9" s="110" customFormat="1" ht="25.5" x14ac:dyDescent="0.25">
      <c r="A247" s="199" t="s">
        <v>1014</v>
      </c>
      <c r="B247" s="277"/>
      <c r="C247" s="286"/>
      <c r="D247" s="274"/>
      <c r="E247" s="274"/>
      <c r="F247" s="166"/>
      <c r="G247" s="68" t="s">
        <v>503</v>
      </c>
      <c r="H247" s="67" t="s">
        <v>385</v>
      </c>
      <c r="I247" s="166"/>
    </row>
    <row r="248" spans="1:9" s="110" customFormat="1" ht="25.5" x14ac:dyDescent="0.25">
      <c r="A248" s="199" t="s">
        <v>1013</v>
      </c>
      <c r="B248" s="277"/>
      <c r="C248" s="286"/>
      <c r="D248" s="275"/>
      <c r="E248" s="275"/>
      <c r="F248" s="166"/>
      <c r="G248" s="68" t="s">
        <v>521</v>
      </c>
      <c r="H248" s="67" t="s">
        <v>3</v>
      </c>
      <c r="I248" s="166"/>
    </row>
    <row r="249" spans="1:9" x14ac:dyDescent="0.25">
      <c r="A249" s="199" t="s">
        <v>1012</v>
      </c>
      <c r="B249" s="277"/>
      <c r="C249" s="286"/>
      <c r="D249" s="162"/>
      <c r="E249" s="164"/>
      <c r="F249" s="68"/>
      <c r="G249" s="68" t="s">
        <v>1011</v>
      </c>
      <c r="H249" s="67" t="s">
        <v>3</v>
      </c>
      <c r="I249" s="68" t="s">
        <v>1010</v>
      </c>
    </row>
    <row r="250" spans="1:9" ht="25.5" x14ac:dyDescent="0.25">
      <c r="A250" s="199" t="s">
        <v>1009</v>
      </c>
      <c r="B250" s="277"/>
      <c r="C250" s="286"/>
      <c r="D250" s="258" t="s">
        <v>366</v>
      </c>
      <c r="E250" s="258"/>
      <c r="F250" s="166" t="s">
        <v>367</v>
      </c>
      <c r="G250" s="166" t="s">
        <v>575</v>
      </c>
      <c r="H250" s="67" t="s">
        <v>3</v>
      </c>
      <c r="I250" s="166"/>
    </row>
    <row r="251" spans="1:9" x14ac:dyDescent="0.25">
      <c r="A251" s="199" t="s">
        <v>1008</v>
      </c>
      <c r="B251" s="277"/>
      <c r="C251" s="286"/>
      <c r="D251" s="260"/>
      <c r="E251" s="260"/>
      <c r="F251" s="68"/>
      <c r="G251" s="68" t="s">
        <v>576</v>
      </c>
      <c r="H251" s="67" t="s">
        <v>3</v>
      </c>
      <c r="I251" s="68"/>
    </row>
    <row r="252" spans="1:9" ht="51" x14ac:dyDescent="0.25">
      <c r="A252" s="199" t="s">
        <v>1007</v>
      </c>
      <c r="B252" s="277"/>
      <c r="C252" s="286"/>
      <c r="D252" s="258" t="s">
        <v>70</v>
      </c>
      <c r="E252" s="258"/>
      <c r="F252" s="68" t="s">
        <v>330</v>
      </c>
      <c r="G252" s="68" t="s">
        <v>577</v>
      </c>
      <c r="H252" s="67" t="s">
        <v>3</v>
      </c>
      <c r="I252" s="68"/>
    </row>
    <row r="253" spans="1:9" x14ac:dyDescent="0.25">
      <c r="A253" s="199" t="s">
        <v>1006</v>
      </c>
      <c r="B253" s="277"/>
      <c r="C253" s="286"/>
      <c r="D253" s="259"/>
      <c r="E253" s="259"/>
      <c r="F253" s="68"/>
      <c r="G253" s="68" t="s">
        <v>578</v>
      </c>
      <c r="H253" s="67" t="s">
        <v>3</v>
      </c>
      <c r="I253" s="68"/>
    </row>
    <row r="254" spans="1:9" x14ac:dyDescent="0.25">
      <c r="A254" s="199" t="s">
        <v>1005</v>
      </c>
      <c r="B254" s="277"/>
      <c r="C254" s="286"/>
      <c r="D254" s="259"/>
      <c r="E254" s="259"/>
      <c r="F254" s="68"/>
      <c r="G254" s="68" t="s">
        <v>579</v>
      </c>
      <c r="H254" s="67" t="s">
        <v>3</v>
      </c>
      <c r="I254" s="68"/>
    </row>
    <row r="255" spans="1:9" x14ac:dyDescent="0.25">
      <c r="A255" s="199" t="s">
        <v>1004</v>
      </c>
      <c r="B255" s="277"/>
      <c r="C255" s="286"/>
      <c r="D255" s="259"/>
      <c r="E255" s="259"/>
      <c r="F255" s="68"/>
      <c r="G255" s="68" t="s">
        <v>580</v>
      </c>
      <c r="H255" s="67" t="s">
        <v>3</v>
      </c>
      <c r="I255" s="68"/>
    </row>
    <row r="256" spans="1:9" x14ac:dyDescent="0.25">
      <c r="A256" s="199" t="s">
        <v>1003</v>
      </c>
      <c r="B256" s="277"/>
      <c r="C256" s="286"/>
      <c r="D256" s="259"/>
      <c r="E256" s="259"/>
      <c r="F256" s="68"/>
      <c r="G256" s="68" t="s">
        <v>581</v>
      </c>
      <c r="H256" s="67" t="s">
        <v>3</v>
      </c>
      <c r="I256" s="68"/>
    </row>
    <row r="257" spans="1:9" x14ac:dyDescent="0.25">
      <c r="A257" s="199" t="s">
        <v>1002</v>
      </c>
      <c r="B257" s="277"/>
      <c r="C257" s="287"/>
      <c r="D257" s="260"/>
      <c r="E257" s="260"/>
      <c r="F257" s="68"/>
      <c r="G257" s="68" t="s">
        <v>582</v>
      </c>
      <c r="H257" s="67" t="s">
        <v>3</v>
      </c>
      <c r="I257" s="68"/>
    </row>
    <row r="258" spans="1:9" ht="114.75" x14ac:dyDescent="0.25">
      <c r="A258" s="199" t="s">
        <v>1001</v>
      </c>
      <c r="B258" s="277"/>
      <c r="C258" s="261" t="s">
        <v>352</v>
      </c>
      <c r="D258" s="258"/>
      <c r="E258" s="258"/>
      <c r="F258" s="81" t="s">
        <v>583</v>
      </c>
      <c r="G258" s="81" t="s">
        <v>1000</v>
      </c>
      <c r="H258" s="67" t="s">
        <v>3</v>
      </c>
      <c r="I258" s="255" t="s">
        <v>999</v>
      </c>
    </row>
    <row r="259" spans="1:9" x14ac:dyDescent="0.25">
      <c r="A259" s="199" t="s">
        <v>998</v>
      </c>
      <c r="B259" s="277"/>
      <c r="C259" s="262"/>
      <c r="D259" s="259"/>
      <c r="E259" s="259"/>
      <c r="F259" s="81"/>
      <c r="G259" s="81" t="s">
        <v>997</v>
      </c>
      <c r="H259" s="67" t="s">
        <v>3</v>
      </c>
      <c r="I259" s="256"/>
    </row>
    <row r="260" spans="1:9" ht="25.5" x14ac:dyDescent="0.25">
      <c r="A260" s="199" t="s">
        <v>996</v>
      </c>
      <c r="B260" s="277"/>
      <c r="C260" s="262"/>
      <c r="D260" s="259"/>
      <c r="E260" s="259"/>
      <c r="F260" s="81"/>
      <c r="G260" s="81" t="s">
        <v>995</v>
      </c>
      <c r="H260" s="67" t="s">
        <v>3</v>
      </c>
      <c r="I260" s="256"/>
    </row>
    <row r="261" spans="1:9" x14ac:dyDescent="0.25">
      <c r="A261" s="199" t="s">
        <v>994</v>
      </c>
      <c r="B261" s="277"/>
      <c r="C261" s="262"/>
      <c r="D261" s="259"/>
      <c r="E261" s="259"/>
      <c r="F261" s="81"/>
      <c r="G261" s="81" t="s">
        <v>993</v>
      </c>
      <c r="H261" s="67" t="s">
        <v>3</v>
      </c>
      <c r="I261" s="256"/>
    </row>
    <row r="262" spans="1:9" x14ac:dyDescent="0.25">
      <c r="A262" s="199" t="s">
        <v>992</v>
      </c>
      <c r="B262" s="277"/>
      <c r="C262" s="262"/>
      <c r="D262" s="259"/>
      <c r="E262" s="259"/>
      <c r="F262" s="81"/>
      <c r="G262" s="81" t="s">
        <v>991</v>
      </c>
      <c r="H262" s="67" t="s">
        <v>3</v>
      </c>
      <c r="I262" s="256"/>
    </row>
    <row r="263" spans="1:9" x14ac:dyDescent="0.25">
      <c r="A263" s="199" t="s">
        <v>990</v>
      </c>
      <c r="B263" s="277"/>
      <c r="C263" s="263"/>
      <c r="D263" s="260"/>
      <c r="E263" s="260"/>
      <c r="F263" s="81"/>
      <c r="G263" s="81" t="s">
        <v>989</v>
      </c>
      <c r="H263" s="67" t="s">
        <v>3</v>
      </c>
      <c r="I263" s="257"/>
    </row>
    <row r="264" spans="1:9" ht="63.75" x14ac:dyDescent="0.25">
      <c r="A264" s="199" t="s">
        <v>988</v>
      </c>
      <c r="B264" s="277"/>
      <c r="C264" s="261" t="s">
        <v>987</v>
      </c>
      <c r="D264" s="164"/>
      <c r="E264" s="164"/>
      <c r="F264" s="81"/>
      <c r="G264" s="81" t="s">
        <v>986</v>
      </c>
      <c r="H264" s="67" t="s">
        <v>385</v>
      </c>
      <c r="I264" s="255" t="s">
        <v>985</v>
      </c>
    </row>
    <row r="265" spans="1:9" x14ac:dyDescent="0.25">
      <c r="A265" s="199" t="s">
        <v>984</v>
      </c>
      <c r="B265" s="277"/>
      <c r="C265" s="262"/>
      <c r="D265" s="164"/>
      <c r="E265" s="164"/>
      <c r="F265" s="81"/>
      <c r="G265" s="81" t="s">
        <v>983</v>
      </c>
      <c r="H265" s="67" t="s">
        <v>385</v>
      </c>
      <c r="I265" s="256"/>
    </row>
    <row r="266" spans="1:9" x14ac:dyDescent="0.25">
      <c r="A266" s="199" t="s">
        <v>982</v>
      </c>
      <c r="B266" s="277"/>
      <c r="C266" s="262"/>
      <c r="D266" s="164"/>
      <c r="E266" s="164"/>
      <c r="F266" s="81"/>
      <c r="G266" s="81" t="s">
        <v>981</v>
      </c>
      <c r="H266" s="67" t="s">
        <v>385</v>
      </c>
      <c r="I266" s="256"/>
    </row>
    <row r="267" spans="1:9" ht="25.5" x14ac:dyDescent="0.25">
      <c r="A267" s="199" t="s">
        <v>980</v>
      </c>
      <c r="B267" s="277"/>
      <c r="C267" s="262"/>
      <c r="D267" s="164"/>
      <c r="E267" s="164"/>
      <c r="F267" s="81"/>
      <c r="G267" s="81" t="s">
        <v>979</v>
      </c>
      <c r="H267" s="67" t="s">
        <v>385</v>
      </c>
      <c r="I267" s="256"/>
    </row>
    <row r="268" spans="1:9" x14ac:dyDescent="0.25">
      <c r="A268" s="199" t="s">
        <v>978</v>
      </c>
      <c r="B268" s="277"/>
      <c r="C268" s="263"/>
      <c r="D268" s="164"/>
      <c r="E268" s="164"/>
      <c r="F268" s="81"/>
      <c r="G268" s="81" t="s">
        <v>977</v>
      </c>
      <c r="H268" s="67" t="s">
        <v>385</v>
      </c>
      <c r="I268" s="257"/>
    </row>
    <row r="269" spans="1:9" ht="89.25" x14ac:dyDescent="0.25">
      <c r="A269" s="199" t="s">
        <v>976</v>
      </c>
      <c r="B269" s="277"/>
      <c r="C269" s="270" t="s">
        <v>324</v>
      </c>
      <c r="D269" s="273" t="s">
        <v>272</v>
      </c>
      <c r="E269" s="273"/>
      <c r="F269" s="68" t="s">
        <v>326</v>
      </c>
      <c r="G269" s="68" t="s">
        <v>584</v>
      </c>
      <c r="H269" s="67" t="s">
        <v>3</v>
      </c>
      <c r="I269" s="68"/>
    </row>
    <row r="270" spans="1:9" x14ac:dyDescent="0.25">
      <c r="A270" s="199" t="s">
        <v>975</v>
      </c>
      <c r="B270" s="277"/>
      <c r="C270" s="271"/>
      <c r="D270" s="274"/>
      <c r="E270" s="274"/>
      <c r="F270" s="68"/>
      <c r="G270" s="68" t="s">
        <v>585</v>
      </c>
      <c r="H270" s="67" t="s">
        <v>3</v>
      </c>
      <c r="I270" s="68"/>
    </row>
    <row r="271" spans="1:9" ht="25.5" x14ac:dyDescent="0.25">
      <c r="A271" s="199" t="s">
        <v>974</v>
      </c>
      <c r="B271" s="277"/>
      <c r="C271" s="271"/>
      <c r="D271" s="274"/>
      <c r="E271" s="274"/>
      <c r="F271" s="68"/>
      <c r="G271" s="68" t="s">
        <v>586</v>
      </c>
      <c r="H271" s="67" t="s">
        <v>3</v>
      </c>
      <c r="I271" s="68"/>
    </row>
    <row r="272" spans="1:9" x14ac:dyDescent="0.25">
      <c r="A272" s="199" t="s">
        <v>973</v>
      </c>
      <c r="B272" s="277"/>
      <c r="C272" s="271"/>
      <c r="D272" s="274"/>
      <c r="E272" s="274"/>
      <c r="F272" s="68"/>
      <c r="G272" s="68" t="s">
        <v>587</v>
      </c>
      <c r="H272" s="67" t="s">
        <v>3</v>
      </c>
      <c r="I272" s="68"/>
    </row>
    <row r="273" spans="1:9" x14ac:dyDescent="0.25">
      <c r="A273" s="199" t="s">
        <v>972</v>
      </c>
      <c r="B273" s="277"/>
      <c r="C273" s="271"/>
      <c r="D273" s="274"/>
      <c r="E273" s="274"/>
      <c r="F273" s="68"/>
      <c r="G273" s="68" t="s">
        <v>588</v>
      </c>
      <c r="H273" s="67" t="s">
        <v>3</v>
      </c>
      <c r="I273" s="68"/>
    </row>
    <row r="274" spans="1:9" x14ac:dyDescent="0.25">
      <c r="A274" s="199" t="s">
        <v>971</v>
      </c>
      <c r="B274" s="277"/>
      <c r="C274" s="271"/>
      <c r="D274" s="274"/>
      <c r="E274" s="274"/>
      <c r="F274" s="68"/>
      <c r="G274" s="68" t="s">
        <v>589</v>
      </c>
      <c r="H274" s="67" t="s">
        <v>3</v>
      </c>
      <c r="I274" s="68"/>
    </row>
    <row r="275" spans="1:9" x14ac:dyDescent="0.25">
      <c r="A275" s="199" t="s">
        <v>970</v>
      </c>
      <c r="B275" s="277"/>
      <c r="C275" s="271"/>
      <c r="D275" s="275"/>
      <c r="E275" s="275"/>
      <c r="F275" s="68"/>
      <c r="G275" s="68" t="s">
        <v>969</v>
      </c>
      <c r="H275" s="67" t="s">
        <v>3</v>
      </c>
      <c r="I275" s="68"/>
    </row>
    <row r="276" spans="1:9" ht="63.75" x14ac:dyDescent="0.25">
      <c r="A276" s="199" t="s">
        <v>968</v>
      </c>
      <c r="B276" s="277"/>
      <c r="C276" s="271"/>
      <c r="D276" s="273" t="s">
        <v>409</v>
      </c>
      <c r="E276" s="273"/>
      <c r="F276" s="68"/>
      <c r="G276" s="68" t="s">
        <v>592</v>
      </c>
      <c r="H276" s="67" t="s">
        <v>3</v>
      </c>
      <c r="I276" s="68"/>
    </row>
    <row r="277" spans="1:9" x14ac:dyDescent="0.25">
      <c r="A277" s="199" t="s">
        <v>967</v>
      </c>
      <c r="B277" s="277"/>
      <c r="C277" s="271"/>
      <c r="D277" s="274"/>
      <c r="E277" s="274"/>
      <c r="F277" s="68"/>
      <c r="G277" s="68" t="s">
        <v>585</v>
      </c>
      <c r="H277" s="67" t="s">
        <v>3</v>
      </c>
      <c r="I277" s="68"/>
    </row>
    <row r="278" spans="1:9" x14ac:dyDescent="0.25">
      <c r="A278" s="199" t="s">
        <v>966</v>
      </c>
      <c r="B278" s="277"/>
      <c r="C278" s="271"/>
      <c r="D278" s="274"/>
      <c r="E278" s="274"/>
      <c r="F278" s="68"/>
      <c r="G278" s="68" t="s">
        <v>593</v>
      </c>
      <c r="H278" s="67" t="s">
        <v>3</v>
      </c>
      <c r="I278" s="68"/>
    </row>
    <row r="279" spans="1:9" x14ac:dyDescent="0.25">
      <c r="A279" s="199" t="s">
        <v>965</v>
      </c>
      <c r="B279" s="277"/>
      <c r="C279" s="271"/>
      <c r="D279" s="274"/>
      <c r="E279" s="274"/>
      <c r="F279" s="68"/>
      <c r="G279" s="68" t="s">
        <v>594</v>
      </c>
      <c r="H279" s="67" t="s">
        <v>3</v>
      </c>
      <c r="I279" s="68"/>
    </row>
    <row r="280" spans="1:9" x14ac:dyDescent="0.25">
      <c r="A280" s="199" t="s">
        <v>964</v>
      </c>
      <c r="B280" s="277"/>
      <c r="C280" s="271"/>
      <c r="D280" s="274"/>
      <c r="E280" s="274"/>
      <c r="F280" s="68"/>
      <c r="G280" s="68" t="s">
        <v>588</v>
      </c>
      <c r="H280" s="67" t="s">
        <v>3</v>
      </c>
      <c r="I280" s="68"/>
    </row>
    <row r="281" spans="1:9" x14ac:dyDescent="0.25">
      <c r="A281" s="199" t="s">
        <v>963</v>
      </c>
      <c r="B281" s="277"/>
      <c r="C281" s="271"/>
      <c r="D281" s="274"/>
      <c r="E281" s="274"/>
      <c r="F281" s="68"/>
      <c r="G281" s="68" t="s">
        <v>595</v>
      </c>
      <c r="H281" s="67" t="s">
        <v>3</v>
      </c>
      <c r="I281" s="68"/>
    </row>
    <row r="282" spans="1:9" ht="25.5" x14ac:dyDescent="0.25">
      <c r="A282" s="199" t="s">
        <v>962</v>
      </c>
      <c r="B282" s="277"/>
      <c r="C282" s="271"/>
      <c r="D282" s="274"/>
      <c r="E282" s="274"/>
      <c r="F282" s="68"/>
      <c r="G282" s="68" t="s">
        <v>897</v>
      </c>
      <c r="H282" s="67" t="s">
        <v>3</v>
      </c>
      <c r="I282" s="68" t="s">
        <v>896</v>
      </c>
    </row>
    <row r="283" spans="1:9" x14ac:dyDescent="0.25">
      <c r="A283" s="199" t="s">
        <v>961</v>
      </c>
      <c r="B283" s="277"/>
      <c r="C283" s="271"/>
      <c r="D283" s="274"/>
      <c r="E283" s="274"/>
      <c r="F283" s="68"/>
      <c r="G283" s="68" t="s">
        <v>613</v>
      </c>
      <c r="H283" s="67" t="s">
        <v>3</v>
      </c>
      <c r="I283" s="68"/>
    </row>
    <row r="284" spans="1:9" x14ac:dyDescent="0.25">
      <c r="A284" s="199" t="s">
        <v>960</v>
      </c>
      <c r="B284" s="277"/>
      <c r="C284" s="271"/>
      <c r="D284" s="275"/>
      <c r="E284" s="275"/>
      <c r="F284" s="68"/>
      <c r="G284" s="68" t="s">
        <v>959</v>
      </c>
      <c r="H284" s="67" t="s">
        <v>3</v>
      </c>
      <c r="I284" s="68"/>
    </row>
    <row r="285" spans="1:9" ht="51" x14ac:dyDescent="0.25">
      <c r="A285" s="199" t="s">
        <v>958</v>
      </c>
      <c r="B285" s="277"/>
      <c r="C285" s="271"/>
      <c r="D285" s="273" t="s">
        <v>323</v>
      </c>
      <c r="E285" s="273"/>
      <c r="F285" s="68"/>
      <c r="G285" s="68" t="s">
        <v>597</v>
      </c>
      <c r="H285" s="67" t="s">
        <v>385</v>
      </c>
      <c r="I285" s="68"/>
    </row>
    <row r="286" spans="1:9" x14ac:dyDescent="0.25">
      <c r="A286" s="199" t="s">
        <v>957</v>
      </c>
      <c r="B286" s="277"/>
      <c r="C286" s="271"/>
      <c r="D286" s="274"/>
      <c r="E286" s="274"/>
      <c r="F286" s="68"/>
      <c r="G286" s="68" t="s">
        <v>585</v>
      </c>
      <c r="H286" s="67" t="s">
        <v>385</v>
      </c>
      <c r="I286" s="68"/>
    </row>
    <row r="287" spans="1:9" ht="25.5" x14ac:dyDescent="0.25">
      <c r="A287" s="199" t="s">
        <v>956</v>
      </c>
      <c r="B287" s="277"/>
      <c r="C287" s="271"/>
      <c r="D287" s="274"/>
      <c r="E287" s="274"/>
      <c r="F287" s="68"/>
      <c r="G287" s="68" t="s">
        <v>598</v>
      </c>
      <c r="H287" s="67" t="s">
        <v>385</v>
      </c>
      <c r="I287" s="68"/>
    </row>
    <row r="288" spans="1:9" ht="25.5" x14ac:dyDescent="0.25">
      <c r="A288" s="199" t="s">
        <v>955</v>
      </c>
      <c r="B288" s="277"/>
      <c r="C288" s="271"/>
      <c r="D288" s="274"/>
      <c r="E288" s="274"/>
      <c r="F288" s="68"/>
      <c r="G288" s="68" t="s">
        <v>599</v>
      </c>
      <c r="H288" s="67" t="s">
        <v>385</v>
      </c>
      <c r="I288" s="68"/>
    </row>
    <row r="289" spans="1:9" ht="25.5" x14ac:dyDescent="0.25">
      <c r="A289" s="199" t="s">
        <v>954</v>
      </c>
      <c r="B289" s="277"/>
      <c r="C289" s="271"/>
      <c r="D289" s="274"/>
      <c r="E289" s="274"/>
      <c r="F289" s="68"/>
      <c r="G289" s="68" t="s">
        <v>600</v>
      </c>
      <c r="H289" s="67" t="s">
        <v>385</v>
      </c>
      <c r="I289" s="68"/>
    </row>
    <row r="290" spans="1:9" ht="25.5" x14ac:dyDescent="0.25">
      <c r="A290" s="199" t="s">
        <v>953</v>
      </c>
      <c r="B290" s="277"/>
      <c r="C290" s="271"/>
      <c r="D290" s="274"/>
      <c r="E290" s="274"/>
      <c r="F290" s="68"/>
      <c r="G290" s="68" t="s">
        <v>601</v>
      </c>
      <c r="H290" s="67" t="s">
        <v>385</v>
      </c>
      <c r="I290" s="68"/>
    </row>
    <row r="291" spans="1:9" x14ac:dyDescent="0.25">
      <c r="A291" s="199" t="s">
        <v>952</v>
      </c>
      <c r="B291" s="277"/>
      <c r="C291" s="271"/>
      <c r="D291" s="274"/>
      <c r="E291" s="274"/>
      <c r="F291" s="68"/>
      <c r="G291" s="68" t="s">
        <v>602</v>
      </c>
      <c r="H291" s="67" t="s">
        <v>385</v>
      </c>
      <c r="I291" s="68"/>
    </row>
    <row r="292" spans="1:9" x14ac:dyDescent="0.25">
      <c r="A292" s="199" t="s">
        <v>951</v>
      </c>
      <c r="B292" s="277"/>
      <c r="C292" s="271"/>
      <c r="D292" s="275"/>
      <c r="E292" s="275"/>
      <c r="F292" s="68"/>
      <c r="G292" s="68" t="s">
        <v>591</v>
      </c>
      <c r="H292" s="67" t="s">
        <v>385</v>
      </c>
      <c r="I292" s="68"/>
    </row>
    <row r="293" spans="1:9" ht="76.5" x14ac:dyDescent="0.25">
      <c r="A293" s="199" t="s">
        <v>950</v>
      </c>
      <c r="B293" s="277"/>
      <c r="C293" s="271"/>
      <c r="D293" s="273" t="s">
        <v>374</v>
      </c>
      <c r="E293" s="273"/>
      <c r="F293" s="68"/>
      <c r="G293" s="68" t="s">
        <v>603</v>
      </c>
      <c r="H293" s="67" t="s">
        <v>385</v>
      </c>
      <c r="I293" s="68"/>
    </row>
    <row r="294" spans="1:9" x14ac:dyDescent="0.25">
      <c r="A294" s="199" t="s">
        <v>949</v>
      </c>
      <c r="B294" s="277"/>
      <c r="C294" s="271"/>
      <c r="D294" s="274"/>
      <c r="E294" s="274"/>
      <c r="F294" s="68"/>
      <c r="G294" s="68" t="s">
        <v>585</v>
      </c>
      <c r="H294" s="67" t="s">
        <v>385</v>
      </c>
      <c r="I294" s="68"/>
    </row>
    <row r="295" spans="1:9" x14ac:dyDescent="0.25">
      <c r="A295" s="199" t="s">
        <v>948</v>
      </c>
      <c r="B295" s="277"/>
      <c r="C295" s="271"/>
      <c r="D295" s="274"/>
      <c r="E295" s="274"/>
      <c r="F295" s="68"/>
      <c r="G295" s="68" t="s">
        <v>604</v>
      </c>
      <c r="H295" s="67" t="s">
        <v>385</v>
      </c>
      <c r="I295" s="68"/>
    </row>
    <row r="296" spans="1:9" x14ac:dyDescent="0.25">
      <c r="A296" s="199" t="s">
        <v>947</v>
      </c>
      <c r="B296" s="277"/>
      <c r="C296" s="271"/>
      <c r="D296" s="274"/>
      <c r="E296" s="274"/>
      <c r="F296" s="68"/>
      <c r="G296" s="68" t="s">
        <v>605</v>
      </c>
      <c r="H296" s="67" t="s">
        <v>385</v>
      </c>
      <c r="I296" s="68"/>
    </row>
    <row r="297" spans="1:9" x14ac:dyDescent="0.25">
      <c r="A297" s="199" t="s">
        <v>946</v>
      </c>
      <c r="B297" s="277"/>
      <c r="C297" s="271"/>
      <c r="D297" s="274"/>
      <c r="E297" s="274"/>
      <c r="F297" s="68"/>
      <c r="G297" s="68" t="s">
        <v>588</v>
      </c>
      <c r="H297" s="67" t="s">
        <v>385</v>
      </c>
      <c r="I297" s="68"/>
    </row>
    <row r="298" spans="1:9" x14ac:dyDescent="0.25">
      <c r="A298" s="199" t="s">
        <v>945</v>
      </c>
      <c r="B298" s="277"/>
      <c r="C298" s="271"/>
      <c r="D298" s="274"/>
      <c r="E298" s="274"/>
      <c r="F298" s="68"/>
      <c r="G298" s="68" t="s">
        <v>589</v>
      </c>
      <c r="H298" s="67" t="s">
        <v>385</v>
      </c>
      <c r="I298" s="68"/>
    </row>
    <row r="299" spans="1:9" x14ac:dyDescent="0.25">
      <c r="A299" s="199" t="s">
        <v>944</v>
      </c>
      <c r="B299" s="277"/>
      <c r="C299" s="271"/>
      <c r="D299" s="274"/>
      <c r="E299" s="274"/>
      <c r="F299" s="68"/>
      <c r="G299" s="68" t="s">
        <v>590</v>
      </c>
      <c r="H299" s="67" t="s">
        <v>385</v>
      </c>
      <c r="I299" s="68"/>
    </row>
    <row r="300" spans="1:9" ht="25.5" x14ac:dyDescent="0.25">
      <c r="A300" s="199" t="s">
        <v>943</v>
      </c>
      <c r="B300" s="277"/>
      <c r="C300" s="271"/>
      <c r="D300" s="274"/>
      <c r="E300" s="274"/>
      <c r="F300" s="68"/>
      <c r="G300" s="68" t="s">
        <v>942</v>
      </c>
      <c r="H300" s="67" t="s">
        <v>385</v>
      </c>
      <c r="I300" s="68" t="s">
        <v>896</v>
      </c>
    </row>
    <row r="301" spans="1:9" x14ac:dyDescent="0.25">
      <c r="A301" s="199" t="s">
        <v>941</v>
      </c>
      <c r="B301" s="277"/>
      <c r="C301" s="271"/>
      <c r="D301" s="274"/>
      <c r="E301" s="274"/>
      <c r="F301" s="68"/>
      <c r="G301" s="68" t="s">
        <v>940</v>
      </c>
      <c r="H301" s="67" t="s">
        <v>385</v>
      </c>
      <c r="I301" s="68"/>
    </row>
    <row r="302" spans="1:9" ht="25.5" x14ac:dyDescent="0.25">
      <c r="A302" s="199" t="s">
        <v>939</v>
      </c>
      <c r="B302" s="277"/>
      <c r="C302" s="271"/>
      <c r="D302" s="275"/>
      <c r="E302" s="275"/>
      <c r="F302" s="68"/>
      <c r="G302" s="68" t="s">
        <v>938</v>
      </c>
      <c r="H302" s="67" t="s">
        <v>385</v>
      </c>
      <c r="I302" s="68"/>
    </row>
    <row r="303" spans="1:9" ht="63.75" x14ac:dyDescent="0.25">
      <c r="A303" s="199" t="s">
        <v>937</v>
      </c>
      <c r="B303" s="277"/>
      <c r="C303" s="271"/>
      <c r="D303" s="273" t="s">
        <v>606</v>
      </c>
      <c r="E303" s="273"/>
      <c r="F303" s="68"/>
      <c r="G303" s="68" t="s">
        <v>607</v>
      </c>
      <c r="H303" s="67" t="s">
        <v>385</v>
      </c>
      <c r="I303" s="68"/>
    </row>
    <row r="304" spans="1:9" x14ac:dyDescent="0.25">
      <c r="A304" s="199" t="s">
        <v>936</v>
      </c>
      <c r="B304" s="277"/>
      <c r="C304" s="271"/>
      <c r="D304" s="274"/>
      <c r="E304" s="274"/>
      <c r="F304" s="68"/>
      <c r="G304" s="68" t="s">
        <v>585</v>
      </c>
      <c r="H304" s="67" t="s">
        <v>385</v>
      </c>
      <c r="I304" s="68"/>
    </row>
    <row r="305" spans="1:9" x14ac:dyDescent="0.25">
      <c r="A305" s="199" t="s">
        <v>935</v>
      </c>
      <c r="B305" s="277"/>
      <c r="C305" s="271"/>
      <c r="D305" s="274"/>
      <c r="E305" s="274"/>
      <c r="F305" s="68"/>
      <c r="G305" s="68" t="s">
        <v>608</v>
      </c>
      <c r="H305" s="67" t="s">
        <v>385</v>
      </c>
      <c r="I305" s="68"/>
    </row>
    <row r="306" spans="1:9" x14ac:dyDescent="0.25">
      <c r="A306" s="199" t="s">
        <v>934</v>
      </c>
      <c r="B306" s="277"/>
      <c r="C306" s="271"/>
      <c r="D306" s="274"/>
      <c r="E306" s="274"/>
      <c r="F306" s="68"/>
      <c r="G306" s="68" t="s">
        <v>609</v>
      </c>
      <c r="H306" s="67" t="s">
        <v>385</v>
      </c>
      <c r="I306" s="68"/>
    </row>
    <row r="307" spans="1:9" x14ac:dyDescent="0.25">
      <c r="A307" s="199" t="s">
        <v>933</v>
      </c>
      <c r="B307" s="277"/>
      <c r="C307" s="271"/>
      <c r="D307" s="274"/>
      <c r="E307" s="274"/>
      <c r="F307" s="68"/>
      <c r="G307" s="68" t="s">
        <v>588</v>
      </c>
      <c r="H307" s="67" t="s">
        <v>385</v>
      </c>
      <c r="I307" s="68"/>
    </row>
    <row r="308" spans="1:9" x14ac:dyDescent="0.25">
      <c r="A308" s="199" t="s">
        <v>932</v>
      </c>
      <c r="B308" s="277"/>
      <c r="C308" s="271"/>
      <c r="D308" s="274"/>
      <c r="E308" s="274"/>
      <c r="F308" s="68"/>
      <c r="G308" s="68" t="s">
        <v>589</v>
      </c>
      <c r="H308" s="67" t="s">
        <v>385</v>
      </c>
      <c r="I308" s="68"/>
    </row>
    <row r="309" spans="1:9" x14ac:dyDescent="0.25">
      <c r="A309" s="199" t="s">
        <v>931</v>
      </c>
      <c r="B309" s="277"/>
      <c r="C309" s="271"/>
      <c r="D309" s="275"/>
      <c r="E309" s="275"/>
      <c r="F309" s="68"/>
      <c r="G309" s="68" t="s">
        <v>610</v>
      </c>
      <c r="H309" s="67" t="s">
        <v>385</v>
      </c>
      <c r="I309" s="68"/>
    </row>
    <row r="310" spans="1:9" ht="102" x14ac:dyDescent="0.25">
      <c r="A310" s="199" t="s">
        <v>930</v>
      </c>
      <c r="B310" s="277"/>
      <c r="C310" s="271"/>
      <c r="D310" s="273" t="s">
        <v>408</v>
      </c>
      <c r="E310" s="273"/>
      <c r="F310" s="68"/>
      <c r="G310" s="68" t="s">
        <v>611</v>
      </c>
      <c r="H310" s="67" t="s">
        <v>3</v>
      </c>
      <c r="I310" s="68"/>
    </row>
    <row r="311" spans="1:9" x14ac:dyDescent="0.25">
      <c r="A311" s="199" t="s">
        <v>929</v>
      </c>
      <c r="B311" s="277"/>
      <c r="C311" s="271"/>
      <c r="D311" s="274"/>
      <c r="E311" s="274"/>
      <c r="F311" s="68"/>
      <c r="G311" s="68" t="s">
        <v>585</v>
      </c>
      <c r="H311" s="67" t="s">
        <v>3</v>
      </c>
      <c r="I311" s="68"/>
    </row>
    <row r="312" spans="1:9" x14ac:dyDescent="0.25">
      <c r="A312" s="199" t="s">
        <v>928</v>
      </c>
      <c r="B312" s="277"/>
      <c r="C312" s="271"/>
      <c r="D312" s="274"/>
      <c r="E312" s="274"/>
      <c r="F312" s="68"/>
      <c r="G312" s="68" t="s">
        <v>604</v>
      </c>
      <c r="H312" s="67" t="s">
        <v>3</v>
      </c>
      <c r="I312" s="68"/>
    </row>
    <row r="313" spans="1:9" x14ac:dyDescent="0.25">
      <c r="A313" s="199" t="s">
        <v>927</v>
      </c>
      <c r="B313" s="277"/>
      <c r="C313" s="271"/>
      <c r="D313" s="274"/>
      <c r="E313" s="274"/>
      <c r="F313" s="68"/>
      <c r="G313" s="68" t="s">
        <v>612</v>
      </c>
      <c r="H313" s="67" t="s">
        <v>3</v>
      </c>
      <c r="I313" s="68"/>
    </row>
    <row r="314" spans="1:9" x14ac:dyDescent="0.25">
      <c r="A314" s="199" t="s">
        <v>926</v>
      </c>
      <c r="B314" s="277"/>
      <c r="C314" s="271"/>
      <c r="D314" s="274"/>
      <c r="E314" s="274"/>
      <c r="F314" s="68"/>
      <c r="G314" s="68" t="s">
        <v>588</v>
      </c>
      <c r="H314" s="67" t="s">
        <v>3</v>
      </c>
      <c r="I314" s="68"/>
    </row>
    <row r="315" spans="1:9" x14ac:dyDescent="0.25">
      <c r="A315" s="199" t="s">
        <v>925</v>
      </c>
      <c r="B315" s="277"/>
      <c r="C315" s="271"/>
      <c r="D315" s="274"/>
      <c r="E315" s="274"/>
      <c r="F315" s="68"/>
      <c r="G315" s="68" t="s">
        <v>595</v>
      </c>
      <c r="H315" s="67" t="s">
        <v>3</v>
      </c>
      <c r="I315" s="68"/>
    </row>
    <row r="316" spans="1:9" ht="25.5" x14ac:dyDescent="0.25">
      <c r="A316" s="199" t="s">
        <v>924</v>
      </c>
      <c r="B316" s="277"/>
      <c r="C316" s="271"/>
      <c r="D316" s="274"/>
      <c r="E316" s="274"/>
      <c r="F316" s="68"/>
      <c r="G316" s="68" t="s">
        <v>897</v>
      </c>
      <c r="H316" s="67" t="s">
        <v>3</v>
      </c>
      <c r="I316" s="68" t="s">
        <v>896</v>
      </c>
    </row>
    <row r="317" spans="1:9" x14ac:dyDescent="0.25">
      <c r="A317" s="199" t="s">
        <v>923</v>
      </c>
      <c r="B317" s="277"/>
      <c r="C317" s="271"/>
      <c r="D317" s="274"/>
      <c r="E317" s="274"/>
      <c r="F317" s="68"/>
      <c r="G317" s="68"/>
      <c r="H317" s="67" t="s">
        <v>3</v>
      </c>
      <c r="I317" s="68"/>
    </row>
    <row r="318" spans="1:9" x14ac:dyDescent="0.25">
      <c r="A318" s="199" t="s">
        <v>922</v>
      </c>
      <c r="B318" s="277"/>
      <c r="C318" s="271"/>
      <c r="D318" s="274"/>
      <c r="E318" s="274"/>
      <c r="F318" s="68"/>
      <c r="G318" s="68" t="s">
        <v>921</v>
      </c>
      <c r="H318" s="67" t="s">
        <v>3</v>
      </c>
      <c r="I318" s="68"/>
    </row>
    <row r="319" spans="1:9" x14ac:dyDescent="0.25">
      <c r="A319" s="199" t="s">
        <v>920</v>
      </c>
      <c r="B319" s="277"/>
      <c r="C319" s="271"/>
      <c r="D319" s="275"/>
      <c r="E319" s="275"/>
      <c r="F319" s="68"/>
      <c r="G319" s="68" t="s">
        <v>919</v>
      </c>
      <c r="H319" s="67" t="s">
        <v>3</v>
      </c>
      <c r="I319" s="68"/>
    </row>
    <row r="320" spans="1:9" ht="89.25" x14ac:dyDescent="0.25">
      <c r="A320" s="199" t="s">
        <v>918</v>
      </c>
      <c r="B320" s="277"/>
      <c r="C320" s="271"/>
      <c r="D320" s="273" t="s">
        <v>322</v>
      </c>
      <c r="E320" s="273"/>
      <c r="F320" s="68"/>
      <c r="G320" s="68" t="s">
        <v>614</v>
      </c>
      <c r="H320" s="67" t="s">
        <v>3</v>
      </c>
      <c r="I320" s="68"/>
    </row>
    <row r="321" spans="1:9" x14ac:dyDescent="0.25">
      <c r="A321" s="199" t="s">
        <v>917</v>
      </c>
      <c r="B321" s="277"/>
      <c r="C321" s="271"/>
      <c r="D321" s="274"/>
      <c r="E321" s="274"/>
      <c r="F321" s="68"/>
      <c r="G321" s="68" t="s">
        <v>585</v>
      </c>
      <c r="H321" s="67" t="s">
        <v>3</v>
      </c>
      <c r="I321" s="68"/>
    </row>
    <row r="322" spans="1:9" x14ac:dyDescent="0.25">
      <c r="A322" s="199" t="s">
        <v>916</v>
      </c>
      <c r="B322" s="277"/>
      <c r="C322" s="271"/>
      <c r="D322" s="274"/>
      <c r="E322" s="274"/>
      <c r="F322" s="68"/>
      <c r="G322" s="68" t="s">
        <v>604</v>
      </c>
      <c r="H322" s="67" t="s">
        <v>3</v>
      </c>
      <c r="I322" s="68"/>
    </row>
    <row r="323" spans="1:9" x14ac:dyDescent="0.25">
      <c r="A323" s="199" t="s">
        <v>915</v>
      </c>
      <c r="B323" s="277"/>
      <c r="C323" s="271"/>
      <c r="D323" s="274"/>
      <c r="E323" s="274"/>
      <c r="F323" s="68"/>
      <c r="G323" s="68" t="s">
        <v>615</v>
      </c>
      <c r="H323" s="67" t="s">
        <v>3</v>
      </c>
      <c r="I323" s="68"/>
    </row>
    <row r="324" spans="1:9" x14ac:dyDescent="0.25">
      <c r="A324" s="199" t="s">
        <v>914</v>
      </c>
      <c r="B324" s="277"/>
      <c r="C324" s="271"/>
      <c r="D324" s="274"/>
      <c r="E324" s="274"/>
      <c r="F324" s="68"/>
      <c r="G324" s="68" t="s">
        <v>588</v>
      </c>
      <c r="H324" s="67" t="s">
        <v>3</v>
      </c>
      <c r="I324" s="68"/>
    </row>
    <row r="325" spans="1:9" x14ac:dyDescent="0.25">
      <c r="A325" s="199" t="s">
        <v>913</v>
      </c>
      <c r="B325" s="277"/>
      <c r="C325" s="271"/>
      <c r="D325" s="275"/>
      <c r="E325" s="275"/>
      <c r="F325" s="68"/>
      <c r="G325" s="68" t="s">
        <v>589</v>
      </c>
      <c r="H325" s="67" t="s">
        <v>3</v>
      </c>
      <c r="I325" s="68"/>
    </row>
    <row r="326" spans="1:9" ht="102" x14ac:dyDescent="0.25">
      <c r="A326" s="199" t="s">
        <v>912</v>
      </c>
      <c r="B326" s="277"/>
      <c r="C326" s="271"/>
      <c r="D326" s="273" t="s">
        <v>1292</v>
      </c>
      <c r="E326" s="273"/>
      <c r="F326" s="68"/>
      <c r="G326" s="68" t="s">
        <v>1293</v>
      </c>
      <c r="H326" s="67" t="s">
        <v>3</v>
      </c>
      <c r="I326" s="68"/>
    </row>
    <row r="327" spans="1:9" x14ac:dyDescent="0.25">
      <c r="A327" s="199" t="s">
        <v>911</v>
      </c>
      <c r="B327" s="277"/>
      <c r="C327" s="271"/>
      <c r="D327" s="274"/>
      <c r="E327" s="274"/>
      <c r="F327" s="68"/>
      <c r="G327" s="68" t="s">
        <v>585</v>
      </c>
      <c r="H327" s="67" t="s">
        <v>3</v>
      </c>
      <c r="I327" s="68"/>
    </row>
    <row r="328" spans="1:9" x14ac:dyDescent="0.25">
      <c r="A328" s="199" t="s">
        <v>910</v>
      </c>
      <c r="B328" s="277"/>
      <c r="C328" s="271"/>
      <c r="D328" s="274"/>
      <c r="E328" s="274"/>
      <c r="F328" s="68"/>
      <c r="G328" s="68" t="s">
        <v>604</v>
      </c>
      <c r="H328" s="67" t="s">
        <v>3</v>
      </c>
      <c r="I328" s="68"/>
    </row>
    <row r="329" spans="1:9" x14ac:dyDescent="0.25">
      <c r="A329" s="199" t="s">
        <v>909</v>
      </c>
      <c r="B329" s="277"/>
      <c r="C329" s="271"/>
      <c r="D329" s="274"/>
      <c r="E329" s="274"/>
      <c r="F329" s="68"/>
      <c r="G329" s="68" t="s">
        <v>1294</v>
      </c>
      <c r="H329" s="67" t="s">
        <v>3</v>
      </c>
      <c r="I329" s="68"/>
    </row>
    <row r="330" spans="1:9" x14ac:dyDescent="0.25">
      <c r="A330" s="199" t="s">
        <v>908</v>
      </c>
      <c r="B330" s="277"/>
      <c r="C330" s="271"/>
      <c r="D330" s="274"/>
      <c r="E330" s="274"/>
      <c r="F330" s="68"/>
      <c r="G330" s="68" t="s">
        <v>588</v>
      </c>
      <c r="H330" s="67" t="s">
        <v>3</v>
      </c>
      <c r="I330" s="68"/>
    </row>
    <row r="331" spans="1:9" x14ac:dyDescent="0.25">
      <c r="A331" s="199" t="s">
        <v>907</v>
      </c>
      <c r="B331" s="277"/>
      <c r="C331" s="271"/>
      <c r="D331" s="274"/>
      <c r="E331" s="274"/>
      <c r="F331" s="68"/>
      <c r="G331" s="68" t="s">
        <v>1295</v>
      </c>
      <c r="H331" s="67" t="s">
        <v>3</v>
      </c>
      <c r="I331" s="68"/>
    </row>
    <row r="332" spans="1:9" x14ac:dyDescent="0.25">
      <c r="A332" s="199" t="s">
        <v>906</v>
      </c>
      <c r="B332" s="277"/>
      <c r="C332" s="271"/>
      <c r="D332" s="275"/>
      <c r="E332" s="275"/>
      <c r="F332" s="68"/>
      <c r="G332" s="68" t="s">
        <v>596</v>
      </c>
      <c r="H332" s="67" t="s">
        <v>3</v>
      </c>
      <c r="I332" s="68"/>
    </row>
    <row r="333" spans="1:9" ht="76.5" x14ac:dyDescent="0.25">
      <c r="A333" s="199" t="s">
        <v>905</v>
      </c>
      <c r="B333" s="278"/>
      <c r="C333" s="271"/>
      <c r="D333" s="273" t="s">
        <v>84</v>
      </c>
      <c r="E333" s="273"/>
      <c r="F333" s="68"/>
      <c r="G333" s="68" t="s">
        <v>616</v>
      </c>
      <c r="H333" s="67" t="s">
        <v>3</v>
      </c>
      <c r="I333" s="68"/>
    </row>
    <row r="334" spans="1:9" x14ac:dyDescent="0.25">
      <c r="A334" s="199" t="s">
        <v>904</v>
      </c>
      <c r="B334" s="276"/>
      <c r="C334" s="271"/>
      <c r="D334" s="274"/>
      <c r="E334" s="274"/>
      <c r="F334" s="165"/>
      <c r="G334" s="165" t="s">
        <v>585</v>
      </c>
      <c r="H334" s="67" t="s">
        <v>3</v>
      </c>
      <c r="I334" s="68"/>
    </row>
    <row r="335" spans="1:9" x14ac:dyDescent="0.25">
      <c r="A335" s="199" t="s">
        <v>903</v>
      </c>
      <c r="B335" s="277"/>
      <c r="C335" s="271"/>
      <c r="D335" s="274"/>
      <c r="E335" s="274"/>
      <c r="F335" s="165"/>
      <c r="G335" s="165" t="s">
        <v>604</v>
      </c>
      <c r="H335" s="67" t="s">
        <v>3</v>
      </c>
      <c r="I335" s="68"/>
    </row>
    <row r="336" spans="1:9" x14ac:dyDescent="0.25">
      <c r="A336" s="199" t="s">
        <v>902</v>
      </c>
      <c r="B336" s="277"/>
      <c r="C336" s="271"/>
      <c r="D336" s="274"/>
      <c r="E336" s="274"/>
      <c r="F336" s="165"/>
      <c r="G336" s="165" t="s">
        <v>617</v>
      </c>
      <c r="H336" s="67" t="s">
        <v>3</v>
      </c>
      <c r="I336" s="68"/>
    </row>
    <row r="337" spans="1:9" x14ac:dyDescent="0.25">
      <c r="A337" s="199" t="s">
        <v>901</v>
      </c>
      <c r="B337" s="277"/>
      <c r="C337" s="271"/>
      <c r="D337" s="274"/>
      <c r="E337" s="274"/>
      <c r="F337" s="165"/>
      <c r="G337" s="165" t="s">
        <v>588</v>
      </c>
      <c r="H337" s="67" t="s">
        <v>3</v>
      </c>
      <c r="I337" s="68"/>
    </row>
    <row r="338" spans="1:9" ht="25.5" x14ac:dyDescent="0.25">
      <c r="A338" s="199" t="s">
        <v>900</v>
      </c>
      <c r="B338" s="277"/>
      <c r="C338" s="271"/>
      <c r="D338" s="274"/>
      <c r="E338" s="274"/>
      <c r="F338" s="165"/>
      <c r="G338" s="165" t="s">
        <v>899</v>
      </c>
      <c r="H338" s="67" t="s">
        <v>3</v>
      </c>
      <c r="I338" s="68" t="s">
        <v>896</v>
      </c>
    </row>
    <row r="339" spans="1:9" ht="25.5" x14ac:dyDescent="0.25">
      <c r="A339" s="199" t="s">
        <v>898</v>
      </c>
      <c r="B339" s="277"/>
      <c r="C339" s="271"/>
      <c r="D339" s="274"/>
      <c r="E339" s="274"/>
      <c r="F339" s="68"/>
      <c r="G339" s="68" t="s">
        <v>897</v>
      </c>
      <c r="H339" s="67" t="s">
        <v>3</v>
      </c>
      <c r="I339" s="68" t="s">
        <v>896</v>
      </c>
    </row>
    <row r="340" spans="1:9" ht="25.5" x14ac:dyDescent="0.25">
      <c r="A340" s="199" t="s">
        <v>895</v>
      </c>
      <c r="B340" s="277"/>
      <c r="C340" s="271"/>
      <c r="D340" s="274"/>
      <c r="E340" s="274"/>
      <c r="F340" s="165"/>
      <c r="G340" s="165" t="s">
        <v>894</v>
      </c>
      <c r="H340" s="67" t="s">
        <v>3</v>
      </c>
      <c r="I340" s="68"/>
    </row>
    <row r="341" spans="1:9" x14ac:dyDescent="0.25">
      <c r="A341" s="199" t="s">
        <v>893</v>
      </c>
      <c r="B341" s="278"/>
      <c r="C341" s="272"/>
      <c r="D341" s="275"/>
      <c r="E341" s="275"/>
      <c r="F341" s="165"/>
      <c r="G341" s="165" t="s">
        <v>596</v>
      </c>
      <c r="H341" s="67" t="s">
        <v>3</v>
      </c>
      <c r="I341" s="68"/>
    </row>
    <row r="342" spans="1:9" s="200" customFormat="1" ht="63.75" x14ac:dyDescent="0.25">
      <c r="A342" s="199" t="s">
        <v>892</v>
      </c>
      <c r="B342" s="282"/>
      <c r="C342" s="270"/>
      <c r="D342" s="204" t="s">
        <v>618</v>
      </c>
      <c r="E342" s="288"/>
      <c r="F342" s="82"/>
      <c r="G342" s="82" t="s">
        <v>619</v>
      </c>
      <c r="H342" s="67" t="s">
        <v>3</v>
      </c>
      <c r="I342" s="79"/>
    </row>
    <row r="343" spans="1:9" s="200" customFormat="1" x14ac:dyDescent="0.25">
      <c r="A343" s="199" t="s">
        <v>891</v>
      </c>
      <c r="B343" s="283"/>
      <c r="C343" s="271"/>
      <c r="D343" s="203"/>
      <c r="E343" s="289"/>
      <c r="F343" s="82"/>
      <c r="G343" s="82" t="s">
        <v>620</v>
      </c>
      <c r="H343" s="67" t="s">
        <v>3</v>
      </c>
      <c r="I343" s="79"/>
    </row>
    <row r="344" spans="1:9" s="200" customFormat="1" ht="25.5" x14ac:dyDescent="0.25">
      <c r="A344" s="199" t="s">
        <v>890</v>
      </c>
      <c r="B344" s="283"/>
      <c r="C344" s="271"/>
      <c r="D344" s="203"/>
      <c r="E344" s="289"/>
      <c r="F344" s="82"/>
      <c r="G344" s="82" t="s">
        <v>621</v>
      </c>
      <c r="H344" s="67" t="s">
        <v>3</v>
      </c>
      <c r="I344" s="79"/>
    </row>
    <row r="345" spans="1:9" s="200" customFormat="1" ht="25.5" x14ac:dyDescent="0.25">
      <c r="A345" s="199" t="s">
        <v>889</v>
      </c>
      <c r="B345" s="283"/>
      <c r="C345" s="271"/>
      <c r="D345" s="203"/>
      <c r="E345" s="289"/>
      <c r="F345" s="82"/>
      <c r="G345" s="82" t="s">
        <v>888</v>
      </c>
      <c r="H345" s="67" t="s">
        <v>3</v>
      </c>
      <c r="I345" s="79"/>
    </row>
    <row r="346" spans="1:9" s="200" customFormat="1" ht="25.5" x14ac:dyDescent="0.25">
      <c r="A346" s="199" t="s">
        <v>887</v>
      </c>
      <c r="B346" s="283"/>
      <c r="C346" s="271"/>
      <c r="D346" s="203"/>
      <c r="E346" s="289"/>
      <c r="F346" s="82"/>
      <c r="G346" s="82" t="s">
        <v>886</v>
      </c>
      <c r="H346" s="67" t="s">
        <v>3</v>
      </c>
      <c r="I346" s="79"/>
    </row>
    <row r="347" spans="1:9" s="200" customFormat="1" x14ac:dyDescent="0.25">
      <c r="A347" s="199" t="s">
        <v>885</v>
      </c>
      <c r="B347" s="283"/>
      <c r="C347" s="271"/>
      <c r="D347" s="203"/>
      <c r="E347" s="289"/>
      <c r="F347" s="82"/>
      <c r="G347" s="82" t="s">
        <v>589</v>
      </c>
      <c r="H347" s="67" t="s">
        <v>3</v>
      </c>
      <c r="I347" s="79"/>
    </row>
    <row r="348" spans="1:9" s="200" customFormat="1" x14ac:dyDescent="0.25">
      <c r="A348" s="199" t="s">
        <v>884</v>
      </c>
      <c r="B348" s="284"/>
      <c r="C348" s="272"/>
      <c r="D348" s="202"/>
      <c r="E348" s="290"/>
      <c r="F348" s="79"/>
      <c r="G348" s="201" t="s">
        <v>883</v>
      </c>
      <c r="H348" s="67" t="s">
        <v>3</v>
      </c>
      <c r="I348" s="79"/>
    </row>
    <row r="349" spans="1:9" s="200" customFormat="1" ht="51" x14ac:dyDescent="0.25">
      <c r="A349" s="199" t="s">
        <v>882</v>
      </c>
      <c r="B349" s="267"/>
      <c r="C349" s="279"/>
      <c r="D349" s="304" t="s">
        <v>81</v>
      </c>
      <c r="E349" s="293"/>
      <c r="F349" s="79"/>
      <c r="G349" s="79" t="s">
        <v>622</v>
      </c>
      <c r="H349" s="67" t="s">
        <v>3</v>
      </c>
      <c r="I349" s="79"/>
    </row>
    <row r="350" spans="1:9" s="200" customFormat="1" x14ac:dyDescent="0.25">
      <c r="A350" s="199" t="s">
        <v>881</v>
      </c>
      <c r="B350" s="268"/>
      <c r="C350" s="280"/>
      <c r="D350" s="305"/>
      <c r="E350" s="294"/>
      <c r="F350" s="79"/>
      <c r="G350" s="79" t="s">
        <v>623</v>
      </c>
      <c r="H350" s="67" t="s">
        <v>385</v>
      </c>
      <c r="I350" s="79"/>
    </row>
    <row r="351" spans="1:9" s="200" customFormat="1" x14ac:dyDescent="0.25">
      <c r="A351" s="199" t="s">
        <v>880</v>
      </c>
      <c r="B351" s="268"/>
      <c r="C351" s="280"/>
      <c r="D351" s="305"/>
      <c r="E351" s="294"/>
      <c r="F351" s="79"/>
      <c r="G351" s="79" t="s">
        <v>624</v>
      </c>
      <c r="H351" s="67" t="s">
        <v>3</v>
      </c>
      <c r="I351" s="79"/>
    </row>
    <row r="352" spans="1:9" s="200" customFormat="1" x14ac:dyDescent="0.25">
      <c r="A352" s="199" t="s">
        <v>879</v>
      </c>
      <c r="B352" s="268"/>
      <c r="C352" s="280"/>
      <c r="D352" s="305"/>
      <c r="E352" s="294"/>
      <c r="F352" s="79"/>
      <c r="G352" s="79" t="s">
        <v>625</v>
      </c>
      <c r="H352" s="67" t="s">
        <v>3</v>
      </c>
      <c r="I352" s="79"/>
    </row>
    <row r="353" spans="1:9" s="200" customFormat="1" x14ac:dyDescent="0.25">
      <c r="A353" s="199" t="s">
        <v>878</v>
      </c>
      <c r="B353" s="268"/>
      <c r="C353" s="280"/>
      <c r="D353" s="305"/>
      <c r="E353" s="294"/>
      <c r="F353" s="79"/>
      <c r="G353" s="79" t="s">
        <v>626</v>
      </c>
      <c r="H353" s="67" t="s">
        <v>3</v>
      </c>
      <c r="I353" s="79"/>
    </row>
    <row r="354" spans="1:9" s="200" customFormat="1" ht="25.5" x14ac:dyDescent="0.25">
      <c r="A354" s="199" t="s">
        <v>877</v>
      </c>
      <c r="B354" s="268"/>
      <c r="C354" s="280"/>
      <c r="D354" s="305"/>
      <c r="E354" s="294"/>
      <c r="F354" s="79"/>
      <c r="G354" s="79" t="s">
        <v>627</v>
      </c>
      <c r="H354" s="67" t="s">
        <v>3</v>
      </c>
      <c r="I354" s="79"/>
    </row>
    <row r="355" spans="1:9" s="200" customFormat="1" ht="51" x14ac:dyDescent="0.25">
      <c r="A355" s="199" t="s">
        <v>876</v>
      </c>
      <c r="B355" s="268"/>
      <c r="C355" s="280"/>
      <c r="D355" s="305"/>
      <c r="E355" s="294"/>
      <c r="F355" s="79"/>
      <c r="G355" s="79" t="s">
        <v>628</v>
      </c>
      <c r="H355" s="67" t="s">
        <v>3</v>
      </c>
      <c r="I355" s="79"/>
    </row>
    <row r="356" spans="1:9" s="200" customFormat="1" ht="38.25" x14ac:dyDescent="0.25">
      <c r="A356" s="199" t="s">
        <v>875</v>
      </c>
      <c r="B356" s="268"/>
      <c r="C356" s="280"/>
      <c r="D356" s="305"/>
      <c r="E356" s="294"/>
      <c r="F356" s="79"/>
      <c r="G356" s="79" t="s">
        <v>629</v>
      </c>
      <c r="H356" s="67" t="s">
        <v>3</v>
      </c>
      <c r="I356" s="79"/>
    </row>
    <row r="357" spans="1:9" s="200" customFormat="1" ht="25.5" x14ac:dyDescent="0.25">
      <c r="A357" s="199" t="s">
        <v>874</v>
      </c>
      <c r="B357" s="268"/>
      <c r="C357" s="280"/>
      <c r="D357" s="305"/>
      <c r="E357" s="294"/>
      <c r="F357" s="79"/>
      <c r="G357" s="79" t="s">
        <v>630</v>
      </c>
      <c r="H357" s="67" t="s">
        <v>3</v>
      </c>
      <c r="I357" s="79"/>
    </row>
    <row r="358" spans="1:9" s="200" customFormat="1" x14ac:dyDescent="0.25">
      <c r="A358" s="199" t="s">
        <v>873</v>
      </c>
      <c r="B358" s="268"/>
      <c r="C358" s="280"/>
      <c r="D358" s="305"/>
      <c r="E358" s="294"/>
      <c r="F358" s="79"/>
      <c r="G358" s="79" t="s">
        <v>631</v>
      </c>
      <c r="H358" s="67" t="s">
        <v>3</v>
      </c>
      <c r="I358" s="79"/>
    </row>
    <row r="359" spans="1:9" s="200" customFormat="1" x14ac:dyDescent="0.25">
      <c r="A359" s="199" t="s">
        <v>872</v>
      </c>
      <c r="B359" s="268"/>
      <c r="C359" s="280"/>
      <c r="D359" s="305"/>
      <c r="E359" s="294"/>
      <c r="F359" s="79"/>
      <c r="G359" s="79" t="s">
        <v>632</v>
      </c>
      <c r="H359" s="67" t="s">
        <v>3</v>
      </c>
      <c r="I359" s="79"/>
    </row>
    <row r="360" spans="1:9" s="200" customFormat="1" x14ac:dyDescent="0.25">
      <c r="A360" s="199" t="s">
        <v>871</v>
      </c>
      <c r="B360" s="269"/>
      <c r="C360" s="281"/>
      <c r="D360" s="306"/>
      <c r="E360" s="295"/>
      <c r="F360" s="79"/>
      <c r="G360" s="79" t="s">
        <v>633</v>
      </c>
      <c r="H360" s="67" t="s">
        <v>3</v>
      </c>
      <c r="I360" s="79"/>
    </row>
    <row r="361" spans="1:9" s="200" customFormat="1" ht="102" x14ac:dyDescent="0.25">
      <c r="A361" s="199" t="s">
        <v>870</v>
      </c>
      <c r="B361" s="267"/>
      <c r="C361" s="279"/>
      <c r="D361" s="304" t="s">
        <v>325</v>
      </c>
      <c r="E361" s="293"/>
      <c r="F361" s="79"/>
      <c r="G361" s="83" t="s">
        <v>634</v>
      </c>
      <c r="H361" s="67" t="s">
        <v>385</v>
      </c>
      <c r="I361" s="79"/>
    </row>
    <row r="362" spans="1:9" s="200" customFormat="1" ht="25.5" x14ac:dyDescent="0.25">
      <c r="A362" s="199" t="s">
        <v>869</v>
      </c>
      <c r="B362" s="269"/>
      <c r="C362" s="281"/>
      <c r="D362" s="305"/>
      <c r="E362" s="294"/>
      <c r="F362" s="79"/>
      <c r="G362" s="83" t="s">
        <v>635</v>
      </c>
      <c r="H362" s="67" t="s">
        <v>3</v>
      </c>
      <c r="I362" s="79"/>
    </row>
    <row r="363" spans="1:9" s="200" customFormat="1" ht="25.5" x14ac:dyDescent="0.25">
      <c r="A363" s="199" t="s">
        <v>868</v>
      </c>
      <c r="B363" s="267"/>
      <c r="C363" s="279"/>
      <c r="D363" s="305"/>
      <c r="E363" s="294"/>
      <c r="F363" s="79"/>
      <c r="G363" s="83" t="s">
        <v>636</v>
      </c>
      <c r="H363" s="67" t="s">
        <v>3</v>
      </c>
      <c r="I363" s="79"/>
    </row>
    <row r="364" spans="1:9" s="200" customFormat="1" ht="25.5" x14ac:dyDescent="0.25">
      <c r="A364" s="199" t="s">
        <v>867</v>
      </c>
      <c r="B364" s="268"/>
      <c r="C364" s="280"/>
      <c r="D364" s="305"/>
      <c r="E364" s="294"/>
      <c r="F364" s="79"/>
      <c r="G364" s="83" t="s">
        <v>637</v>
      </c>
      <c r="H364" s="67" t="s">
        <v>3</v>
      </c>
      <c r="I364" s="79"/>
    </row>
    <row r="365" spans="1:9" s="200" customFormat="1" x14ac:dyDescent="0.25">
      <c r="A365" s="199" t="s">
        <v>866</v>
      </c>
      <c r="B365" s="268"/>
      <c r="C365" s="280"/>
      <c r="D365" s="305"/>
      <c r="E365" s="294"/>
      <c r="F365" s="79"/>
      <c r="G365" s="83" t="s">
        <v>638</v>
      </c>
      <c r="H365" s="67" t="s">
        <v>3</v>
      </c>
      <c r="I365" s="79"/>
    </row>
    <row r="366" spans="1:9" s="200" customFormat="1" x14ac:dyDescent="0.25">
      <c r="A366" s="199" t="s">
        <v>865</v>
      </c>
      <c r="B366" s="268"/>
      <c r="C366" s="280"/>
      <c r="D366" s="305"/>
      <c r="E366" s="294"/>
      <c r="F366" s="79"/>
      <c r="G366" s="83" t="s">
        <v>639</v>
      </c>
      <c r="H366" s="67" t="s">
        <v>3</v>
      </c>
      <c r="I366" s="79"/>
    </row>
    <row r="367" spans="1:9" s="200" customFormat="1" ht="38.25" x14ac:dyDescent="0.25">
      <c r="A367" s="199" t="s">
        <v>864</v>
      </c>
      <c r="B367" s="268"/>
      <c r="C367" s="280"/>
      <c r="D367" s="305"/>
      <c r="E367" s="294"/>
      <c r="F367" s="79"/>
      <c r="G367" s="83" t="s">
        <v>863</v>
      </c>
      <c r="H367" s="67" t="s">
        <v>3</v>
      </c>
      <c r="I367" s="79"/>
    </row>
    <row r="368" spans="1:9" s="200" customFormat="1" x14ac:dyDescent="0.25">
      <c r="A368" s="199" t="s">
        <v>862</v>
      </c>
      <c r="B368" s="268"/>
      <c r="C368" s="280"/>
      <c r="D368" s="305"/>
      <c r="E368" s="294"/>
      <c r="F368" s="79"/>
      <c r="G368" s="83" t="s">
        <v>640</v>
      </c>
      <c r="H368" s="67" t="s">
        <v>3</v>
      </c>
      <c r="I368" s="79"/>
    </row>
    <row r="369" spans="1:9" s="200" customFormat="1" ht="25.5" x14ac:dyDescent="0.25">
      <c r="A369" s="199"/>
      <c r="B369" s="268"/>
      <c r="C369" s="280"/>
      <c r="D369" s="305"/>
      <c r="E369" s="294"/>
      <c r="F369" s="79"/>
      <c r="G369" s="83" t="s">
        <v>861</v>
      </c>
      <c r="H369" s="67" t="s">
        <v>3</v>
      </c>
      <c r="I369" s="79"/>
    </row>
    <row r="370" spans="1:9" s="200" customFormat="1" x14ac:dyDescent="0.25">
      <c r="A370" s="199" t="s">
        <v>860</v>
      </c>
      <c r="B370" s="268"/>
      <c r="C370" s="280"/>
      <c r="D370" s="305"/>
      <c r="E370" s="294"/>
      <c r="F370" s="79"/>
      <c r="G370" s="83" t="s">
        <v>859</v>
      </c>
      <c r="H370" s="67" t="s">
        <v>3</v>
      </c>
      <c r="I370" s="79"/>
    </row>
    <row r="371" spans="1:9" s="200" customFormat="1" x14ac:dyDescent="0.25">
      <c r="A371" s="199" t="s">
        <v>858</v>
      </c>
      <c r="B371" s="268"/>
      <c r="C371" s="280"/>
      <c r="D371" s="305"/>
      <c r="E371" s="294"/>
      <c r="F371" s="79"/>
      <c r="G371" s="83" t="s">
        <v>857</v>
      </c>
      <c r="H371" s="67" t="s">
        <v>3</v>
      </c>
      <c r="I371" s="79"/>
    </row>
    <row r="372" spans="1:9" s="200" customFormat="1" ht="25.5" x14ac:dyDescent="0.25">
      <c r="A372" s="199" t="s">
        <v>856</v>
      </c>
      <c r="B372" s="268"/>
      <c r="C372" s="280"/>
      <c r="D372" s="305"/>
      <c r="E372" s="294"/>
      <c r="F372" s="79"/>
      <c r="G372" s="83" t="s">
        <v>855</v>
      </c>
      <c r="H372" s="67" t="s">
        <v>3</v>
      </c>
      <c r="I372" s="79"/>
    </row>
    <row r="373" spans="1:9" s="200" customFormat="1" x14ac:dyDescent="0.25">
      <c r="A373" s="199" t="s">
        <v>854</v>
      </c>
      <c r="B373" s="269"/>
      <c r="C373" s="281"/>
      <c r="D373" s="306"/>
      <c r="E373" s="295"/>
      <c r="F373" s="79"/>
      <c r="G373" s="83" t="s">
        <v>853</v>
      </c>
      <c r="H373" s="67" t="s">
        <v>3</v>
      </c>
      <c r="I373" s="79"/>
    </row>
    <row r="374" spans="1:9" ht="51" x14ac:dyDescent="0.25">
      <c r="A374" s="199" t="s">
        <v>852</v>
      </c>
      <c r="B374" s="258" t="s">
        <v>362</v>
      </c>
      <c r="C374" s="264"/>
      <c r="D374" s="258" t="s">
        <v>362</v>
      </c>
      <c r="E374" s="258"/>
      <c r="F374" s="68" t="s">
        <v>363</v>
      </c>
      <c r="G374" s="68" t="s">
        <v>641</v>
      </c>
      <c r="H374" s="67" t="s">
        <v>3</v>
      </c>
      <c r="I374" s="68"/>
    </row>
    <row r="375" spans="1:9" x14ac:dyDescent="0.25">
      <c r="A375" s="199" t="s">
        <v>851</v>
      </c>
      <c r="B375" s="259"/>
      <c r="C375" s="265"/>
      <c r="D375" s="259"/>
      <c r="E375" s="259"/>
      <c r="F375" s="68"/>
      <c r="G375" s="68" t="s">
        <v>642</v>
      </c>
      <c r="H375" s="67" t="s">
        <v>3</v>
      </c>
      <c r="I375" s="68"/>
    </row>
    <row r="376" spans="1:9" ht="25.5" x14ac:dyDescent="0.25">
      <c r="A376" s="199" t="s">
        <v>850</v>
      </c>
      <c r="B376" s="259"/>
      <c r="C376" s="265"/>
      <c r="D376" s="259"/>
      <c r="E376" s="259"/>
      <c r="F376" s="68"/>
      <c r="G376" s="68" t="s">
        <v>643</v>
      </c>
      <c r="H376" s="67" t="s">
        <v>3</v>
      </c>
      <c r="I376" s="68"/>
    </row>
    <row r="377" spans="1:9" ht="25.5" x14ac:dyDescent="0.25">
      <c r="A377" s="199" t="s">
        <v>849</v>
      </c>
      <c r="B377" s="260"/>
      <c r="C377" s="266"/>
      <c r="D377" s="260"/>
      <c r="E377" s="260"/>
      <c r="F377" s="68"/>
      <c r="G377" s="68" t="s">
        <v>644</v>
      </c>
      <c r="H377" s="67" t="s">
        <v>3</v>
      </c>
      <c r="I377" s="68"/>
    </row>
    <row r="378" spans="1:9" s="200" customFormat="1" ht="76.5" x14ac:dyDescent="0.25">
      <c r="A378" s="199" t="s">
        <v>848</v>
      </c>
      <c r="B378" s="84"/>
      <c r="C378" s="267" t="s">
        <v>645</v>
      </c>
      <c r="D378" s="85"/>
      <c r="E378" s="86"/>
      <c r="F378" s="79"/>
      <c r="G378" s="83" t="s">
        <v>646</v>
      </c>
      <c r="H378" s="67" t="s">
        <v>3</v>
      </c>
      <c r="I378" s="79"/>
    </row>
    <row r="379" spans="1:9" s="200" customFormat="1" ht="89.25" x14ac:dyDescent="0.25">
      <c r="A379" s="199" t="s">
        <v>847</v>
      </c>
      <c r="B379" s="267"/>
      <c r="C379" s="268"/>
      <c r="D379" s="267" t="s">
        <v>647</v>
      </c>
      <c r="E379" s="293"/>
      <c r="F379" s="79"/>
      <c r="G379" s="83" t="s">
        <v>648</v>
      </c>
      <c r="H379" s="67" t="s">
        <v>3</v>
      </c>
      <c r="I379" s="79"/>
    </row>
    <row r="380" spans="1:9" s="200" customFormat="1" ht="89.25" x14ac:dyDescent="0.25">
      <c r="A380" s="199" t="s">
        <v>846</v>
      </c>
      <c r="B380" s="268"/>
      <c r="C380" s="268"/>
      <c r="D380" s="268"/>
      <c r="E380" s="294"/>
      <c r="F380" s="79"/>
      <c r="G380" s="83" t="s">
        <v>649</v>
      </c>
      <c r="H380" s="67" t="s">
        <v>3</v>
      </c>
      <c r="I380" s="79"/>
    </row>
    <row r="381" spans="1:9" s="200" customFormat="1" ht="25.5" x14ac:dyDescent="0.25">
      <c r="A381" s="199" t="s">
        <v>845</v>
      </c>
      <c r="B381" s="268"/>
      <c r="C381" s="268"/>
      <c r="D381" s="268"/>
      <c r="E381" s="294"/>
      <c r="F381" s="79"/>
      <c r="G381" s="83" t="s">
        <v>650</v>
      </c>
      <c r="H381" s="67" t="s">
        <v>3</v>
      </c>
      <c r="I381" s="79"/>
    </row>
    <row r="382" spans="1:9" s="200" customFormat="1" x14ac:dyDescent="0.25">
      <c r="A382" s="199" t="s">
        <v>844</v>
      </c>
      <c r="B382" s="268"/>
      <c r="C382" s="268"/>
      <c r="D382" s="268"/>
      <c r="E382" s="294"/>
      <c r="F382" s="79"/>
      <c r="G382" s="83" t="s">
        <v>651</v>
      </c>
      <c r="H382" s="67" t="s">
        <v>3</v>
      </c>
      <c r="I382" s="79"/>
    </row>
    <row r="383" spans="1:9" s="200" customFormat="1" ht="25.5" x14ac:dyDescent="0.25">
      <c r="A383" s="199" t="s">
        <v>843</v>
      </c>
      <c r="B383" s="268"/>
      <c r="C383" s="268"/>
      <c r="D383" s="268"/>
      <c r="E383" s="294"/>
      <c r="F383" s="79"/>
      <c r="G383" s="83" t="s">
        <v>652</v>
      </c>
      <c r="H383" s="67" t="s">
        <v>3</v>
      </c>
      <c r="I383" s="79"/>
    </row>
    <row r="384" spans="1:9" s="200" customFormat="1" x14ac:dyDescent="0.25">
      <c r="A384" s="199" t="s">
        <v>842</v>
      </c>
      <c r="B384" s="268"/>
      <c r="C384" s="268"/>
      <c r="D384" s="268"/>
      <c r="E384" s="294"/>
      <c r="F384" s="79"/>
      <c r="G384" s="83" t="s">
        <v>653</v>
      </c>
      <c r="H384" s="67" t="s">
        <v>3</v>
      </c>
      <c r="I384" s="79"/>
    </row>
    <row r="385" spans="1:9" s="200" customFormat="1" ht="25.5" x14ac:dyDescent="0.25">
      <c r="A385" s="199" t="s">
        <v>841</v>
      </c>
      <c r="B385" s="269"/>
      <c r="C385" s="268"/>
      <c r="D385" s="268"/>
      <c r="E385" s="295"/>
      <c r="F385" s="79"/>
      <c r="G385" s="83" t="s">
        <v>654</v>
      </c>
      <c r="H385" s="67" t="s">
        <v>3</v>
      </c>
      <c r="I385" s="79"/>
    </row>
    <row r="386" spans="1:9" s="200" customFormat="1" ht="63.75" x14ac:dyDescent="0.25">
      <c r="A386" s="199" t="s">
        <v>840</v>
      </c>
      <c r="B386" s="84"/>
      <c r="C386" s="268"/>
      <c r="D386" s="269"/>
      <c r="E386" s="293" t="s">
        <v>351</v>
      </c>
      <c r="F386" s="87"/>
      <c r="G386" s="83" t="s">
        <v>655</v>
      </c>
      <c r="H386" s="67" t="s">
        <v>3</v>
      </c>
      <c r="I386" s="79"/>
    </row>
    <row r="387" spans="1:9" s="200" customFormat="1" ht="25.5" x14ac:dyDescent="0.25">
      <c r="A387" s="199" t="s">
        <v>839</v>
      </c>
      <c r="B387" s="267"/>
      <c r="C387" s="268"/>
      <c r="D387" s="267"/>
      <c r="E387" s="294"/>
      <c r="F387" s="87"/>
      <c r="G387" s="83" t="s">
        <v>656</v>
      </c>
      <c r="H387" s="67" t="s">
        <v>3</v>
      </c>
      <c r="I387" s="79"/>
    </row>
    <row r="388" spans="1:9" s="200" customFormat="1" x14ac:dyDescent="0.25">
      <c r="A388" s="199" t="s">
        <v>838</v>
      </c>
      <c r="B388" s="268"/>
      <c r="C388" s="268"/>
      <c r="D388" s="269"/>
      <c r="E388" s="295"/>
      <c r="F388" s="87"/>
      <c r="G388" s="83" t="s">
        <v>657</v>
      </c>
      <c r="H388" s="67" t="s">
        <v>3</v>
      </c>
      <c r="I388" s="79"/>
    </row>
    <row r="389" spans="1:9" s="200" customFormat="1" x14ac:dyDescent="0.25">
      <c r="A389" s="199" t="s">
        <v>837</v>
      </c>
      <c r="B389" s="268"/>
      <c r="C389" s="268"/>
      <c r="D389" s="85" t="s">
        <v>335</v>
      </c>
      <c r="E389" s="86"/>
      <c r="F389" s="79"/>
      <c r="G389" s="83" t="s">
        <v>336</v>
      </c>
      <c r="H389" s="67" t="s">
        <v>3</v>
      </c>
      <c r="I389" s="79"/>
    </row>
    <row r="390" spans="1:9" ht="76.5" x14ac:dyDescent="0.25">
      <c r="A390" s="199" t="s">
        <v>836</v>
      </c>
      <c r="B390" s="268"/>
      <c r="C390" s="268"/>
      <c r="D390" s="301" t="s">
        <v>658</v>
      </c>
      <c r="E390" s="301"/>
      <c r="F390" s="80"/>
      <c r="G390" s="80" t="s">
        <v>659</v>
      </c>
      <c r="H390" s="67" t="s">
        <v>3</v>
      </c>
      <c r="I390" s="68"/>
    </row>
    <row r="391" spans="1:9" ht="25.5" x14ac:dyDescent="0.25">
      <c r="A391" s="199" t="s">
        <v>835</v>
      </c>
      <c r="B391" s="268"/>
      <c r="C391" s="268"/>
      <c r="D391" s="302"/>
      <c r="E391" s="302"/>
      <c r="F391" s="80"/>
      <c r="G391" s="80" t="s">
        <v>660</v>
      </c>
      <c r="H391" s="67" t="s">
        <v>3</v>
      </c>
      <c r="I391" s="68"/>
    </row>
    <row r="392" spans="1:9" x14ac:dyDescent="0.25">
      <c r="A392" s="199" t="s">
        <v>834</v>
      </c>
      <c r="B392" s="268"/>
      <c r="C392" s="268"/>
      <c r="D392" s="302"/>
      <c r="E392" s="302"/>
      <c r="F392" s="80"/>
      <c r="G392" s="80" t="s">
        <v>661</v>
      </c>
      <c r="H392" s="67" t="s">
        <v>3</v>
      </c>
      <c r="I392" s="68"/>
    </row>
    <row r="393" spans="1:9" ht="25.5" x14ac:dyDescent="0.25">
      <c r="A393" s="199" t="s">
        <v>833</v>
      </c>
      <c r="B393" s="268"/>
      <c r="C393" s="268"/>
      <c r="D393" s="302"/>
      <c r="E393" s="302"/>
      <c r="F393" s="80"/>
      <c r="G393" s="80" t="s">
        <v>662</v>
      </c>
      <c r="H393" s="67" t="s">
        <v>3</v>
      </c>
      <c r="I393" s="68"/>
    </row>
    <row r="394" spans="1:9" x14ac:dyDescent="0.25">
      <c r="A394" s="199" t="s">
        <v>832</v>
      </c>
      <c r="B394" s="268"/>
      <c r="C394" s="268"/>
      <c r="D394" s="302"/>
      <c r="E394" s="302"/>
      <c r="F394" s="80"/>
      <c r="G394" s="80" t="s">
        <v>663</v>
      </c>
      <c r="H394" s="67" t="s">
        <v>3</v>
      </c>
      <c r="I394" s="68"/>
    </row>
    <row r="395" spans="1:9" ht="25.5" x14ac:dyDescent="0.25">
      <c r="A395" s="199" t="s">
        <v>831</v>
      </c>
      <c r="B395" s="268"/>
      <c r="C395" s="268"/>
      <c r="D395" s="302"/>
      <c r="E395" s="302"/>
      <c r="F395" s="80"/>
      <c r="G395" s="80" t="s">
        <v>664</v>
      </c>
      <c r="H395" s="67" t="s">
        <v>3</v>
      </c>
      <c r="I395" s="68"/>
    </row>
    <row r="396" spans="1:9" ht="25.5" x14ac:dyDescent="0.25">
      <c r="A396" s="199" t="s">
        <v>830</v>
      </c>
      <c r="B396" s="268"/>
      <c r="C396" s="268"/>
      <c r="D396" s="303"/>
      <c r="E396" s="303"/>
      <c r="F396" s="80"/>
      <c r="G396" s="80" t="s">
        <v>665</v>
      </c>
      <c r="H396" s="67" t="s">
        <v>3</v>
      </c>
      <c r="I396" s="68"/>
    </row>
    <row r="397" spans="1:9" x14ac:dyDescent="0.25">
      <c r="A397" s="199" t="s">
        <v>829</v>
      </c>
      <c r="B397" s="269"/>
      <c r="C397" s="269"/>
      <c r="D397" s="88" t="s">
        <v>22</v>
      </c>
      <c r="E397" s="88"/>
      <c r="F397" s="80"/>
      <c r="G397" s="89" t="s">
        <v>666</v>
      </c>
      <c r="H397" s="67" t="s">
        <v>3</v>
      </c>
      <c r="I397" s="68"/>
    </row>
    <row r="398" spans="1:9" ht="63.75" x14ac:dyDescent="0.25">
      <c r="A398" s="199" t="s">
        <v>828</v>
      </c>
      <c r="B398" s="261" t="s">
        <v>34</v>
      </c>
      <c r="C398" s="64" t="s">
        <v>34</v>
      </c>
      <c r="D398" s="65" t="s">
        <v>34</v>
      </c>
      <c r="E398" s="65"/>
      <c r="F398" s="68" t="s">
        <v>337</v>
      </c>
      <c r="G398" s="68" t="s">
        <v>667</v>
      </c>
      <c r="H398" s="67" t="s">
        <v>3</v>
      </c>
      <c r="I398" s="68"/>
    </row>
    <row r="399" spans="1:9" ht="38.25" x14ac:dyDescent="0.25">
      <c r="A399" s="199" t="s">
        <v>827</v>
      </c>
      <c r="B399" s="263"/>
      <c r="C399" s="64" t="s">
        <v>331</v>
      </c>
      <c r="D399" s="163"/>
      <c r="E399" s="90"/>
      <c r="F399" s="91" t="s">
        <v>332</v>
      </c>
      <c r="G399" s="68" t="s">
        <v>668</v>
      </c>
      <c r="H399" s="67" t="s">
        <v>3</v>
      </c>
      <c r="I399" s="68"/>
    </row>
    <row r="400" spans="1:9" ht="25.5" x14ac:dyDescent="0.25">
      <c r="A400" s="199" t="s">
        <v>826</v>
      </c>
      <c r="B400" s="261"/>
      <c r="C400" s="261" t="s">
        <v>669</v>
      </c>
      <c r="D400" s="258" t="s">
        <v>670</v>
      </c>
      <c r="E400" s="258"/>
      <c r="F400" s="91"/>
      <c r="G400" s="79" t="s">
        <v>671</v>
      </c>
      <c r="H400" s="67" t="s">
        <v>3</v>
      </c>
      <c r="I400" s="68"/>
    </row>
    <row r="401" spans="1:9" x14ac:dyDescent="0.25">
      <c r="A401" s="199" t="s">
        <v>825</v>
      </c>
      <c r="B401" s="262"/>
      <c r="C401" s="262"/>
      <c r="D401" s="260"/>
      <c r="E401" s="260"/>
      <c r="F401" s="91"/>
      <c r="G401" s="79" t="s">
        <v>672</v>
      </c>
      <c r="H401" s="67" t="s">
        <v>3</v>
      </c>
      <c r="I401" s="68"/>
    </row>
    <row r="402" spans="1:9" ht="191.25" x14ac:dyDescent="0.2">
      <c r="A402" s="199" t="s">
        <v>824</v>
      </c>
      <c r="B402" s="263"/>
      <c r="C402" s="263"/>
      <c r="D402" s="65" t="s">
        <v>673</v>
      </c>
      <c r="E402" s="65"/>
      <c r="F402" s="68" t="s">
        <v>674</v>
      </c>
      <c r="G402" s="92" t="s">
        <v>675</v>
      </c>
      <c r="H402" s="67" t="s">
        <v>3</v>
      </c>
      <c r="I402" s="93"/>
    </row>
    <row r="403" spans="1:9" ht="51" x14ac:dyDescent="0.25">
      <c r="A403" s="199" t="s">
        <v>823</v>
      </c>
      <c r="B403" s="261" t="s">
        <v>676</v>
      </c>
      <c r="C403" s="261" t="s">
        <v>676</v>
      </c>
      <c r="D403" s="258" t="s">
        <v>676</v>
      </c>
      <c r="E403" s="258"/>
      <c r="F403" s="93"/>
      <c r="G403" s="93" t="s">
        <v>677</v>
      </c>
      <c r="H403" s="67" t="s">
        <v>3</v>
      </c>
      <c r="I403" s="93"/>
    </row>
    <row r="404" spans="1:9" x14ac:dyDescent="0.25">
      <c r="A404" s="199" t="s">
        <v>822</v>
      </c>
      <c r="B404" s="262"/>
      <c r="C404" s="262"/>
      <c r="D404" s="259"/>
      <c r="E404" s="259"/>
      <c r="F404" s="93"/>
      <c r="G404" s="93" t="s">
        <v>678</v>
      </c>
      <c r="H404" s="67" t="s">
        <v>3</v>
      </c>
      <c r="I404" s="93"/>
    </row>
    <row r="405" spans="1:9" x14ac:dyDescent="0.25">
      <c r="A405" s="199" t="s">
        <v>821</v>
      </c>
      <c r="B405" s="262"/>
      <c r="C405" s="262"/>
      <c r="D405" s="259"/>
      <c r="E405" s="259"/>
      <c r="F405" s="93"/>
      <c r="G405" s="93" t="s">
        <v>679</v>
      </c>
      <c r="H405" s="67" t="s">
        <v>3</v>
      </c>
      <c r="I405" s="93"/>
    </row>
    <row r="406" spans="1:9" ht="25.5" x14ac:dyDescent="0.25">
      <c r="A406" s="199" t="s">
        <v>820</v>
      </c>
      <c r="B406" s="263"/>
      <c r="C406" s="263"/>
      <c r="D406" s="260"/>
      <c r="E406" s="260"/>
      <c r="F406" s="93"/>
      <c r="G406" s="93" t="s">
        <v>680</v>
      </c>
      <c r="H406" s="67" t="s">
        <v>3</v>
      </c>
      <c r="I406" s="93"/>
    </row>
    <row r="407" spans="1:9" ht="38.25" x14ac:dyDescent="0.25">
      <c r="A407" s="199" t="s">
        <v>819</v>
      </c>
      <c r="B407" s="64"/>
      <c r="C407" s="258" t="s">
        <v>681</v>
      </c>
      <c r="D407" s="65" t="s">
        <v>682</v>
      </c>
      <c r="E407" s="94"/>
      <c r="F407" s="93"/>
      <c r="G407" s="93" t="s">
        <v>683</v>
      </c>
      <c r="H407" s="67" t="s">
        <v>3</v>
      </c>
      <c r="I407" s="93"/>
    </row>
    <row r="408" spans="1:9" ht="63.75" x14ac:dyDescent="0.25">
      <c r="A408" s="199" t="s">
        <v>818</v>
      </c>
      <c r="B408" s="261"/>
      <c r="C408" s="259"/>
      <c r="D408" s="258" t="s">
        <v>684</v>
      </c>
      <c r="E408" s="258"/>
      <c r="F408" s="93"/>
      <c r="G408" s="93" t="s">
        <v>685</v>
      </c>
      <c r="H408" s="67" t="s">
        <v>3</v>
      </c>
      <c r="I408" s="93"/>
    </row>
    <row r="409" spans="1:9" ht="25.5" x14ac:dyDescent="0.25">
      <c r="A409" s="199" t="s">
        <v>817</v>
      </c>
      <c r="B409" s="262"/>
      <c r="C409" s="259"/>
      <c r="D409" s="259"/>
      <c r="E409" s="259"/>
      <c r="F409" s="93"/>
      <c r="G409" s="93" t="s">
        <v>686</v>
      </c>
      <c r="H409" s="67" t="s">
        <v>3</v>
      </c>
      <c r="I409" s="93"/>
    </row>
    <row r="410" spans="1:9" ht="38.25" x14ac:dyDescent="0.25">
      <c r="A410" s="199" t="s">
        <v>816</v>
      </c>
      <c r="B410" s="262"/>
      <c r="C410" s="259"/>
      <c r="D410" s="259"/>
      <c r="E410" s="259"/>
      <c r="F410" s="93"/>
      <c r="G410" s="93" t="s">
        <v>687</v>
      </c>
      <c r="H410" s="67" t="s">
        <v>3</v>
      </c>
      <c r="I410" s="93"/>
    </row>
    <row r="411" spans="1:9" x14ac:dyDescent="0.25">
      <c r="A411" s="199" t="s">
        <v>815</v>
      </c>
      <c r="B411" s="262"/>
      <c r="C411" s="259"/>
      <c r="D411" s="259"/>
      <c r="E411" s="259"/>
      <c r="F411" s="93"/>
      <c r="G411" s="93" t="s">
        <v>688</v>
      </c>
      <c r="H411" s="67" t="s">
        <v>3</v>
      </c>
      <c r="I411" s="93"/>
    </row>
    <row r="412" spans="1:9" x14ac:dyDescent="0.25">
      <c r="A412" s="199" t="s">
        <v>814</v>
      </c>
      <c r="B412" s="262"/>
      <c r="C412" s="259"/>
      <c r="D412" s="260"/>
      <c r="E412" s="260"/>
      <c r="F412" s="93"/>
      <c r="G412" s="93" t="s">
        <v>689</v>
      </c>
      <c r="H412" s="67" t="s">
        <v>3</v>
      </c>
      <c r="I412" s="93"/>
    </row>
    <row r="413" spans="1:9" ht="102" x14ac:dyDescent="0.25">
      <c r="A413" s="199" t="s">
        <v>813</v>
      </c>
      <c r="B413" s="262"/>
      <c r="C413" s="259"/>
      <c r="D413" s="258" t="s">
        <v>80</v>
      </c>
      <c r="E413" s="258"/>
      <c r="F413" s="93"/>
      <c r="G413" s="93" t="s">
        <v>690</v>
      </c>
      <c r="H413" s="67" t="s">
        <v>3</v>
      </c>
      <c r="I413" s="93"/>
    </row>
    <row r="414" spans="1:9" ht="25.5" x14ac:dyDescent="0.25">
      <c r="A414" s="199" t="s">
        <v>812</v>
      </c>
      <c r="B414" s="262"/>
      <c r="C414" s="259"/>
      <c r="D414" s="259"/>
      <c r="E414" s="259"/>
      <c r="F414" s="93"/>
      <c r="G414" s="93" t="s">
        <v>691</v>
      </c>
      <c r="H414" s="67" t="s">
        <v>3</v>
      </c>
      <c r="I414" s="93"/>
    </row>
    <row r="415" spans="1:9" x14ac:dyDescent="0.25">
      <c r="A415" s="199" t="s">
        <v>811</v>
      </c>
      <c r="B415" s="262"/>
      <c r="C415" s="259"/>
      <c r="D415" s="259"/>
      <c r="E415" s="259"/>
      <c r="F415" s="93"/>
      <c r="G415" s="93" t="s">
        <v>692</v>
      </c>
      <c r="H415" s="67" t="s">
        <v>3</v>
      </c>
      <c r="I415" s="93"/>
    </row>
    <row r="416" spans="1:9" x14ac:dyDescent="0.25">
      <c r="A416" s="199" t="s">
        <v>810</v>
      </c>
      <c r="B416" s="262"/>
      <c r="C416" s="259"/>
      <c r="D416" s="259"/>
      <c r="E416" s="259"/>
      <c r="F416" s="93"/>
      <c r="G416" s="93" t="s">
        <v>693</v>
      </c>
      <c r="H416" s="67" t="s">
        <v>3</v>
      </c>
      <c r="I416" s="93"/>
    </row>
    <row r="417" spans="1:9" x14ac:dyDescent="0.25">
      <c r="A417" s="199" t="s">
        <v>809</v>
      </c>
      <c r="B417" s="262"/>
      <c r="C417" s="259"/>
      <c r="D417" s="260"/>
      <c r="E417" s="260"/>
      <c r="F417" s="93"/>
      <c r="G417" s="93" t="s">
        <v>694</v>
      </c>
      <c r="H417" s="67" t="s">
        <v>3</v>
      </c>
      <c r="I417" s="93"/>
    </row>
    <row r="418" spans="1:9" ht="76.5" x14ac:dyDescent="0.25">
      <c r="A418" s="199" t="s">
        <v>808</v>
      </c>
      <c r="B418" s="263"/>
      <c r="C418" s="259"/>
      <c r="D418" s="258" t="s">
        <v>312</v>
      </c>
      <c r="E418" s="258"/>
      <c r="F418" s="93"/>
      <c r="G418" s="93" t="s">
        <v>695</v>
      </c>
      <c r="H418" s="67" t="s">
        <v>3</v>
      </c>
      <c r="I418" s="93"/>
    </row>
    <row r="419" spans="1:9" x14ac:dyDescent="0.25">
      <c r="A419" s="199" t="s">
        <v>807</v>
      </c>
      <c r="B419" s="261"/>
      <c r="C419" s="259"/>
      <c r="D419" s="259"/>
      <c r="E419" s="259"/>
      <c r="F419" s="93"/>
      <c r="G419" s="93" t="s">
        <v>696</v>
      </c>
      <c r="H419" s="67" t="s">
        <v>3</v>
      </c>
      <c r="I419" s="93"/>
    </row>
    <row r="420" spans="1:9" x14ac:dyDescent="0.25">
      <c r="A420" s="199" t="s">
        <v>806</v>
      </c>
      <c r="B420" s="262"/>
      <c r="C420" s="259"/>
      <c r="D420" s="259"/>
      <c r="E420" s="259"/>
      <c r="F420" s="93"/>
      <c r="G420" s="93" t="s">
        <v>697</v>
      </c>
      <c r="H420" s="67" t="s">
        <v>3</v>
      </c>
      <c r="I420" s="93"/>
    </row>
    <row r="421" spans="1:9" x14ac:dyDescent="0.25">
      <c r="A421" s="199" t="s">
        <v>805</v>
      </c>
      <c r="B421" s="262"/>
      <c r="C421" s="259"/>
      <c r="D421" s="259"/>
      <c r="E421" s="259"/>
      <c r="F421" s="93"/>
      <c r="G421" s="93" t="s">
        <v>698</v>
      </c>
      <c r="H421" s="67" t="s">
        <v>3</v>
      </c>
      <c r="I421" s="93"/>
    </row>
    <row r="422" spans="1:9" x14ac:dyDescent="0.25">
      <c r="A422" s="199" t="s">
        <v>804</v>
      </c>
      <c r="B422" s="262"/>
      <c r="C422" s="259"/>
      <c r="D422" s="259"/>
      <c r="E422" s="259"/>
      <c r="F422" s="93"/>
      <c r="G422" s="93" t="s">
        <v>699</v>
      </c>
      <c r="H422" s="67" t="s">
        <v>3</v>
      </c>
      <c r="I422" s="93"/>
    </row>
    <row r="423" spans="1:9" ht="25.5" x14ac:dyDescent="0.25">
      <c r="A423" s="199" t="s">
        <v>803</v>
      </c>
      <c r="B423" s="262"/>
      <c r="C423" s="259"/>
      <c r="D423" s="259"/>
      <c r="E423" s="259"/>
      <c r="F423" s="93"/>
      <c r="G423" s="93" t="s">
        <v>700</v>
      </c>
      <c r="H423" s="67" t="s">
        <v>3</v>
      </c>
      <c r="I423" s="93"/>
    </row>
    <row r="424" spans="1:9" x14ac:dyDescent="0.25">
      <c r="A424" s="199" t="s">
        <v>802</v>
      </c>
      <c r="B424" s="262"/>
      <c r="C424" s="259"/>
      <c r="D424" s="259"/>
      <c r="E424" s="259"/>
      <c r="F424" s="93"/>
      <c r="G424" s="93" t="s">
        <v>701</v>
      </c>
      <c r="H424" s="67" t="s">
        <v>3</v>
      </c>
      <c r="I424" s="93"/>
    </row>
    <row r="425" spans="1:9" x14ac:dyDescent="0.25">
      <c r="A425" s="199" t="s">
        <v>801</v>
      </c>
      <c r="B425" s="262"/>
      <c r="C425" s="259"/>
      <c r="D425" s="259"/>
      <c r="E425" s="259"/>
      <c r="F425" s="93"/>
      <c r="G425" s="93" t="s">
        <v>702</v>
      </c>
      <c r="H425" s="67" t="s">
        <v>3</v>
      </c>
      <c r="I425" s="93"/>
    </row>
    <row r="426" spans="1:9" x14ac:dyDescent="0.25">
      <c r="A426" s="199" t="s">
        <v>800</v>
      </c>
      <c r="B426" s="263"/>
      <c r="C426" s="259"/>
      <c r="D426" s="260"/>
      <c r="E426" s="260"/>
      <c r="F426" s="93"/>
      <c r="G426" s="93" t="s">
        <v>703</v>
      </c>
      <c r="H426" s="67" t="s">
        <v>3</v>
      </c>
      <c r="I426" s="93"/>
    </row>
    <row r="427" spans="1:9" ht="63.75" x14ac:dyDescent="0.25">
      <c r="A427" s="199" t="s">
        <v>799</v>
      </c>
      <c r="B427" s="261"/>
      <c r="C427" s="260"/>
      <c r="D427" s="258" t="s">
        <v>606</v>
      </c>
      <c r="E427" s="258"/>
      <c r="F427" s="93"/>
      <c r="G427" s="93" t="s">
        <v>704</v>
      </c>
      <c r="H427" s="67" t="s">
        <v>385</v>
      </c>
      <c r="I427" s="93"/>
    </row>
    <row r="428" spans="1:9" x14ac:dyDescent="0.25">
      <c r="A428" s="199" t="s">
        <v>798</v>
      </c>
      <c r="B428" s="262"/>
      <c r="C428" s="258"/>
      <c r="D428" s="259"/>
      <c r="E428" s="259"/>
      <c r="F428" s="93"/>
      <c r="G428" s="93" t="s">
        <v>705</v>
      </c>
      <c r="H428" s="67" t="s">
        <v>385</v>
      </c>
      <c r="I428" s="93"/>
    </row>
    <row r="429" spans="1:9" x14ac:dyDescent="0.25">
      <c r="A429" s="199" t="s">
        <v>797</v>
      </c>
      <c r="B429" s="262"/>
      <c r="C429" s="259"/>
      <c r="D429" s="259"/>
      <c r="E429" s="259"/>
      <c r="F429" s="93"/>
      <c r="G429" s="93" t="s">
        <v>706</v>
      </c>
      <c r="H429" s="67" t="s">
        <v>385</v>
      </c>
      <c r="I429" s="93"/>
    </row>
    <row r="430" spans="1:9" x14ac:dyDescent="0.25">
      <c r="A430" s="199" t="s">
        <v>796</v>
      </c>
      <c r="B430" s="263"/>
      <c r="C430" s="260"/>
      <c r="D430" s="259"/>
      <c r="E430" s="259"/>
      <c r="F430" s="93"/>
      <c r="G430" s="93" t="s">
        <v>707</v>
      </c>
      <c r="H430" s="67" t="s">
        <v>385</v>
      </c>
      <c r="I430" s="93"/>
    </row>
    <row r="431" spans="1:9" x14ac:dyDescent="0.25">
      <c r="A431" s="199" t="s">
        <v>795</v>
      </c>
      <c r="B431" s="261"/>
      <c r="C431" s="258"/>
      <c r="D431" s="260"/>
      <c r="E431" s="260"/>
      <c r="F431" s="93"/>
      <c r="G431" s="93" t="s">
        <v>708</v>
      </c>
      <c r="H431" s="67" t="s">
        <v>385</v>
      </c>
      <c r="I431" s="93"/>
    </row>
    <row r="432" spans="1:9" ht="38.25" x14ac:dyDescent="0.25">
      <c r="A432" s="199" t="s">
        <v>794</v>
      </c>
      <c r="B432" s="262"/>
      <c r="C432" s="259"/>
      <c r="D432" s="258" t="s">
        <v>383</v>
      </c>
      <c r="E432" s="258"/>
      <c r="F432" s="93"/>
      <c r="G432" s="93" t="s">
        <v>709</v>
      </c>
      <c r="H432" s="67" t="s">
        <v>3</v>
      </c>
      <c r="I432" s="93"/>
    </row>
    <row r="433" spans="1:9" x14ac:dyDescent="0.25">
      <c r="A433" s="199" t="s">
        <v>793</v>
      </c>
      <c r="B433" s="262"/>
      <c r="C433" s="259"/>
      <c r="D433" s="259"/>
      <c r="E433" s="259"/>
      <c r="F433" s="93"/>
      <c r="G433" s="93" t="s">
        <v>710</v>
      </c>
      <c r="H433" s="67" t="s">
        <v>3</v>
      </c>
      <c r="I433" s="93"/>
    </row>
    <row r="434" spans="1:9" x14ac:dyDescent="0.25">
      <c r="A434" s="199" t="s">
        <v>792</v>
      </c>
      <c r="B434" s="262"/>
      <c r="C434" s="259"/>
      <c r="D434" s="259"/>
      <c r="E434" s="259"/>
      <c r="F434" s="93"/>
      <c r="G434" s="93" t="s">
        <v>711</v>
      </c>
      <c r="H434" s="67" t="s">
        <v>3</v>
      </c>
      <c r="I434" s="93"/>
    </row>
    <row r="435" spans="1:9" x14ac:dyDescent="0.25">
      <c r="A435" s="199" t="s">
        <v>791</v>
      </c>
      <c r="B435" s="263"/>
      <c r="C435" s="260"/>
      <c r="D435" s="260"/>
      <c r="E435" s="260"/>
      <c r="F435" s="93"/>
      <c r="G435" s="93" t="s">
        <v>712</v>
      </c>
      <c r="H435" s="67" t="s">
        <v>3</v>
      </c>
      <c r="I435" s="93"/>
    </row>
    <row r="436" spans="1:9" ht="51" x14ac:dyDescent="0.25">
      <c r="A436" s="199" t="s">
        <v>790</v>
      </c>
      <c r="B436" s="270" t="s">
        <v>324</v>
      </c>
      <c r="C436" s="264"/>
      <c r="D436" s="258" t="s">
        <v>713</v>
      </c>
      <c r="E436" s="258"/>
      <c r="F436" s="93"/>
      <c r="G436" s="93" t="s">
        <v>714</v>
      </c>
      <c r="H436" s="67" t="s">
        <v>3</v>
      </c>
      <c r="I436" s="93"/>
    </row>
    <row r="437" spans="1:9" x14ac:dyDescent="0.25">
      <c r="A437" s="199" t="s">
        <v>789</v>
      </c>
      <c r="B437" s="271"/>
      <c r="C437" s="265"/>
      <c r="D437" s="259"/>
      <c r="E437" s="259"/>
      <c r="F437" s="93"/>
      <c r="G437" s="93" t="s">
        <v>715</v>
      </c>
      <c r="H437" s="67" t="s">
        <v>3</v>
      </c>
      <c r="I437" s="93"/>
    </row>
    <row r="438" spans="1:9" x14ac:dyDescent="0.25">
      <c r="A438" s="199" t="s">
        <v>788</v>
      </c>
      <c r="B438" s="271"/>
      <c r="C438" s="265"/>
      <c r="D438" s="259"/>
      <c r="E438" s="259"/>
      <c r="F438" s="93"/>
      <c r="G438" s="93" t="s">
        <v>716</v>
      </c>
      <c r="H438" s="67" t="s">
        <v>3</v>
      </c>
      <c r="I438" s="93"/>
    </row>
    <row r="439" spans="1:9" x14ac:dyDescent="0.25">
      <c r="A439" s="199" t="s">
        <v>787</v>
      </c>
      <c r="B439" s="271"/>
      <c r="C439" s="265"/>
      <c r="D439" s="260"/>
      <c r="E439" s="260"/>
      <c r="F439" s="93"/>
      <c r="G439" s="93" t="s">
        <v>717</v>
      </c>
      <c r="H439" s="67" t="s">
        <v>3</v>
      </c>
      <c r="I439" s="93"/>
    </row>
    <row r="440" spans="1:9" ht="38.25" x14ac:dyDescent="0.25">
      <c r="A440" s="199" t="s">
        <v>786</v>
      </c>
      <c r="B440" s="271"/>
      <c r="C440" s="265"/>
      <c r="D440" s="258" t="s">
        <v>718</v>
      </c>
      <c r="E440" s="258"/>
      <c r="F440" s="93"/>
      <c r="G440" s="93" t="s">
        <v>719</v>
      </c>
      <c r="H440" s="67" t="s">
        <v>3</v>
      </c>
      <c r="I440" s="93"/>
    </row>
    <row r="441" spans="1:9" x14ac:dyDescent="0.25">
      <c r="A441" s="199" t="s">
        <v>785</v>
      </c>
      <c r="B441" s="271"/>
      <c r="C441" s="265"/>
      <c r="D441" s="259"/>
      <c r="E441" s="259"/>
      <c r="F441" s="93"/>
      <c r="G441" s="93" t="s">
        <v>720</v>
      </c>
      <c r="H441" s="67" t="s">
        <v>3</v>
      </c>
      <c r="I441" s="93"/>
    </row>
    <row r="442" spans="1:9" x14ac:dyDescent="0.25">
      <c r="A442" s="199" t="s">
        <v>784</v>
      </c>
      <c r="B442" s="271"/>
      <c r="C442" s="265"/>
      <c r="D442" s="259"/>
      <c r="E442" s="259"/>
      <c r="F442" s="93"/>
      <c r="G442" s="93" t="s">
        <v>721</v>
      </c>
      <c r="H442" s="67" t="s">
        <v>3</v>
      </c>
      <c r="I442" s="93"/>
    </row>
    <row r="443" spans="1:9" x14ac:dyDescent="0.25">
      <c r="A443" s="199" t="s">
        <v>783</v>
      </c>
      <c r="B443" s="271"/>
      <c r="C443" s="266"/>
      <c r="D443" s="260"/>
      <c r="E443" s="260"/>
      <c r="F443" s="93"/>
      <c r="G443" s="93" t="s">
        <v>722</v>
      </c>
      <c r="H443" s="67" t="s">
        <v>3</v>
      </c>
      <c r="I443" s="93"/>
    </row>
    <row r="444" spans="1:9" ht="89.25" x14ac:dyDescent="0.25">
      <c r="A444" s="199" t="s">
        <v>782</v>
      </c>
      <c r="B444" s="272"/>
      <c r="C444" s="264"/>
      <c r="D444" s="307" t="s">
        <v>723</v>
      </c>
      <c r="E444" s="258"/>
      <c r="F444" s="93"/>
      <c r="G444" s="93" t="s">
        <v>724</v>
      </c>
      <c r="H444" s="67" t="s">
        <v>3</v>
      </c>
      <c r="I444" s="93"/>
    </row>
    <row r="445" spans="1:9" ht="25.5" x14ac:dyDescent="0.25">
      <c r="A445" s="199" t="s">
        <v>781</v>
      </c>
      <c r="B445" s="167"/>
      <c r="C445" s="265"/>
      <c r="D445" s="308"/>
      <c r="E445" s="259"/>
      <c r="F445" s="93"/>
      <c r="G445" s="93" t="s">
        <v>725</v>
      </c>
      <c r="H445" s="67" t="s">
        <v>3</v>
      </c>
      <c r="I445" s="93"/>
    </row>
    <row r="446" spans="1:9" x14ac:dyDescent="0.25">
      <c r="A446" s="199" t="s">
        <v>780</v>
      </c>
      <c r="B446" s="167"/>
      <c r="C446" s="265"/>
      <c r="D446" s="308"/>
      <c r="E446" s="259"/>
      <c r="F446" s="93"/>
      <c r="G446" s="93" t="s">
        <v>726</v>
      </c>
      <c r="H446" s="67" t="s">
        <v>3</v>
      </c>
      <c r="I446" s="93"/>
    </row>
    <row r="447" spans="1:9" x14ac:dyDescent="0.25">
      <c r="A447" s="199" t="s">
        <v>779</v>
      </c>
      <c r="B447" s="167"/>
      <c r="C447" s="265"/>
      <c r="D447" s="308"/>
      <c r="E447" s="259"/>
      <c r="F447" s="93"/>
      <c r="G447" s="93" t="s">
        <v>727</v>
      </c>
      <c r="H447" s="67" t="s">
        <v>3</v>
      </c>
      <c r="I447" s="93"/>
    </row>
    <row r="448" spans="1:9" x14ac:dyDescent="0.25">
      <c r="A448" s="199" t="s">
        <v>778</v>
      </c>
      <c r="B448" s="167"/>
      <c r="C448" s="265"/>
      <c r="D448" s="308"/>
      <c r="E448" s="259"/>
      <c r="F448" s="93"/>
      <c r="G448" s="93" t="s">
        <v>728</v>
      </c>
      <c r="H448" s="67" t="s">
        <v>3</v>
      </c>
      <c r="I448" s="93"/>
    </row>
    <row r="449" spans="1:151" ht="76.5" x14ac:dyDescent="0.25">
      <c r="A449" s="199" t="s">
        <v>777</v>
      </c>
      <c r="B449" s="167"/>
      <c r="C449" s="266"/>
      <c r="D449" s="309"/>
      <c r="E449" s="260"/>
      <c r="F449" s="93"/>
      <c r="G449" s="93" t="s">
        <v>729</v>
      </c>
      <c r="H449" s="67" t="s">
        <v>3</v>
      </c>
      <c r="I449" s="93"/>
    </row>
    <row r="450" spans="1:151" ht="102" x14ac:dyDescent="0.2">
      <c r="A450" s="199" t="s">
        <v>776</v>
      </c>
      <c r="B450" s="64"/>
      <c r="C450" s="95"/>
      <c r="D450" s="65" t="s">
        <v>730</v>
      </c>
      <c r="E450" s="65"/>
      <c r="F450" s="93"/>
      <c r="G450" s="93" t="s">
        <v>775</v>
      </c>
      <c r="H450" s="67" t="s">
        <v>3</v>
      </c>
      <c r="I450" s="93" t="s">
        <v>774</v>
      </c>
    </row>
    <row r="451" spans="1:151" x14ac:dyDescent="0.25">
      <c r="A451" s="199" t="s">
        <v>773</v>
      </c>
      <c r="B451" s="96"/>
      <c r="C451" s="258" t="s">
        <v>772</v>
      </c>
      <c r="D451" s="258"/>
      <c r="E451" s="68" t="s">
        <v>771</v>
      </c>
      <c r="F451" s="93"/>
      <c r="G451" s="68"/>
      <c r="H451" s="67" t="s">
        <v>385</v>
      </c>
      <c r="I451" s="93"/>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c r="AG451" s="110"/>
      <c r="AH451" s="110"/>
      <c r="AI451" s="110"/>
      <c r="AJ451" s="110"/>
      <c r="AK451" s="110"/>
      <c r="AL451" s="110"/>
      <c r="AM451" s="110"/>
      <c r="AN451" s="110"/>
      <c r="AO451" s="110"/>
      <c r="AP451" s="110"/>
      <c r="AQ451" s="110"/>
      <c r="AR451" s="110"/>
      <c r="AS451" s="110"/>
      <c r="AT451" s="110"/>
      <c r="AU451" s="110"/>
      <c r="AV451" s="110"/>
      <c r="AW451" s="110"/>
      <c r="AX451" s="110"/>
      <c r="AY451" s="110"/>
      <c r="AZ451" s="110"/>
      <c r="BA451" s="110"/>
      <c r="BB451" s="110"/>
      <c r="BC451" s="110"/>
      <c r="BD451" s="110"/>
      <c r="BE451" s="110"/>
      <c r="BF451" s="110"/>
      <c r="BG451" s="110"/>
      <c r="BH451" s="110"/>
      <c r="BI451" s="110"/>
      <c r="BJ451" s="110"/>
      <c r="BK451" s="110"/>
      <c r="BL451" s="110"/>
      <c r="BM451" s="110"/>
      <c r="BN451" s="110"/>
      <c r="BO451" s="110"/>
      <c r="BP451" s="110"/>
      <c r="BQ451" s="110"/>
      <c r="BR451" s="110"/>
      <c r="BS451" s="110"/>
      <c r="BT451" s="110"/>
      <c r="BU451" s="110"/>
      <c r="BV451" s="110"/>
      <c r="BW451" s="110"/>
      <c r="BX451" s="110"/>
      <c r="BY451" s="110"/>
      <c r="BZ451" s="110"/>
      <c r="CA451" s="110"/>
      <c r="CB451" s="110"/>
      <c r="CC451" s="110"/>
      <c r="CD451" s="110"/>
      <c r="CE451" s="110"/>
      <c r="CF451" s="110"/>
      <c r="CG451" s="110"/>
      <c r="CH451" s="110"/>
      <c r="CI451" s="110"/>
      <c r="CJ451" s="110"/>
      <c r="CK451" s="110"/>
      <c r="CL451" s="110"/>
      <c r="CM451" s="110"/>
      <c r="CN451" s="110"/>
      <c r="CO451" s="110"/>
      <c r="CP451" s="110"/>
      <c r="CQ451" s="110"/>
      <c r="CR451" s="110"/>
      <c r="CS451" s="110"/>
      <c r="CT451" s="110"/>
      <c r="CU451" s="110"/>
      <c r="CV451" s="110"/>
      <c r="CW451" s="110"/>
      <c r="CX451" s="110"/>
      <c r="CY451" s="110"/>
      <c r="CZ451" s="110"/>
      <c r="DA451" s="110"/>
      <c r="DB451" s="110"/>
      <c r="DC451" s="110"/>
      <c r="DD451" s="110"/>
      <c r="DE451" s="110"/>
      <c r="DF451" s="110"/>
      <c r="DG451" s="110"/>
      <c r="DH451" s="110"/>
      <c r="DI451" s="110"/>
      <c r="DJ451" s="110"/>
      <c r="DK451" s="110"/>
      <c r="DL451" s="110"/>
      <c r="DM451" s="110"/>
      <c r="DN451" s="110"/>
      <c r="DO451" s="110"/>
      <c r="DP451" s="110"/>
      <c r="DQ451" s="110"/>
      <c r="DR451" s="110"/>
      <c r="DS451" s="110"/>
      <c r="DT451" s="110"/>
      <c r="DU451" s="110"/>
      <c r="DV451" s="110"/>
      <c r="DW451" s="110"/>
      <c r="DX451" s="110"/>
      <c r="DY451" s="110"/>
      <c r="DZ451" s="110"/>
      <c r="EA451" s="110"/>
      <c r="EB451" s="110"/>
      <c r="EC451" s="110"/>
      <c r="ED451" s="110"/>
      <c r="EE451" s="110"/>
      <c r="EF451" s="110"/>
      <c r="EG451" s="110"/>
      <c r="EH451" s="110"/>
      <c r="EI451" s="110"/>
      <c r="EJ451" s="110"/>
      <c r="EK451" s="110"/>
      <c r="EL451" s="110"/>
      <c r="EM451" s="110"/>
      <c r="EN451" s="110"/>
      <c r="EO451" s="110"/>
      <c r="EP451" s="110"/>
      <c r="EQ451" s="110"/>
      <c r="ER451" s="110"/>
      <c r="ES451" s="110"/>
      <c r="ET451" s="110"/>
      <c r="EU451" s="110"/>
    </row>
    <row r="452" spans="1:151" x14ac:dyDescent="0.25">
      <c r="A452" s="199" t="s">
        <v>770</v>
      </c>
      <c r="B452" s="96"/>
      <c r="C452" s="259"/>
      <c r="D452" s="259"/>
      <c r="E452" s="68" t="s">
        <v>769</v>
      </c>
      <c r="F452" s="68" t="s">
        <v>768</v>
      </c>
      <c r="G452" s="68"/>
      <c r="H452" s="67" t="s">
        <v>385</v>
      </c>
      <c r="I452" s="93"/>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c r="AG452" s="110"/>
      <c r="AH452" s="110"/>
      <c r="AI452" s="110"/>
      <c r="AJ452" s="110"/>
      <c r="AK452" s="110"/>
      <c r="AL452" s="110"/>
      <c r="AM452" s="110"/>
      <c r="AN452" s="110"/>
      <c r="AO452" s="110"/>
      <c r="AP452" s="110"/>
      <c r="AQ452" s="110"/>
      <c r="AR452" s="110"/>
      <c r="AS452" s="110"/>
      <c r="AT452" s="110"/>
      <c r="AU452" s="110"/>
      <c r="AV452" s="110"/>
      <c r="AW452" s="110"/>
      <c r="AX452" s="110"/>
      <c r="AY452" s="110"/>
      <c r="AZ452" s="110"/>
      <c r="BA452" s="110"/>
      <c r="BB452" s="110"/>
      <c r="BC452" s="110"/>
      <c r="BD452" s="110"/>
      <c r="BE452" s="110"/>
      <c r="BF452" s="110"/>
      <c r="BG452" s="110"/>
      <c r="BH452" s="110"/>
      <c r="BI452" s="110"/>
      <c r="BJ452" s="110"/>
      <c r="BK452" s="110"/>
      <c r="BL452" s="110"/>
      <c r="BM452" s="110"/>
      <c r="BN452" s="110"/>
      <c r="BO452" s="110"/>
      <c r="BP452" s="110"/>
      <c r="BQ452" s="110"/>
      <c r="BR452" s="110"/>
      <c r="BS452" s="110"/>
      <c r="BT452" s="110"/>
      <c r="BU452" s="110"/>
      <c r="BV452" s="110"/>
      <c r="BW452" s="110"/>
      <c r="BX452" s="110"/>
      <c r="BY452" s="110"/>
      <c r="BZ452" s="110"/>
      <c r="CA452" s="110"/>
      <c r="CB452" s="110"/>
      <c r="CC452" s="110"/>
      <c r="CD452" s="110"/>
      <c r="CE452" s="110"/>
      <c r="CF452" s="110"/>
      <c r="CG452" s="110"/>
      <c r="CH452" s="110"/>
      <c r="CI452" s="110"/>
      <c r="CJ452" s="110"/>
      <c r="CK452" s="110"/>
      <c r="CL452" s="110"/>
      <c r="CM452" s="110"/>
      <c r="CN452" s="110"/>
      <c r="CO452" s="110"/>
      <c r="CP452" s="110"/>
      <c r="CQ452" s="110"/>
      <c r="CR452" s="110"/>
      <c r="CS452" s="110"/>
      <c r="CT452" s="110"/>
      <c r="CU452" s="110"/>
      <c r="CV452" s="110"/>
      <c r="CW452" s="110"/>
      <c r="CX452" s="110"/>
      <c r="CY452" s="110"/>
      <c r="CZ452" s="110"/>
      <c r="DA452" s="110"/>
      <c r="DB452" s="110"/>
      <c r="DC452" s="110"/>
      <c r="DD452" s="110"/>
      <c r="DE452" s="110"/>
      <c r="DF452" s="110"/>
      <c r="DG452" s="110"/>
      <c r="DH452" s="110"/>
      <c r="DI452" s="110"/>
      <c r="DJ452" s="110"/>
      <c r="DK452" s="110"/>
      <c r="DL452" s="110"/>
      <c r="DM452" s="110"/>
      <c r="DN452" s="110"/>
      <c r="DO452" s="110"/>
      <c r="DP452" s="110"/>
      <c r="DQ452" s="110"/>
      <c r="DR452" s="110"/>
      <c r="DS452" s="110"/>
      <c r="DT452" s="110"/>
      <c r="DU452" s="110"/>
      <c r="DV452" s="110"/>
      <c r="DW452" s="110"/>
      <c r="DX452" s="110"/>
      <c r="DY452" s="110"/>
      <c r="DZ452" s="110"/>
      <c r="EA452" s="110"/>
      <c r="EB452" s="110"/>
      <c r="EC452" s="110"/>
      <c r="ED452" s="110"/>
      <c r="EE452" s="110"/>
      <c r="EF452" s="110"/>
      <c r="EG452" s="110"/>
      <c r="EH452" s="110"/>
      <c r="EI452" s="110"/>
      <c r="EJ452" s="110"/>
      <c r="EK452" s="110"/>
      <c r="EL452" s="110"/>
      <c r="EM452" s="110"/>
      <c r="EN452" s="110"/>
      <c r="EO452" s="110"/>
      <c r="EP452" s="110"/>
      <c r="EQ452" s="110"/>
      <c r="ER452" s="110"/>
      <c r="ES452" s="110"/>
      <c r="ET452" s="110"/>
      <c r="EU452" s="110"/>
    </row>
    <row r="453" spans="1:151" ht="63.75" x14ac:dyDescent="0.25">
      <c r="A453" s="199" t="s">
        <v>767</v>
      </c>
      <c r="B453" s="96"/>
      <c r="C453" s="259"/>
      <c r="D453" s="259"/>
      <c r="E453" s="68" t="s">
        <v>766</v>
      </c>
      <c r="F453" s="68" t="s">
        <v>765</v>
      </c>
      <c r="G453" s="68"/>
      <c r="H453" s="67" t="s">
        <v>385</v>
      </c>
      <c r="I453" s="93"/>
      <c r="J453" s="110"/>
      <c r="K453" s="110"/>
      <c r="L453" s="110"/>
      <c r="M453" s="110"/>
      <c r="N453" s="110"/>
      <c r="O453" s="110"/>
      <c r="P453" s="110"/>
      <c r="Q453" s="110"/>
      <c r="R453" s="110"/>
      <c r="S453" s="110"/>
      <c r="T453" s="110"/>
      <c r="U453" s="110"/>
      <c r="V453" s="110"/>
      <c r="W453" s="110"/>
      <c r="X453" s="110"/>
      <c r="Y453" s="110"/>
      <c r="Z453" s="110"/>
      <c r="AA453" s="110"/>
      <c r="AB453" s="110"/>
      <c r="AC453" s="110"/>
      <c r="AD453" s="110"/>
      <c r="AE453" s="110"/>
      <c r="AF453" s="110"/>
      <c r="AG453" s="110"/>
      <c r="AH453" s="110"/>
      <c r="AI453" s="110"/>
      <c r="AJ453" s="110"/>
      <c r="AK453" s="110"/>
      <c r="AL453" s="110"/>
      <c r="AM453" s="110"/>
      <c r="AN453" s="110"/>
      <c r="AO453" s="110"/>
      <c r="AP453" s="110"/>
      <c r="AQ453" s="110"/>
      <c r="AR453" s="110"/>
      <c r="AS453" s="110"/>
      <c r="AT453" s="110"/>
      <c r="AU453" s="110"/>
      <c r="AV453" s="110"/>
      <c r="AW453" s="110"/>
      <c r="AX453" s="110"/>
      <c r="AY453" s="110"/>
      <c r="AZ453" s="110"/>
      <c r="BA453" s="110"/>
      <c r="BB453" s="110"/>
      <c r="BC453" s="110"/>
      <c r="BD453" s="110"/>
      <c r="BE453" s="110"/>
      <c r="BF453" s="110"/>
      <c r="BG453" s="110"/>
      <c r="BH453" s="110"/>
      <c r="BI453" s="110"/>
      <c r="BJ453" s="110"/>
      <c r="BK453" s="110"/>
      <c r="BL453" s="110"/>
      <c r="BM453" s="110"/>
      <c r="BN453" s="110"/>
      <c r="BO453" s="110"/>
      <c r="BP453" s="110"/>
      <c r="BQ453" s="110"/>
      <c r="BR453" s="110"/>
      <c r="BS453" s="110"/>
      <c r="BT453" s="110"/>
      <c r="BU453" s="110"/>
      <c r="BV453" s="110"/>
      <c r="BW453" s="110"/>
      <c r="BX453" s="110"/>
      <c r="BY453" s="110"/>
      <c r="BZ453" s="110"/>
      <c r="CA453" s="110"/>
      <c r="CB453" s="110"/>
      <c r="CC453" s="110"/>
      <c r="CD453" s="110"/>
      <c r="CE453" s="110"/>
      <c r="CF453" s="110"/>
      <c r="CG453" s="110"/>
      <c r="CH453" s="110"/>
      <c r="CI453" s="110"/>
      <c r="CJ453" s="110"/>
      <c r="CK453" s="110"/>
      <c r="CL453" s="110"/>
      <c r="CM453" s="110"/>
      <c r="CN453" s="110"/>
      <c r="CO453" s="110"/>
      <c r="CP453" s="110"/>
      <c r="CQ453" s="110"/>
      <c r="CR453" s="110"/>
      <c r="CS453" s="110"/>
      <c r="CT453" s="110"/>
      <c r="CU453" s="110"/>
      <c r="CV453" s="110"/>
      <c r="CW453" s="110"/>
      <c r="CX453" s="110"/>
      <c r="CY453" s="110"/>
      <c r="CZ453" s="110"/>
      <c r="DA453" s="110"/>
      <c r="DB453" s="110"/>
      <c r="DC453" s="110"/>
      <c r="DD453" s="110"/>
      <c r="DE453" s="110"/>
      <c r="DF453" s="110"/>
      <c r="DG453" s="110"/>
      <c r="DH453" s="110"/>
      <c r="DI453" s="110"/>
      <c r="DJ453" s="110"/>
      <c r="DK453" s="110"/>
      <c r="DL453" s="110"/>
      <c r="DM453" s="110"/>
      <c r="DN453" s="110"/>
      <c r="DO453" s="110"/>
      <c r="DP453" s="110"/>
      <c r="DQ453" s="110"/>
      <c r="DR453" s="110"/>
      <c r="DS453" s="110"/>
      <c r="DT453" s="110"/>
      <c r="DU453" s="110"/>
      <c r="DV453" s="110"/>
      <c r="DW453" s="110"/>
      <c r="DX453" s="110"/>
      <c r="DY453" s="110"/>
      <c r="DZ453" s="110"/>
      <c r="EA453" s="110"/>
      <c r="EB453" s="110"/>
      <c r="EC453" s="110"/>
      <c r="ED453" s="110"/>
      <c r="EE453" s="110"/>
      <c r="EF453" s="110"/>
      <c r="EG453" s="110"/>
      <c r="EH453" s="110"/>
      <c r="EI453" s="110"/>
      <c r="EJ453" s="110"/>
      <c r="EK453" s="110"/>
      <c r="EL453" s="110"/>
      <c r="EM453" s="110"/>
      <c r="EN453" s="110"/>
      <c r="EO453" s="110"/>
      <c r="EP453" s="110"/>
      <c r="EQ453" s="110"/>
      <c r="ER453" s="110"/>
      <c r="ES453" s="110"/>
      <c r="ET453" s="110"/>
      <c r="EU453" s="110"/>
    </row>
    <row r="454" spans="1:151" ht="63.75" x14ac:dyDescent="0.25">
      <c r="A454" s="199" t="s">
        <v>764</v>
      </c>
      <c r="B454" s="96"/>
      <c r="C454" s="259"/>
      <c r="D454" s="259"/>
      <c r="E454" s="68" t="s">
        <v>763</v>
      </c>
      <c r="F454" s="68" t="s">
        <v>762</v>
      </c>
      <c r="G454" s="68"/>
      <c r="H454" s="67" t="s">
        <v>385</v>
      </c>
      <c r="I454" s="93"/>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c r="AG454" s="110"/>
      <c r="AH454" s="110"/>
      <c r="AI454" s="110"/>
      <c r="AJ454" s="110"/>
      <c r="AK454" s="110"/>
      <c r="AL454" s="110"/>
      <c r="AM454" s="110"/>
      <c r="AN454" s="110"/>
      <c r="AO454" s="110"/>
      <c r="AP454" s="110"/>
      <c r="AQ454" s="110"/>
      <c r="AR454" s="110"/>
      <c r="AS454" s="110"/>
      <c r="AT454" s="110"/>
      <c r="AU454" s="110"/>
      <c r="AV454" s="110"/>
      <c r="AW454" s="110"/>
      <c r="AX454" s="110"/>
      <c r="AY454" s="110"/>
      <c r="AZ454" s="110"/>
      <c r="BA454" s="110"/>
      <c r="BB454" s="110"/>
      <c r="BC454" s="110"/>
      <c r="BD454" s="110"/>
      <c r="BE454" s="110"/>
      <c r="BF454" s="110"/>
      <c r="BG454" s="110"/>
      <c r="BH454" s="110"/>
      <c r="BI454" s="110"/>
      <c r="BJ454" s="110"/>
      <c r="BK454" s="110"/>
      <c r="BL454" s="110"/>
      <c r="BM454" s="110"/>
      <c r="BN454" s="110"/>
      <c r="BO454" s="110"/>
      <c r="BP454" s="110"/>
      <c r="BQ454" s="110"/>
      <c r="BR454" s="110"/>
      <c r="BS454" s="110"/>
      <c r="BT454" s="110"/>
      <c r="BU454" s="110"/>
      <c r="BV454" s="110"/>
      <c r="BW454" s="110"/>
      <c r="BX454" s="110"/>
      <c r="BY454" s="110"/>
      <c r="BZ454" s="110"/>
      <c r="CA454" s="110"/>
      <c r="CB454" s="110"/>
      <c r="CC454" s="110"/>
      <c r="CD454" s="110"/>
      <c r="CE454" s="110"/>
      <c r="CF454" s="110"/>
      <c r="CG454" s="110"/>
      <c r="CH454" s="110"/>
      <c r="CI454" s="110"/>
      <c r="CJ454" s="110"/>
      <c r="CK454" s="110"/>
      <c r="CL454" s="110"/>
      <c r="CM454" s="110"/>
      <c r="CN454" s="110"/>
      <c r="CO454" s="110"/>
      <c r="CP454" s="110"/>
      <c r="CQ454" s="110"/>
      <c r="CR454" s="110"/>
      <c r="CS454" s="110"/>
      <c r="CT454" s="110"/>
      <c r="CU454" s="110"/>
      <c r="CV454" s="110"/>
      <c r="CW454" s="110"/>
      <c r="CX454" s="110"/>
      <c r="CY454" s="110"/>
      <c r="CZ454" s="110"/>
      <c r="DA454" s="110"/>
      <c r="DB454" s="110"/>
      <c r="DC454" s="110"/>
      <c r="DD454" s="110"/>
      <c r="DE454" s="110"/>
      <c r="DF454" s="110"/>
      <c r="DG454" s="110"/>
      <c r="DH454" s="110"/>
      <c r="DI454" s="110"/>
      <c r="DJ454" s="110"/>
      <c r="DK454" s="110"/>
      <c r="DL454" s="110"/>
      <c r="DM454" s="110"/>
      <c r="DN454" s="110"/>
      <c r="DO454" s="110"/>
      <c r="DP454" s="110"/>
      <c r="DQ454" s="110"/>
      <c r="DR454" s="110"/>
      <c r="DS454" s="110"/>
      <c r="DT454" s="110"/>
      <c r="DU454" s="110"/>
      <c r="DV454" s="110"/>
      <c r="DW454" s="110"/>
      <c r="DX454" s="110"/>
      <c r="DY454" s="110"/>
      <c r="DZ454" s="110"/>
      <c r="EA454" s="110"/>
      <c r="EB454" s="110"/>
      <c r="EC454" s="110"/>
      <c r="ED454" s="110"/>
      <c r="EE454" s="110"/>
      <c r="EF454" s="110"/>
      <c r="EG454" s="110"/>
      <c r="EH454" s="110"/>
      <c r="EI454" s="110"/>
      <c r="EJ454" s="110"/>
      <c r="EK454" s="110"/>
      <c r="EL454" s="110"/>
      <c r="EM454" s="110"/>
      <c r="EN454" s="110"/>
      <c r="EO454" s="110"/>
      <c r="EP454" s="110"/>
      <c r="EQ454" s="110"/>
      <c r="ER454" s="110"/>
      <c r="ES454" s="110"/>
      <c r="ET454" s="110"/>
      <c r="EU454" s="110"/>
    </row>
    <row r="455" spans="1:151" x14ac:dyDescent="0.25">
      <c r="A455" s="199" t="s">
        <v>761</v>
      </c>
      <c r="B455" s="96"/>
      <c r="C455" s="259"/>
      <c r="D455" s="259"/>
      <c r="E455" s="68" t="s">
        <v>760</v>
      </c>
      <c r="F455" s="68" t="s">
        <v>757</v>
      </c>
      <c r="G455" s="68"/>
      <c r="H455" s="67" t="s">
        <v>385</v>
      </c>
      <c r="I455" s="93"/>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0"/>
      <c r="AY455" s="110"/>
      <c r="AZ455" s="110"/>
      <c r="BA455" s="110"/>
      <c r="BB455" s="110"/>
      <c r="BC455" s="110"/>
      <c r="BD455" s="110"/>
      <c r="BE455" s="110"/>
      <c r="BF455" s="110"/>
      <c r="BG455" s="110"/>
      <c r="BH455" s="110"/>
      <c r="BI455" s="110"/>
      <c r="BJ455" s="110"/>
      <c r="BK455" s="110"/>
      <c r="BL455" s="110"/>
      <c r="BM455" s="110"/>
      <c r="BN455" s="110"/>
      <c r="BO455" s="110"/>
      <c r="BP455" s="110"/>
      <c r="BQ455" s="110"/>
      <c r="BR455" s="110"/>
      <c r="BS455" s="110"/>
      <c r="BT455" s="110"/>
      <c r="BU455" s="110"/>
      <c r="BV455" s="110"/>
      <c r="BW455" s="110"/>
      <c r="BX455" s="110"/>
      <c r="BY455" s="110"/>
      <c r="BZ455" s="110"/>
      <c r="CA455" s="110"/>
      <c r="CB455" s="110"/>
      <c r="CC455" s="110"/>
      <c r="CD455" s="110"/>
      <c r="CE455" s="110"/>
      <c r="CF455" s="110"/>
      <c r="CG455" s="110"/>
      <c r="CH455" s="110"/>
      <c r="CI455" s="110"/>
      <c r="CJ455" s="110"/>
      <c r="CK455" s="110"/>
      <c r="CL455" s="110"/>
      <c r="CM455" s="110"/>
      <c r="CN455" s="110"/>
      <c r="CO455" s="110"/>
      <c r="CP455" s="110"/>
      <c r="CQ455" s="110"/>
      <c r="CR455" s="110"/>
      <c r="CS455" s="110"/>
      <c r="CT455" s="110"/>
      <c r="CU455" s="110"/>
      <c r="CV455" s="110"/>
      <c r="CW455" s="110"/>
      <c r="CX455" s="110"/>
      <c r="CY455" s="110"/>
      <c r="CZ455" s="110"/>
      <c r="DA455" s="110"/>
      <c r="DB455" s="110"/>
      <c r="DC455" s="110"/>
      <c r="DD455" s="110"/>
      <c r="DE455" s="110"/>
      <c r="DF455" s="110"/>
      <c r="DG455" s="110"/>
      <c r="DH455" s="110"/>
      <c r="DI455" s="110"/>
      <c r="DJ455" s="110"/>
      <c r="DK455" s="110"/>
      <c r="DL455" s="110"/>
      <c r="DM455" s="110"/>
      <c r="DN455" s="110"/>
      <c r="DO455" s="110"/>
      <c r="DP455" s="110"/>
      <c r="DQ455" s="110"/>
      <c r="DR455" s="110"/>
      <c r="DS455" s="110"/>
      <c r="DT455" s="110"/>
      <c r="DU455" s="110"/>
      <c r="DV455" s="110"/>
      <c r="DW455" s="110"/>
      <c r="DX455" s="110"/>
      <c r="DY455" s="110"/>
      <c r="DZ455" s="110"/>
      <c r="EA455" s="110"/>
      <c r="EB455" s="110"/>
      <c r="EC455" s="110"/>
      <c r="ED455" s="110"/>
      <c r="EE455" s="110"/>
      <c r="EF455" s="110"/>
      <c r="EG455" s="110"/>
      <c r="EH455" s="110"/>
      <c r="EI455" s="110"/>
      <c r="EJ455" s="110"/>
      <c r="EK455" s="110"/>
      <c r="EL455" s="110"/>
      <c r="EM455" s="110"/>
      <c r="EN455" s="110"/>
      <c r="EO455" s="110"/>
      <c r="EP455" s="110"/>
      <c r="EQ455" s="110"/>
      <c r="ER455" s="110"/>
      <c r="ES455" s="110"/>
      <c r="ET455" s="110"/>
      <c r="EU455" s="110"/>
    </row>
    <row r="456" spans="1:151" ht="114.75" x14ac:dyDescent="0.25">
      <c r="A456" s="199" t="s">
        <v>759</v>
      </c>
      <c r="B456" s="96"/>
      <c r="C456" s="259"/>
      <c r="D456" s="259"/>
      <c r="E456" s="68" t="s">
        <v>758</v>
      </c>
      <c r="F456" s="68" t="s">
        <v>757</v>
      </c>
      <c r="G456" s="68"/>
      <c r="H456" s="67" t="s">
        <v>385</v>
      </c>
      <c r="I456" s="93"/>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0"/>
      <c r="AY456" s="110"/>
      <c r="AZ456" s="110"/>
      <c r="BA456" s="110"/>
      <c r="BB456" s="110"/>
      <c r="BC456" s="110"/>
      <c r="BD456" s="110"/>
      <c r="BE456" s="110"/>
      <c r="BF456" s="110"/>
      <c r="BG456" s="110"/>
      <c r="BH456" s="110"/>
      <c r="BI456" s="110"/>
      <c r="BJ456" s="110"/>
      <c r="BK456" s="110"/>
      <c r="BL456" s="110"/>
      <c r="BM456" s="110"/>
      <c r="BN456" s="110"/>
      <c r="BO456" s="110"/>
      <c r="BP456" s="110"/>
      <c r="BQ456" s="110"/>
      <c r="BR456" s="110"/>
      <c r="BS456" s="110"/>
      <c r="BT456" s="110"/>
      <c r="BU456" s="110"/>
      <c r="BV456" s="110"/>
      <c r="BW456" s="110"/>
      <c r="BX456" s="110"/>
      <c r="BY456" s="110"/>
      <c r="BZ456" s="110"/>
      <c r="CA456" s="110"/>
      <c r="CB456" s="110"/>
      <c r="CC456" s="110"/>
      <c r="CD456" s="110"/>
      <c r="CE456" s="110"/>
      <c r="CF456" s="110"/>
      <c r="CG456" s="110"/>
      <c r="CH456" s="110"/>
      <c r="CI456" s="110"/>
      <c r="CJ456" s="110"/>
      <c r="CK456" s="110"/>
      <c r="CL456" s="110"/>
      <c r="CM456" s="110"/>
      <c r="CN456" s="110"/>
      <c r="CO456" s="110"/>
      <c r="CP456" s="110"/>
      <c r="CQ456" s="110"/>
      <c r="CR456" s="110"/>
      <c r="CS456" s="110"/>
      <c r="CT456" s="110"/>
      <c r="CU456" s="110"/>
      <c r="CV456" s="110"/>
      <c r="CW456" s="110"/>
      <c r="CX456" s="110"/>
      <c r="CY456" s="110"/>
      <c r="CZ456" s="110"/>
      <c r="DA456" s="110"/>
      <c r="DB456" s="110"/>
      <c r="DC456" s="110"/>
      <c r="DD456" s="110"/>
      <c r="DE456" s="110"/>
      <c r="DF456" s="110"/>
      <c r="DG456" s="110"/>
      <c r="DH456" s="110"/>
      <c r="DI456" s="110"/>
      <c r="DJ456" s="110"/>
      <c r="DK456" s="110"/>
      <c r="DL456" s="110"/>
      <c r="DM456" s="110"/>
      <c r="DN456" s="110"/>
      <c r="DO456" s="110"/>
      <c r="DP456" s="110"/>
      <c r="DQ456" s="110"/>
      <c r="DR456" s="110"/>
      <c r="DS456" s="110"/>
      <c r="DT456" s="110"/>
      <c r="DU456" s="110"/>
      <c r="DV456" s="110"/>
      <c r="DW456" s="110"/>
      <c r="DX456" s="110"/>
      <c r="DY456" s="110"/>
      <c r="DZ456" s="110"/>
      <c r="EA456" s="110"/>
      <c r="EB456" s="110"/>
      <c r="EC456" s="110"/>
      <c r="ED456" s="110"/>
      <c r="EE456" s="110"/>
      <c r="EF456" s="110"/>
      <c r="EG456" s="110"/>
      <c r="EH456" s="110"/>
      <c r="EI456" s="110"/>
      <c r="EJ456" s="110"/>
      <c r="EK456" s="110"/>
      <c r="EL456" s="110"/>
      <c r="EM456" s="110"/>
      <c r="EN456" s="110"/>
      <c r="EO456" s="110"/>
      <c r="EP456" s="110"/>
      <c r="EQ456" s="110"/>
      <c r="ER456" s="110"/>
      <c r="ES456" s="110"/>
      <c r="ET456" s="110"/>
      <c r="EU456" s="110"/>
    </row>
    <row r="457" spans="1:151" x14ac:dyDescent="0.25">
      <c r="A457" s="199" t="s">
        <v>756</v>
      </c>
      <c r="B457" s="93"/>
      <c r="C457" s="260"/>
      <c r="D457" s="260"/>
      <c r="E457" s="68"/>
      <c r="F457" s="68" t="s">
        <v>755</v>
      </c>
      <c r="G457" s="68"/>
      <c r="H457" s="67" t="s">
        <v>385</v>
      </c>
      <c r="I457" s="93"/>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0"/>
      <c r="AY457" s="110"/>
      <c r="AZ457" s="110"/>
      <c r="BA457" s="110"/>
      <c r="BB457" s="110"/>
      <c r="BC457" s="110"/>
      <c r="BD457" s="110"/>
      <c r="BE457" s="110"/>
      <c r="BF457" s="110"/>
      <c r="BG457" s="110"/>
      <c r="BH457" s="110"/>
      <c r="BI457" s="110"/>
      <c r="BJ457" s="110"/>
      <c r="BK457" s="110"/>
      <c r="BL457" s="110"/>
      <c r="BM457" s="110"/>
      <c r="BN457" s="110"/>
      <c r="BO457" s="110"/>
      <c r="BP457" s="110"/>
      <c r="BQ457" s="110"/>
      <c r="BR457" s="110"/>
      <c r="BS457" s="110"/>
      <c r="BT457" s="110"/>
      <c r="BU457" s="110"/>
      <c r="BV457" s="110"/>
      <c r="BW457" s="110"/>
      <c r="BX457" s="110"/>
      <c r="BY457" s="110"/>
      <c r="BZ457" s="110"/>
      <c r="CA457" s="110"/>
      <c r="CB457" s="110"/>
      <c r="CC457" s="110"/>
      <c r="CD457" s="110"/>
      <c r="CE457" s="110"/>
      <c r="CF457" s="110"/>
      <c r="CG457" s="110"/>
      <c r="CH457" s="110"/>
      <c r="CI457" s="110"/>
      <c r="CJ457" s="110"/>
      <c r="CK457" s="110"/>
      <c r="CL457" s="110"/>
      <c r="CM457" s="110"/>
      <c r="CN457" s="110"/>
      <c r="CO457" s="110"/>
      <c r="CP457" s="110"/>
      <c r="CQ457" s="110"/>
      <c r="CR457" s="110"/>
      <c r="CS457" s="110"/>
      <c r="CT457" s="110"/>
      <c r="CU457" s="110"/>
      <c r="CV457" s="110"/>
      <c r="CW457" s="110"/>
      <c r="CX457" s="110"/>
      <c r="CY457" s="110"/>
      <c r="CZ457" s="110"/>
      <c r="DA457" s="110"/>
      <c r="DB457" s="110"/>
      <c r="DC457" s="110"/>
      <c r="DD457" s="110"/>
      <c r="DE457" s="110"/>
      <c r="DF457" s="110"/>
      <c r="DG457" s="110"/>
      <c r="DH457" s="110"/>
      <c r="DI457" s="110"/>
      <c r="DJ457" s="110"/>
      <c r="DK457" s="110"/>
      <c r="DL457" s="110"/>
      <c r="DM457" s="110"/>
      <c r="DN457" s="110"/>
      <c r="DO457" s="110"/>
      <c r="DP457" s="110"/>
      <c r="DQ457" s="110"/>
      <c r="DR457" s="110"/>
      <c r="DS457" s="110"/>
      <c r="DT457" s="110"/>
      <c r="DU457" s="110"/>
      <c r="DV457" s="110"/>
      <c r="DW457" s="110"/>
      <c r="DX457" s="110"/>
      <c r="DY457" s="110"/>
      <c r="DZ457" s="110"/>
      <c r="EA457" s="110"/>
      <c r="EB457" s="110"/>
      <c r="EC457" s="110"/>
      <c r="ED457" s="110"/>
      <c r="EE457" s="110"/>
      <c r="EF457" s="110"/>
      <c r="EG457" s="110"/>
      <c r="EH457" s="110"/>
      <c r="EI457" s="110"/>
      <c r="EJ457" s="110"/>
      <c r="EK457" s="110"/>
      <c r="EL457" s="110"/>
      <c r="EM457" s="110"/>
      <c r="EN457" s="110"/>
      <c r="EO457" s="110"/>
      <c r="EP457" s="110"/>
      <c r="EQ457" s="110"/>
      <c r="ER457" s="110"/>
      <c r="ES457" s="110"/>
      <c r="ET457" s="110"/>
      <c r="EU457" s="110"/>
    </row>
  </sheetData>
  <mergeCells count="149">
    <mergeCell ref="E386:E388"/>
    <mergeCell ref="D387:D388"/>
    <mergeCell ref="D390:D396"/>
    <mergeCell ref="E390:E396"/>
    <mergeCell ref="D349:D360"/>
    <mergeCell ref="E349:E360"/>
    <mergeCell ref="D361:D373"/>
    <mergeCell ref="D374:D377"/>
    <mergeCell ref="C451:C457"/>
    <mergeCell ref="D451:D457"/>
    <mergeCell ref="D444:D449"/>
    <mergeCell ref="E444:E449"/>
    <mergeCell ref="C444:C449"/>
    <mergeCell ref="D440:D443"/>
    <mergeCell ref="E440:E443"/>
    <mergeCell ref="E436:E439"/>
    <mergeCell ref="D436:D439"/>
    <mergeCell ref="E403:E406"/>
    <mergeCell ref="D379:D386"/>
    <mergeCell ref="C403:C406"/>
    <mergeCell ref="A1:K1"/>
    <mergeCell ref="E258:E263"/>
    <mergeCell ref="E379:E385"/>
    <mergeCell ref="B379:B385"/>
    <mergeCell ref="C342:C348"/>
    <mergeCell ref="E400:E401"/>
    <mergeCell ref="D400:D401"/>
    <mergeCell ref="E333:E341"/>
    <mergeCell ref="B363:B373"/>
    <mergeCell ref="C269:C341"/>
    <mergeCell ref="B5:B10"/>
    <mergeCell ref="D5:D10"/>
    <mergeCell ref="B11:B17"/>
    <mergeCell ref="D11:D16"/>
    <mergeCell ref="A19:I19"/>
    <mergeCell ref="E361:E373"/>
    <mergeCell ref="E293:E302"/>
    <mergeCell ref="D303:D309"/>
    <mergeCell ref="E303:E309"/>
    <mergeCell ref="E242:E248"/>
    <mergeCell ref="E374:E377"/>
    <mergeCell ref="C361:C362"/>
    <mergeCell ref="D320:D325"/>
    <mergeCell ref="E320:E325"/>
    <mergeCell ref="B403:B406"/>
    <mergeCell ref="B387:B397"/>
    <mergeCell ref="D403:D406"/>
    <mergeCell ref="B361:B362"/>
    <mergeCell ref="C400:C402"/>
    <mergeCell ref="B374:B377"/>
    <mergeCell ref="C374:C377"/>
    <mergeCell ref="C363:C373"/>
    <mergeCell ref="E141:E148"/>
    <mergeCell ref="E150:E157"/>
    <mergeCell ref="E163:E168"/>
    <mergeCell ref="D170:D176"/>
    <mergeCell ref="E170:E176"/>
    <mergeCell ref="E178:E183"/>
    <mergeCell ref="D163:D168"/>
    <mergeCell ref="E202:E204"/>
    <mergeCell ref="E205:E209"/>
    <mergeCell ref="E159:E161"/>
    <mergeCell ref="E342:E348"/>
    <mergeCell ref="D211:D215"/>
    <mergeCell ref="E211:E215"/>
    <mergeCell ref="E223:E232"/>
    <mergeCell ref="D217:D221"/>
    <mergeCell ref="E217:E221"/>
    <mergeCell ref="B349:B360"/>
    <mergeCell ref="D200:D204"/>
    <mergeCell ref="D234:D248"/>
    <mergeCell ref="D258:D263"/>
    <mergeCell ref="D333:D341"/>
    <mergeCell ref="C32:C194"/>
    <mergeCell ref="C349:C360"/>
    <mergeCell ref="C258:C263"/>
    <mergeCell ref="C264:C268"/>
    <mergeCell ref="B334:B341"/>
    <mergeCell ref="B342:B348"/>
    <mergeCell ref="C200:C257"/>
    <mergeCell ref="D252:D257"/>
    <mergeCell ref="D69:D76"/>
    <mergeCell ref="D178:D190"/>
    <mergeCell ref="D192:D193"/>
    <mergeCell ref="D205:D209"/>
    <mergeCell ref="D250:D251"/>
    <mergeCell ref="D326:D332"/>
    <mergeCell ref="D310:D319"/>
    <mergeCell ref="D269:D275"/>
    <mergeCell ref="D276:D284"/>
    <mergeCell ref="D285:D292"/>
    <mergeCell ref="D293:D302"/>
    <mergeCell ref="E37:E39"/>
    <mergeCell ref="E41:E49"/>
    <mergeCell ref="E77:E82"/>
    <mergeCell ref="E84:E89"/>
    <mergeCell ref="E91:E95"/>
    <mergeCell ref="E97:E101"/>
    <mergeCell ref="E115:E119"/>
    <mergeCell ref="E120:E124"/>
    <mergeCell ref="E126:E130"/>
    <mergeCell ref="E132:E139"/>
    <mergeCell ref="E64:E67"/>
    <mergeCell ref="E69:E76"/>
    <mergeCell ref="E109:E113"/>
    <mergeCell ref="E250:E251"/>
    <mergeCell ref="E25:E26"/>
    <mergeCell ref="E28:E31"/>
    <mergeCell ref="C27:C31"/>
    <mergeCell ref="B32:B333"/>
    <mergeCell ref="E51:E62"/>
    <mergeCell ref="B22:B26"/>
    <mergeCell ref="C22:C26"/>
    <mergeCell ref="B27:B28"/>
    <mergeCell ref="D194:D199"/>
    <mergeCell ref="D223:D232"/>
    <mergeCell ref="E192:E193"/>
    <mergeCell ref="E194:E199"/>
    <mergeCell ref="E185:E190"/>
    <mergeCell ref="E326:E332"/>
    <mergeCell ref="E252:E257"/>
    <mergeCell ref="E310:E319"/>
    <mergeCell ref="E269:E275"/>
    <mergeCell ref="E276:E284"/>
    <mergeCell ref="E285:E292"/>
    <mergeCell ref="I258:I263"/>
    <mergeCell ref="I264:I268"/>
    <mergeCell ref="D418:D426"/>
    <mergeCell ref="B431:B435"/>
    <mergeCell ref="C436:C443"/>
    <mergeCell ref="B408:B418"/>
    <mergeCell ref="B427:B430"/>
    <mergeCell ref="B398:B399"/>
    <mergeCell ref="C378:C397"/>
    <mergeCell ref="B400:B402"/>
    <mergeCell ref="B436:B444"/>
    <mergeCell ref="C407:C427"/>
    <mergeCell ref="E408:E412"/>
    <mergeCell ref="D413:D417"/>
    <mergeCell ref="E413:E417"/>
    <mergeCell ref="C428:C430"/>
    <mergeCell ref="D408:D412"/>
    <mergeCell ref="B419:B426"/>
    <mergeCell ref="E418:E426"/>
    <mergeCell ref="D427:D431"/>
    <mergeCell ref="E427:E431"/>
    <mergeCell ref="E432:E435"/>
    <mergeCell ref="D432:D435"/>
    <mergeCell ref="C431:C435"/>
  </mergeCells>
  <conditionalFormatting sqref="G400:G401 F64:F76 G27:G76 F83:H83 F90:H90 F96:H96 F102:H102 F108:H108 F114:H114 F120:H120 F125:H125 F131:H131 F140:H140 F149:H149 F158:H158 F162:H162 F169:H169 F177:H177 F184:H184 F191:H191 F210:H210 F216:H216 F222:H222 F233:H233 F241:H241 F249:H249 H84:H89 H91:H95 H97:H101 H103:H107 H109:H113 H115:H119 H121:H124 H211:H215 H234:H248 H217:H232 H126:H209 H250:H457 H21:H82">
    <cfRule type="cellIs" dxfId="142" priority="109" operator="equal">
      <formula>"Not Tested"</formula>
    </cfRule>
    <cfRule type="cellIs" dxfId="141" priority="110" operator="equal">
      <formula>"Pending"</formula>
    </cfRule>
    <cfRule type="cellIs" dxfId="140" priority="111" operator="equal">
      <formula>"Ongoing"</formula>
    </cfRule>
    <cfRule type="cellIs" dxfId="139" priority="112" operator="equal">
      <formula>"Blocked"</formula>
    </cfRule>
    <cfRule type="cellIs" dxfId="138" priority="113" operator="equal">
      <formula>"Fail"</formula>
    </cfRule>
    <cfRule type="cellIs" dxfId="137" priority="114" operator="equal">
      <formula>"Partially Fail"</formula>
    </cfRule>
    <cfRule type="cellIs" dxfId="136" priority="115" operator="equal">
      <formula>"Pass"</formula>
    </cfRule>
  </conditionalFormatting>
  <conditionalFormatting sqref="G400:G401 F64:F76 G27:G76 F83:H83 F90:H90 F96:H96 F102:H102 F108:H108 F114:H114 F120:H120 F125:H125 F131:H131 F140:H140 F149:H149 F158:H158 F162:H162 F169:H169 F177:H177 F184:H184 F191:H191 F210:H210 F216:H216 F222:H222 F233:H233 F241:H241 F249:H249 H84:H89 H91:H95 H97:H101 H103:H107 H109:H113 H115:H119 H121:H124 H211:H215 H234:H248 H217:H232 H126:H209 H250:H457 H21:H82">
    <cfRule type="cellIs" dxfId="135" priority="102" operator="equal">
      <formula>"Not Tested"</formula>
    </cfRule>
    <cfRule type="cellIs" dxfId="134" priority="103" operator="equal">
      <formula>"Pending"</formula>
    </cfRule>
    <cfRule type="cellIs" dxfId="133" priority="104" operator="equal">
      <formula>"Ongoing"</formula>
    </cfRule>
    <cfRule type="cellIs" dxfId="132" priority="105" operator="equal">
      <formula>"Blocked"</formula>
    </cfRule>
    <cfRule type="cellIs" dxfId="131" priority="106" operator="equal">
      <formula>"Fail"</formula>
    </cfRule>
    <cfRule type="cellIs" dxfId="130" priority="107" operator="equal">
      <formula>"Partially Pass"</formula>
    </cfRule>
    <cfRule type="cellIs" dxfId="129" priority="108" operator="equal">
      <formula>"Pass"</formula>
    </cfRule>
  </conditionalFormatting>
  <conditionalFormatting sqref="H21:H457">
    <cfRule type="cellIs" dxfId="128" priority="95" operator="equal">
      <formula>"Not Tested"</formula>
    </cfRule>
    <cfRule type="cellIs" dxfId="127" priority="96" operator="equal">
      <formula>"Pending"</formula>
    </cfRule>
    <cfRule type="cellIs" dxfId="126" priority="97" operator="equal">
      <formula>"Ongoing"</formula>
    </cfRule>
    <cfRule type="cellIs" dxfId="125" priority="98" operator="equal">
      <formula>"Blocked"</formula>
    </cfRule>
    <cfRule type="cellIs" dxfId="124" priority="99" operator="equal">
      <formula>"Fail"</formula>
    </cfRule>
    <cfRule type="cellIs" dxfId="123" priority="100" operator="equal">
      <formula>"Partially Fail"</formula>
    </cfRule>
    <cfRule type="cellIs" dxfId="122" priority="101" operator="equal">
      <formula>"Pass"</formula>
    </cfRule>
  </conditionalFormatting>
  <conditionalFormatting sqref="H21:H457">
    <cfRule type="cellIs" dxfId="121" priority="88" operator="equal">
      <formula>"Not Tested"</formula>
    </cfRule>
    <cfRule type="cellIs" dxfId="120" priority="89" operator="equal">
      <formula>"Pending"</formula>
    </cfRule>
    <cfRule type="cellIs" dxfId="119" priority="90" operator="equal">
      <formula>"Ongoing"</formula>
    </cfRule>
    <cfRule type="cellIs" dxfId="118" priority="91" operator="equal">
      <formula>"Blocked"</formula>
    </cfRule>
    <cfRule type="cellIs" dxfId="117" priority="92" operator="equal">
      <formula>"Fail"</formula>
    </cfRule>
    <cfRule type="cellIs" dxfId="116" priority="93" operator="equal">
      <formula>"Partially Pass"</formula>
    </cfRule>
    <cfRule type="cellIs" dxfId="115" priority="94" operator="equal">
      <formula>"Pass"</formula>
    </cfRule>
  </conditionalFormatting>
  <conditionalFormatting sqref="H21:H457">
    <cfRule type="cellIs" dxfId="114" priority="80" operator="equal">
      <formula>"Not Tested"</formula>
    </cfRule>
    <cfRule type="cellIs" dxfId="113" priority="81" operator="equal">
      <formula>"Not Tested"</formula>
    </cfRule>
    <cfRule type="cellIs" dxfId="112" priority="82" operator="equal">
      <formula>"Pending"</formula>
    </cfRule>
    <cfRule type="cellIs" dxfId="111" priority="83" operator="equal">
      <formula>"Ongoing"</formula>
    </cfRule>
    <cfRule type="cellIs" dxfId="110" priority="84" operator="equal">
      <formula>"Blocked"</formula>
    </cfRule>
    <cfRule type="cellIs" dxfId="109" priority="85" operator="equal">
      <formula>"Fail"</formula>
    </cfRule>
    <cfRule type="cellIs" dxfId="108" priority="86" operator="equal">
      <formula>"Partially Fail"</formula>
    </cfRule>
    <cfRule type="cellIs" dxfId="107" priority="87" operator="equal">
      <formula>"Pass"</formula>
    </cfRule>
  </conditionalFormatting>
  <conditionalFormatting sqref="H21:H457">
    <cfRule type="cellIs" dxfId="106" priority="74" operator="equal">
      <formula>"Pending"</formula>
    </cfRule>
    <cfRule type="cellIs" dxfId="105" priority="75" operator="equal">
      <formula>"Ongoing"</formula>
    </cfRule>
    <cfRule type="cellIs" dxfId="104" priority="76" operator="equal">
      <formula>"Blocked"</formula>
    </cfRule>
    <cfRule type="cellIs" dxfId="103" priority="77" operator="equal">
      <formula>"Fail"</formula>
    </cfRule>
    <cfRule type="cellIs" dxfId="102" priority="78" operator="equal">
      <formula>"Partially Pass"</formula>
    </cfRule>
    <cfRule type="cellIs" dxfId="101" priority="79" operator="equal">
      <formula>"Pass"</formula>
    </cfRule>
  </conditionalFormatting>
  <conditionalFormatting sqref="H21:H457">
    <cfRule type="cellIs" dxfId="100" priority="65" stopIfTrue="1" operator="equal">
      <formula>"Pending"</formula>
    </cfRule>
    <cfRule type="cellIs" dxfId="99" priority="66" stopIfTrue="1" operator="equal">
      <formula>"Ongoing"</formula>
    </cfRule>
    <cfRule type="cellIs" dxfId="98" priority="67" operator="equal">
      <formula>"Not Tested"</formula>
    </cfRule>
    <cfRule type="cellIs" dxfId="97" priority="68" operator="equal">
      <formula>"Pending"</formula>
    </cfRule>
    <cfRule type="cellIs" dxfId="96" priority="69" operator="equal">
      <formula>"Ongoing"</formula>
    </cfRule>
    <cfRule type="cellIs" dxfId="95" priority="70" operator="equal">
      <formula>"Blocked"</formula>
    </cfRule>
    <cfRule type="cellIs" dxfId="94" priority="71" operator="equal">
      <formula>"Fail"</formula>
    </cfRule>
    <cfRule type="cellIs" dxfId="93" priority="72" operator="equal">
      <formula>"Partially Fail"</formula>
    </cfRule>
    <cfRule type="cellIs" dxfId="92" priority="73" operator="equal">
      <formula>"Pass"</formula>
    </cfRule>
  </conditionalFormatting>
  <conditionalFormatting sqref="H21:H457">
    <cfRule type="cellIs" dxfId="91" priority="61" stopIfTrue="1" operator="equal">
      <formula>"Blocked"</formula>
    </cfRule>
    <cfRule type="cellIs" dxfId="90" priority="62" stopIfTrue="1" operator="equal">
      <formula>"Fail"</formula>
    </cfRule>
    <cfRule type="cellIs" dxfId="89" priority="63" stopIfTrue="1" operator="equal">
      <formula>"Partially Pass"</formula>
    </cfRule>
    <cfRule type="cellIs" dxfId="88" priority="64" stopIfTrue="1" operator="equal">
      <formula>"Pass"</formula>
    </cfRule>
  </conditionalFormatting>
  <conditionalFormatting sqref="I5:I17">
    <cfRule type="cellIs" dxfId="87" priority="59" operator="equal">
      <formula>"N"</formula>
    </cfRule>
    <cfRule type="cellIs" dxfId="86" priority="60" operator="equal">
      <formula>"Y"</formula>
    </cfRule>
  </conditionalFormatting>
  <conditionalFormatting sqref="I5:I17">
    <cfRule type="containsText" dxfId="85" priority="58" operator="containsText" text="N">
      <formula>NOT(ISERROR(SEARCH("N",I5)))</formula>
    </cfRule>
  </conditionalFormatting>
  <conditionalFormatting sqref="H22:H457">
    <cfRule type="cellIs" dxfId="84" priority="57" operator="equal">
      <formula>"Not Applicable"</formula>
    </cfRule>
  </conditionalFormatting>
  <dataValidations count="1">
    <dataValidation type="list" allowBlank="1" showInputMessage="1" showErrorMessage="1" sqref="E22:E25">
      <formula1>"Paid,Incurred"</formula1>
    </dataValidation>
  </dataValidations>
  <hyperlinks>
    <hyperlink ref="G348" location="QM!A1" display="Click here to see QM Category list"/>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[4]Info!#REF!</xm:f>
          </x14:formula1>
          <xm:sqref>G451:G457</xm:sqref>
        </x14:dataValidation>
        <x14:dataValidation type="list" allowBlank="1" showInputMessage="1" showErrorMessage="1">
          <x14:formula1>
            <xm:f>Info!A3:A10</xm:f>
          </x14:formula1>
          <xm:sqref>H21:H457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sheetViews>
  <sheetFormatPr defaultRowHeight="15" x14ac:dyDescent="0.25"/>
  <cols>
    <col min="1" max="1" width="25" bestFit="1" customWidth="1"/>
    <col min="2" max="2" width="17.85546875" bestFit="1" customWidth="1"/>
    <col min="3" max="3" width="19.7109375" bestFit="1" customWidth="1"/>
    <col min="4" max="4" width="7.7109375" bestFit="1" customWidth="1"/>
    <col min="5" max="5" width="28.42578125" customWidth="1"/>
    <col min="6" max="6" width="15.7109375" customWidth="1"/>
    <col min="7" max="7" width="19.7109375" bestFit="1" customWidth="1"/>
    <col min="8" max="8" width="7.7109375" bestFit="1" customWidth="1"/>
  </cols>
  <sheetData>
    <row r="1" spans="1:8" x14ac:dyDescent="0.25">
      <c r="A1" s="25" t="s">
        <v>300</v>
      </c>
      <c r="E1" s="25" t="s">
        <v>301</v>
      </c>
    </row>
    <row r="2" spans="1:8" x14ac:dyDescent="0.25">
      <c r="B2" s="24" t="s">
        <v>298</v>
      </c>
      <c r="F2" s="24" t="s">
        <v>298</v>
      </c>
    </row>
    <row r="3" spans="1:8" x14ac:dyDescent="0.25">
      <c r="B3" s="11" t="s">
        <v>270</v>
      </c>
      <c r="F3" s="11" t="s">
        <v>302</v>
      </c>
    </row>
    <row r="4" spans="1:8" x14ac:dyDescent="0.25">
      <c r="B4" s="11" t="s">
        <v>271</v>
      </c>
      <c r="F4" s="11" t="s">
        <v>306</v>
      </c>
    </row>
    <row r="5" spans="1:8" x14ac:dyDescent="0.25">
      <c r="B5" s="11" t="s">
        <v>272</v>
      </c>
      <c r="F5" s="11" t="s">
        <v>272</v>
      </c>
    </row>
    <row r="6" spans="1:8" x14ac:dyDescent="0.25">
      <c r="B6" s="11" t="s">
        <v>274</v>
      </c>
      <c r="F6" s="11" t="s">
        <v>274</v>
      </c>
    </row>
    <row r="7" spans="1:8" x14ac:dyDescent="0.25">
      <c r="B7" s="11" t="s">
        <v>273</v>
      </c>
      <c r="C7" s="23" t="s">
        <v>297</v>
      </c>
      <c r="F7" s="11" t="s">
        <v>303</v>
      </c>
      <c r="G7" s="23" t="s">
        <v>297</v>
      </c>
    </row>
    <row r="8" spans="1:8" x14ac:dyDescent="0.25">
      <c r="B8" s="11" t="s">
        <v>275</v>
      </c>
      <c r="C8" s="11" t="s">
        <v>280</v>
      </c>
      <c r="F8" s="11" t="s">
        <v>304</v>
      </c>
      <c r="G8" s="11" t="s">
        <v>305</v>
      </c>
    </row>
    <row r="9" spans="1:8" x14ac:dyDescent="0.25">
      <c r="B9" s="11" t="s">
        <v>276</v>
      </c>
      <c r="C9" s="11" t="s">
        <v>281</v>
      </c>
      <c r="G9" s="11" t="s">
        <v>280</v>
      </c>
    </row>
    <row r="10" spans="1:8" x14ac:dyDescent="0.25">
      <c r="B10" s="11" t="s">
        <v>277</v>
      </c>
      <c r="C10" s="11" t="s">
        <v>282</v>
      </c>
      <c r="G10" s="11" t="s">
        <v>283</v>
      </c>
    </row>
    <row r="11" spans="1:8" x14ac:dyDescent="0.25">
      <c r="B11" s="11" t="s">
        <v>307</v>
      </c>
      <c r="C11" s="11" t="s">
        <v>283</v>
      </c>
      <c r="G11" s="11" t="s">
        <v>284</v>
      </c>
    </row>
    <row r="12" spans="1:8" x14ac:dyDescent="0.25">
      <c r="B12" s="11" t="s">
        <v>278</v>
      </c>
      <c r="C12" s="11" t="s">
        <v>284</v>
      </c>
      <c r="G12" s="11" t="s">
        <v>285</v>
      </c>
      <c r="H12" s="23" t="s">
        <v>296</v>
      </c>
    </row>
    <row r="13" spans="1:8" x14ac:dyDescent="0.25">
      <c r="B13" s="11" t="s">
        <v>279</v>
      </c>
      <c r="C13" s="11" t="s">
        <v>285</v>
      </c>
      <c r="H13" s="11" t="s">
        <v>293</v>
      </c>
    </row>
    <row r="14" spans="1:8" x14ac:dyDescent="0.25">
      <c r="C14" s="11" t="s">
        <v>291</v>
      </c>
      <c r="H14" s="11" t="s">
        <v>294</v>
      </c>
    </row>
    <row r="15" spans="1:8" x14ac:dyDescent="0.25">
      <c r="C15" s="11" t="s">
        <v>286</v>
      </c>
      <c r="H15" s="11" t="s">
        <v>295</v>
      </c>
    </row>
    <row r="16" spans="1:8" x14ac:dyDescent="0.25">
      <c r="C16" s="11" t="s">
        <v>287</v>
      </c>
    </row>
    <row r="17" spans="3:4" x14ac:dyDescent="0.25">
      <c r="C17" s="11" t="s">
        <v>288</v>
      </c>
    </row>
    <row r="18" spans="3:4" x14ac:dyDescent="0.25">
      <c r="C18" s="11" t="s">
        <v>305</v>
      </c>
    </row>
    <row r="19" spans="3:4" x14ac:dyDescent="0.25">
      <c r="C19" s="11" t="s">
        <v>292</v>
      </c>
    </row>
    <row r="20" spans="3:4" x14ac:dyDescent="0.25">
      <c r="C20" s="11" t="s">
        <v>290</v>
      </c>
      <c r="D20" s="23" t="s">
        <v>296</v>
      </c>
    </row>
    <row r="21" spans="3:4" x14ac:dyDescent="0.25">
      <c r="C21" s="11" t="s">
        <v>53</v>
      </c>
      <c r="D21" s="11" t="s">
        <v>293</v>
      </c>
    </row>
    <row r="22" spans="3:4" x14ac:dyDescent="0.25">
      <c r="C22" s="11" t="s">
        <v>289</v>
      </c>
      <c r="D22" s="11" t="s">
        <v>294</v>
      </c>
    </row>
    <row r="23" spans="3:4" x14ac:dyDescent="0.25">
      <c r="D23" s="11"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Views>
    <sheetView workbookViewId="0"/>
  </sheetViews>
  <sheetFormatPr defaultRowHeight="15" x14ac:dyDescent="0.25"/>
  <cols>
    <col min="1" max="1" width="21.140625" customWidth="1"/>
    <col min="2" max="2" width="22.140625" customWidth="1"/>
    <col min="3" max="3" width="4.85546875" bestFit="1" customWidth="1"/>
    <col min="4" max="4" width="98.28515625" bestFit="1" customWidth="1"/>
  </cols>
  <sheetData>
    <row r="1" spans="1:6" x14ac:dyDescent="0.25">
      <c r="A1" s="15"/>
      <c r="B1" s="13" t="s">
        <v>268</v>
      </c>
      <c r="C1" s="13"/>
      <c r="D1" s="14" t="s">
        <v>269</v>
      </c>
    </row>
    <row r="2" spans="1:6" x14ac:dyDescent="0.25">
      <c r="A2" s="15"/>
      <c r="B2" s="313" t="s">
        <v>148</v>
      </c>
      <c r="C2" s="314"/>
      <c r="D2" s="315"/>
    </row>
    <row r="3" spans="1:6" x14ac:dyDescent="0.25">
      <c r="A3" s="15"/>
      <c r="B3" s="310"/>
      <c r="C3" s="11" t="s">
        <v>149</v>
      </c>
      <c r="D3" s="20" t="s">
        <v>150</v>
      </c>
    </row>
    <row r="4" spans="1:6" x14ac:dyDescent="0.25">
      <c r="A4" s="15"/>
      <c r="B4" s="311"/>
      <c r="C4" s="11" t="s">
        <v>151</v>
      </c>
      <c r="D4" s="20" t="s">
        <v>152</v>
      </c>
    </row>
    <row r="5" spans="1:6" x14ac:dyDescent="0.25">
      <c r="A5" s="15"/>
      <c r="B5" s="312"/>
      <c r="C5" s="11" t="s">
        <v>153</v>
      </c>
      <c r="D5" s="20" t="s">
        <v>154</v>
      </c>
    </row>
    <row r="6" spans="1:6" x14ac:dyDescent="0.25">
      <c r="A6" s="15"/>
      <c r="B6" s="318" t="s">
        <v>140</v>
      </c>
      <c r="C6" s="318"/>
      <c r="D6" s="318"/>
    </row>
    <row r="7" spans="1:6" x14ac:dyDescent="0.25">
      <c r="A7" s="15"/>
      <c r="B7" s="310"/>
      <c r="C7" s="11" t="s">
        <v>155</v>
      </c>
      <c r="D7" s="20" t="s">
        <v>156</v>
      </c>
    </row>
    <row r="8" spans="1:6" x14ac:dyDescent="0.25">
      <c r="A8" s="15"/>
      <c r="B8" s="311"/>
      <c r="C8" s="11" t="s">
        <v>157</v>
      </c>
      <c r="D8" s="20" t="s">
        <v>158</v>
      </c>
      <c r="F8" s="15"/>
    </row>
    <row r="9" spans="1:6" x14ac:dyDescent="0.25">
      <c r="A9" s="15"/>
      <c r="B9" s="311"/>
      <c r="C9" s="11" t="s">
        <v>159</v>
      </c>
      <c r="D9" s="20" t="s">
        <v>160</v>
      </c>
    </row>
    <row r="10" spans="1:6" x14ac:dyDescent="0.25">
      <c r="A10" s="15"/>
      <c r="B10" s="311"/>
      <c r="C10" s="11" t="s">
        <v>161</v>
      </c>
      <c r="D10" s="20" t="s">
        <v>141</v>
      </c>
    </row>
    <row r="11" spans="1:6" x14ac:dyDescent="0.25">
      <c r="A11" s="15"/>
      <c r="B11" s="311"/>
      <c r="C11" s="11" t="s">
        <v>162</v>
      </c>
      <c r="D11" s="20" t="s">
        <v>142</v>
      </c>
    </row>
    <row r="12" spans="1:6" x14ac:dyDescent="0.25">
      <c r="A12" s="15"/>
      <c r="B12" s="311"/>
      <c r="C12" s="18" t="s">
        <v>163</v>
      </c>
      <c r="D12" s="21" t="s">
        <v>143</v>
      </c>
    </row>
    <row r="13" spans="1:6" x14ac:dyDescent="0.25">
      <c r="A13" s="15"/>
      <c r="B13" s="318" t="s">
        <v>135</v>
      </c>
      <c r="C13" s="318"/>
      <c r="D13" s="318"/>
      <c r="E13" s="15"/>
    </row>
    <row r="14" spans="1:6" x14ac:dyDescent="0.25">
      <c r="A14" s="15"/>
      <c r="B14" s="311"/>
      <c r="C14" s="19" t="s">
        <v>164</v>
      </c>
      <c r="D14" s="22" t="s">
        <v>165</v>
      </c>
    </row>
    <row r="15" spans="1:6" x14ac:dyDescent="0.25">
      <c r="A15" s="15"/>
      <c r="B15" s="311"/>
      <c r="C15" s="11" t="s">
        <v>166</v>
      </c>
      <c r="D15" s="20" t="s">
        <v>167</v>
      </c>
    </row>
    <row r="16" spans="1:6" x14ac:dyDescent="0.25">
      <c r="A16" s="15"/>
      <c r="B16" s="311"/>
      <c r="C16" s="11" t="s">
        <v>168</v>
      </c>
      <c r="D16" s="20" t="s">
        <v>169</v>
      </c>
    </row>
    <row r="17" spans="1:4" x14ac:dyDescent="0.25">
      <c r="A17" s="15"/>
      <c r="B17" s="311"/>
      <c r="C17" s="11" t="s">
        <v>170</v>
      </c>
      <c r="D17" s="20" t="s">
        <v>171</v>
      </c>
    </row>
    <row r="18" spans="1:4" x14ac:dyDescent="0.25">
      <c r="A18" s="15"/>
      <c r="B18" s="311"/>
      <c r="C18" s="11" t="s">
        <v>172</v>
      </c>
      <c r="D18" s="20" t="s">
        <v>173</v>
      </c>
    </row>
    <row r="19" spans="1:4" x14ac:dyDescent="0.25">
      <c r="A19" s="15"/>
      <c r="B19" s="311"/>
      <c r="C19" s="11" t="s">
        <v>174</v>
      </c>
      <c r="D19" s="20" t="s">
        <v>136</v>
      </c>
    </row>
    <row r="20" spans="1:4" x14ac:dyDescent="0.25">
      <c r="A20" s="15"/>
      <c r="B20" s="312"/>
      <c r="C20" s="11" t="s">
        <v>175</v>
      </c>
      <c r="D20" s="20" t="s">
        <v>137</v>
      </c>
    </row>
    <row r="21" spans="1:4" x14ac:dyDescent="0.25">
      <c r="A21" s="15"/>
      <c r="B21" s="318" t="s">
        <v>121</v>
      </c>
      <c r="C21" s="318"/>
      <c r="D21" s="318"/>
    </row>
    <row r="22" spans="1:4" x14ac:dyDescent="0.25">
      <c r="A22" s="15"/>
      <c r="B22" s="310"/>
      <c r="C22" s="11" t="s">
        <v>176</v>
      </c>
      <c r="D22" s="20" t="s">
        <v>177</v>
      </c>
    </row>
    <row r="23" spans="1:4" x14ac:dyDescent="0.25">
      <c r="A23" s="15"/>
      <c r="B23" s="311"/>
      <c r="C23" s="11" t="s">
        <v>178</v>
      </c>
      <c r="D23" s="20" t="s">
        <v>179</v>
      </c>
    </row>
    <row r="24" spans="1:4" x14ac:dyDescent="0.25">
      <c r="A24" s="15"/>
      <c r="B24" s="311"/>
      <c r="C24" s="11" t="s">
        <v>180</v>
      </c>
      <c r="D24" s="20" t="s">
        <v>181</v>
      </c>
    </row>
    <row r="25" spans="1:4" x14ac:dyDescent="0.25">
      <c r="A25" s="15"/>
      <c r="B25" s="311"/>
      <c r="C25" s="11" t="s">
        <v>182</v>
      </c>
      <c r="D25" s="20" t="s">
        <v>150</v>
      </c>
    </row>
    <row r="26" spans="1:4" x14ac:dyDescent="0.25">
      <c r="A26" s="15"/>
      <c r="B26" s="311"/>
      <c r="C26" s="11" t="s">
        <v>183</v>
      </c>
      <c r="D26" s="20" t="s">
        <v>184</v>
      </c>
    </row>
    <row r="27" spans="1:4" x14ac:dyDescent="0.25">
      <c r="A27" s="15"/>
      <c r="B27" s="311"/>
      <c r="C27" s="11" t="s">
        <v>185</v>
      </c>
      <c r="D27" s="20" t="s">
        <v>186</v>
      </c>
    </row>
    <row r="28" spans="1:4" x14ac:dyDescent="0.25">
      <c r="A28" s="15"/>
      <c r="B28" s="311"/>
      <c r="C28" s="11" t="s">
        <v>187</v>
      </c>
      <c r="D28" s="20" t="s">
        <v>122</v>
      </c>
    </row>
    <row r="29" spans="1:4" x14ac:dyDescent="0.25">
      <c r="A29" s="15"/>
      <c r="B29" s="311"/>
      <c r="C29" s="11" t="s">
        <v>188</v>
      </c>
      <c r="D29" s="20" t="s">
        <v>123</v>
      </c>
    </row>
    <row r="30" spans="1:4" x14ac:dyDescent="0.25">
      <c r="A30" s="15"/>
      <c r="B30" s="311"/>
      <c r="C30" s="16" t="s">
        <v>189</v>
      </c>
      <c r="D30" s="20" t="s">
        <v>124</v>
      </c>
    </row>
    <row r="31" spans="1:4" x14ac:dyDescent="0.25">
      <c r="A31" s="15"/>
      <c r="B31" s="311"/>
      <c r="C31" s="16" t="s">
        <v>190</v>
      </c>
      <c r="D31" s="20" t="s">
        <v>125</v>
      </c>
    </row>
    <row r="32" spans="1:4" x14ac:dyDescent="0.25">
      <c r="A32" s="15"/>
      <c r="B32" s="311"/>
      <c r="C32" s="16" t="s">
        <v>191</v>
      </c>
      <c r="D32" s="20" t="s">
        <v>126</v>
      </c>
    </row>
    <row r="33" spans="1:4" x14ac:dyDescent="0.25">
      <c r="A33" s="15"/>
      <c r="B33" s="311"/>
      <c r="C33" s="16" t="s">
        <v>192</v>
      </c>
      <c r="D33" s="20" t="s">
        <v>127</v>
      </c>
    </row>
    <row r="34" spans="1:4" x14ac:dyDescent="0.25">
      <c r="A34" s="15"/>
      <c r="B34" s="311"/>
      <c r="C34" s="16" t="s">
        <v>193</v>
      </c>
      <c r="D34" s="20" t="s">
        <v>128</v>
      </c>
    </row>
    <row r="35" spans="1:4" x14ac:dyDescent="0.25">
      <c r="A35" s="15"/>
      <c r="B35" s="311"/>
      <c r="C35" s="16" t="s">
        <v>194</v>
      </c>
      <c r="D35" s="20" t="s">
        <v>129</v>
      </c>
    </row>
    <row r="36" spans="1:4" x14ac:dyDescent="0.25">
      <c r="A36" s="15"/>
      <c r="B36" s="311"/>
      <c r="C36" s="16" t="s">
        <v>195</v>
      </c>
      <c r="D36" s="20" t="s">
        <v>130</v>
      </c>
    </row>
    <row r="37" spans="1:4" x14ac:dyDescent="0.25">
      <c r="A37" s="15"/>
      <c r="B37" s="312"/>
      <c r="C37" s="16" t="s">
        <v>196</v>
      </c>
      <c r="D37" s="20" t="s">
        <v>131</v>
      </c>
    </row>
    <row r="38" spans="1:4" x14ac:dyDescent="0.25">
      <c r="A38" s="15"/>
      <c r="B38" s="318" t="s">
        <v>89</v>
      </c>
      <c r="C38" s="318"/>
      <c r="D38" s="318"/>
    </row>
    <row r="39" spans="1:4" x14ac:dyDescent="0.25">
      <c r="A39" s="15"/>
      <c r="B39" s="310"/>
      <c r="C39" s="11" t="s">
        <v>197</v>
      </c>
      <c r="D39" s="20" t="s">
        <v>198</v>
      </c>
    </row>
    <row r="40" spans="1:4" x14ac:dyDescent="0.25">
      <c r="A40" s="15"/>
      <c r="B40" s="311"/>
      <c r="C40" s="11" t="s">
        <v>199</v>
      </c>
      <c r="D40" s="20" t="s">
        <v>200</v>
      </c>
    </row>
    <row r="41" spans="1:4" x14ac:dyDescent="0.25">
      <c r="A41" s="15"/>
      <c r="B41" s="311"/>
      <c r="C41" s="11" t="s">
        <v>201</v>
      </c>
      <c r="D41" s="20" t="s">
        <v>202</v>
      </c>
    </row>
    <row r="42" spans="1:4" x14ac:dyDescent="0.25">
      <c r="A42" s="15"/>
      <c r="B42" s="311"/>
      <c r="C42" s="11" t="s">
        <v>203</v>
      </c>
      <c r="D42" s="20" t="s">
        <v>204</v>
      </c>
    </row>
    <row r="43" spans="1:4" x14ac:dyDescent="0.25">
      <c r="A43" s="15"/>
      <c r="B43" s="311"/>
      <c r="C43" s="11" t="s">
        <v>205</v>
      </c>
      <c r="D43" s="20" t="s">
        <v>206</v>
      </c>
    </row>
    <row r="44" spans="1:4" x14ac:dyDescent="0.25">
      <c r="A44" s="15"/>
      <c r="B44" s="311"/>
      <c r="C44" s="11" t="s">
        <v>207</v>
      </c>
      <c r="D44" s="20" t="s">
        <v>90</v>
      </c>
    </row>
    <row r="45" spans="1:4" x14ac:dyDescent="0.25">
      <c r="A45" s="15"/>
      <c r="B45" s="311"/>
      <c r="C45" s="11" t="s">
        <v>208</v>
      </c>
      <c r="D45" s="20" t="s">
        <v>91</v>
      </c>
    </row>
    <row r="46" spans="1:4" x14ac:dyDescent="0.25">
      <c r="A46" s="15"/>
      <c r="B46" s="311"/>
      <c r="C46" s="11" t="s">
        <v>209</v>
      </c>
      <c r="D46" s="20" t="s">
        <v>92</v>
      </c>
    </row>
    <row r="47" spans="1:4" x14ac:dyDescent="0.25">
      <c r="A47" s="15"/>
      <c r="B47" s="311"/>
      <c r="C47" s="11" t="s">
        <v>210</v>
      </c>
      <c r="D47" s="20" t="s">
        <v>93</v>
      </c>
    </row>
    <row r="48" spans="1:4" x14ac:dyDescent="0.25">
      <c r="A48" s="15"/>
      <c r="B48" s="311"/>
      <c r="C48" s="11" t="s">
        <v>211</v>
      </c>
      <c r="D48" s="20" t="s">
        <v>94</v>
      </c>
    </row>
    <row r="49" spans="1:4" x14ac:dyDescent="0.25">
      <c r="A49" s="15"/>
      <c r="B49" s="311"/>
      <c r="C49" s="11" t="s">
        <v>212</v>
      </c>
      <c r="D49" s="20" t="s">
        <v>95</v>
      </c>
    </row>
    <row r="50" spans="1:4" x14ac:dyDescent="0.25">
      <c r="A50" s="15"/>
      <c r="B50" s="311"/>
      <c r="C50" s="11" t="s">
        <v>213</v>
      </c>
      <c r="D50" s="20" t="s">
        <v>96</v>
      </c>
    </row>
    <row r="51" spans="1:4" x14ac:dyDescent="0.25">
      <c r="A51" s="15"/>
      <c r="B51" s="311"/>
      <c r="C51" s="18" t="s">
        <v>214</v>
      </c>
      <c r="D51" s="21" t="s">
        <v>97</v>
      </c>
    </row>
    <row r="52" spans="1:4" x14ac:dyDescent="0.25">
      <c r="A52" s="15"/>
      <c r="B52" s="318" t="s">
        <v>132</v>
      </c>
      <c r="C52" s="318"/>
      <c r="D52" s="318"/>
    </row>
    <row r="53" spans="1:4" x14ac:dyDescent="0.25">
      <c r="A53" s="15"/>
      <c r="B53" s="311"/>
      <c r="C53" s="19" t="s">
        <v>215</v>
      </c>
      <c r="D53" s="22" t="s">
        <v>216</v>
      </c>
    </row>
    <row r="54" spans="1:4" x14ac:dyDescent="0.25">
      <c r="A54" s="15"/>
      <c r="B54" s="311"/>
      <c r="C54" s="11" t="s">
        <v>217</v>
      </c>
      <c r="D54" s="20" t="s">
        <v>150</v>
      </c>
    </row>
    <row r="55" spans="1:4" x14ac:dyDescent="0.25">
      <c r="A55" s="15"/>
      <c r="B55" s="311"/>
      <c r="C55" s="11" t="s">
        <v>218</v>
      </c>
      <c r="D55" s="20" t="s">
        <v>133</v>
      </c>
    </row>
    <row r="56" spans="1:4" x14ac:dyDescent="0.25">
      <c r="A56" s="15"/>
      <c r="B56" s="312"/>
      <c r="C56" s="11" t="s">
        <v>219</v>
      </c>
      <c r="D56" s="20" t="s">
        <v>134</v>
      </c>
    </row>
    <row r="57" spans="1:4" x14ac:dyDescent="0.25">
      <c r="A57" s="15"/>
      <c r="B57" s="313" t="s">
        <v>147</v>
      </c>
      <c r="C57" s="314"/>
      <c r="D57" s="315"/>
    </row>
    <row r="58" spans="1:4" x14ac:dyDescent="0.25">
      <c r="A58" s="15"/>
      <c r="B58" s="310"/>
      <c r="C58" s="11" t="s">
        <v>220</v>
      </c>
      <c r="D58" s="20" t="s">
        <v>221</v>
      </c>
    </row>
    <row r="59" spans="1:4" x14ac:dyDescent="0.25">
      <c r="A59" s="15"/>
      <c r="B59" s="311"/>
      <c r="C59" s="11" t="s">
        <v>222</v>
      </c>
      <c r="D59" s="20" t="s">
        <v>223</v>
      </c>
    </row>
    <row r="60" spans="1:4" x14ac:dyDescent="0.25">
      <c r="A60" s="15"/>
      <c r="B60" s="312"/>
      <c r="C60" s="11" t="s">
        <v>224</v>
      </c>
      <c r="D60" s="20" t="s">
        <v>225</v>
      </c>
    </row>
    <row r="61" spans="1:4" x14ac:dyDescent="0.25">
      <c r="A61" s="15"/>
      <c r="B61" s="12" t="s">
        <v>98</v>
      </c>
      <c r="D61" s="20"/>
    </row>
    <row r="62" spans="1:4" x14ac:dyDescent="0.25">
      <c r="A62" s="15"/>
      <c r="B62" s="310"/>
      <c r="C62" s="11" t="s">
        <v>226</v>
      </c>
      <c r="D62" s="20" t="s">
        <v>99</v>
      </c>
    </row>
    <row r="63" spans="1:4" x14ac:dyDescent="0.25">
      <c r="A63" s="15"/>
      <c r="B63" s="311"/>
      <c r="C63" s="11" t="s">
        <v>227</v>
      </c>
      <c r="D63" s="20" t="s">
        <v>100</v>
      </c>
    </row>
    <row r="64" spans="1:4" x14ac:dyDescent="0.25">
      <c r="A64" s="15"/>
      <c r="B64" s="311"/>
      <c r="C64" s="11" t="s">
        <v>228</v>
      </c>
      <c r="D64" s="20" t="s">
        <v>101</v>
      </c>
    </row>
    <row r="65" spans="1:4" x14ac:dyDescent="0.25">
      <c r="A65" s="15"/>
      <c r="B65" s="312"/>
      <c r="C65" s="11" t="s">
        <v>229</v>
      </c>
      <c r="D65" s="20" t="s">
        <v>102</v>
      </c>
    </row>
    <row r="66" spans="1:4" x14ac:dyDescent="0.25">
      <c r="A66" s="15"/>
      <c r="B66" s="313" t="s">
        <v>144</v>
      </c>
      <c r="C66" s="314"/>
      <c r="D66" s="315"/>
    </row>
    <row r="67" spans="1:4" x14ac:dyDescent="0.25">
      <c r="A67" s="15"/>
      <c r="B67" s="310"/>
      <c r="C67" s="11" t="s">
        <v>230</v>
      </c>
      <c r="D67" s="20" t="s">
        <v>145</v>
      </c>
    </row>
    <row r="68" spans="1:4" x14ac:dyDescent="0.25">
      <c r="A68" s="15"/>
      <c r="B68" s="312"/>
      <c r="C68" s="11" t="s">
        <v>231</v>
      </c>
      <c r="D68" s="20" t="s">
        <v>146</v>
      </c>
    </row>
    <row r="69" spans="1:4" x14ac:dyDescent="0.25">
      <c r="A69" s="15"/>
      <c r="B69" s="313" t="s">
        <v>84</v>
      </c>
      <c r="C69" s="314"/>
      <c r="D69" s="315"/>
    </row>
    <row r="70" spans="1:4" x14ac:dyDescent="0.25">
      <c r="A70" s="15"/>
      <c r="B70" s="310"/>
      <c r="C70" s="11" t="s">
        <v>232</v>
      </c>
      <c r="D70" s="20" t="s">
        <v>85</v>
      </c>
    </row>
    <row r="71" spans="1:4" x14ac:dyDescent="0.25">
      <c r="A71" s="15"/>
      <c r="B71" s="311"/>
      <c r="C71" s="11" t="s">
        <v>233</v>
      </c>
      <c r="D71" s="20" t="s">
        <v>86</v>
      </c>
    </row>
    <row r="72" spans="1:4" x14ac:dyDescent="0.25">
      <c r="A72" s="15"/>
      <c r="B72" s="311"/>
      <c r="C72" s="11" t="s">
        <v>234</v>
      </c>
      <c r="D72" s="20" t="s">
        <v>87</v>
      </c>
    </row>
    <row r="73" spans="1:4" x14ac:dyDescent="0.25">
      <c r="A73" s="15"/>
      <c r="B73" s="312"/>
      <c r="C73" s="11" t="s">
        <v>235</v>
      </c>
      <c r="D73" s="20" t="s">
        <v>88</v>
      </c>
    </row>
    <row r="74" spans="1:4" x14ac:dyDescent="0.25">
      <c r="A74" s="15"/>
      <c r="B74" s="313" t="s">
        <v>103</v>
      </c>
      <c r="C74" s="314"/>
      <c r="D74" s="315"/>
    </row>
    <row r="75" spans="1:4" x14ac:dyDescent="0.25">
      <c r="A75" s="15"/>
      <c r="B75" s="26"/>
      <c r="C75" s="17" t="s">
        <v>236</v>
      </c>
      <c r="D75" s="20" t="s">
        <v>109</v>
      </c>
    </row>
    <row r="76" spans="1:4" x14ac:dyDescent="0.25">
      <c r="A76" s="15"/>
      <c r="B76" s="27"/>
      <c r="C76" s="17" t="s">
        <v>237</v>
      </c>
      <c r="D76" s="20" t="s">
        <v>238</v>
      </c>
    </row>
    <row r="77" spans="1:4" x14ac:dyDescent="0.25">
      <c r="A77" s="15"/>
      <c r="B77" s="27"/>
      <c r="C77" s="17" t="s">
        <v>239</v>
      </c>
      <c r="D77" s="20" t="s">
        <v>104</v>
      </c>
    </row>
    <row r="78" spans="1:4" x14ac:dyDescent="0.25">
      <c r="A78" s="15"/>
      <c r="B78" s="27"/>
      <c r="C78" s="17" t="s">
        <v>240</v>
      </c>
      <c r="D78" s="20" t="s">
        <v>241</v>
      </c>
    </row>
    <row r="79" spans="1:4" x14ac:dyDescent="0.25">
      <c r="A79" s="15"/>
      <c r="B79" s="27"/>
      <c r="C79" s="17" t="s">
        <v>242</v>
      </c>
      <c r="D79" s="20" t="s">
        <v>243</v>
      </c>
    </row>
    <row r="80" spans="1:4" x14ac:dyDescent="0.25">
      <c r="A80" s="15"/>
      <c r="B80" s="27"/>
      <c r="C80" s="17" t="s">
        <v>244</v>
      </c>
      <c r="D80" s="20" t="s">
        <v>105</v>
      </c>
    </row>
    <row r="81" spans="1:4" x14ac:dyDescent="0.25">
      <c r="A81" s="15"/>
      <c r="B81" s="27"/>
      <c r="C81" s="17" t="s">
        <v>245</v>
      </c>
      <c r="D81" s="20" t="s">
        <v>106</v>
      </c>
    </row>
    <row r="82" spans="1:4" x14ac:dyDescent="0.25">
      <c r="A82" s="15"/>
      <c r="B82" s="27"/>
      <c r="C82" s="17" t="s">
        <v>246</v>
      </c>
      <c r="D82" s="20" t="s">
        <v>107</v>
      </c>
    </row>
    <row r="83" spans="1:4" x14ac:dyDescent="0.25">
      <c r="A83" s="15"/>
      <c r="B83" s="27"/>
      <c r="C83" s="17" t="s">
        <v>247</v>
      </c>
      <c r="D83" s="20" t="s">
        <v>108</v>
      </c>
    </row>
    <row r="84" spans="1:4" x14ac:dyDescent="0.25">
      <c r="A84" s="15"/>
      <c r="B84" s="27"/>
      <c r="C84" s="17" t="s">
        <v>248</v>
      </c>
      <c r="D84" s="20" t="s">
        <v>249</v>
      </c>
    </row>
    <row r="85" spans="1:4" x14ac:dyDescent="0.25">
      <c r="A85" s="15"/>
      <c r="B85" s="27"/>
      <c r="C85" s="17" t="s">
        <v>250</v>
      </c>
      <c r="D85" s="20" t="s">
        <v>114</v>
      </c>
    </row>
    <row r="86" spans="1:4" x14ac:dyDescent="0.25">
      <c r="A86" s="15"/>
      <c r="B86" s="27"/>
      <c r="C86" s="17" t="s">
        <v>251</v>
      </c>
      <c r="D86" s="20" t="s">
        <v>115</v>
      </c>
    </row>
    <row r="87" spans="1:4" x14ac:dyDescent="0.25">
      <c r="A87" s="15"/>
      <c r="B87" s="27"/>
      <c r="C87" s="17" t="s">
        <v>252</v>
      </c>
      <c r="D87" s="20" t="s">
        <v>116</v>
      </c>
    </row>
    <row r="88" spans="1:4" x14ac:dyDescent="0.25">
      <c r="A88" s="15"/>
      <c r="B88" s="27"/>
      <c r="C88" s="17" t="s">
        <v>253</v>
      </c>
      <c r="D88" s="20" t="s">
        <v>110</v>
      </c>
    </row>
    <row r="89" spans="1:4" x14ac:dyDescent="0.25">
      <c r="A89" s="15"/>
      <c r="B89" s="27"/>
      <c r="C89" s="17" t="s">
        <v>254</v>
      </c>
      <c r="D89" s="20" t="s">
        <v>111</v>
      </c>
    </row>
    <row r="90" spans="1:4" x14ac:dyDescent="0.25">
      <c r="A90" s="15"/>
      <c r="B90" s="27"/>
      <c r="C90" s="17" t="s">
        <v>255</v>
      </c>
      <c r="D90" s="20" t="s">
        <v>113</v>
      </c>
    </row>
    <row r="91" spans="1:4" x14ac:dyDescent="0.25">
      <c r="A91" s="15"/>
      <c r="B91" s="27"/>
      <c r="C91" s="17" t="s">
        <v>256</v>
      </c>
      <c r="D91" s="20" t="s">
        <v>112</v>
      </c>
    </row>
    <row r="92" spans="1:4" x14ac:dyDescent="0.25">
      <c r="A92" s="15"/>
      <c r="B92" s="27"/>
      <c r="C92" s="17" t="s">
        <v>257</v>
      </c>
      <c r="D92" s="20" t="s">
        <v>117</v>
      </c>
    </row>
    <row r="93" spans="1:4" x14ac:dyDescent="0.25">
      <c r="A93" s="15"/>
      <c r="B93" s="27"/>
      <c r="C93" s="17" t="s">
        <v>258</v>
      </c>
      <c r="D93" s="20" t="s">
        <v>118</v>
      </c>
    </row>
    <row r="94" spans="1:4" x14ac:dyDescent="0.25">
      <c r="A94" s="15"/>
      <c r="B94" s="27"/>
      <c r="C94" s="17" t="s">
        <v>259</v>
      </c>
      <c r="D94" s="20" t="s">
        <v>119</v>
      </c>
    </row>
    <row r="95" spans="1:4" x14ac:dyDescent="0.25">
      <c r="A95" s="15"/>
      <c r="B95" s="27"/>
      <c r="C95" s="17" t="s">
        <v>260</v>
      </c>
      <c r="D95" s="20" t="s">
        <v>120</v>
      </c>
    </row>
    <row r="96" spans="1:4" x14ac:dyDescent="0.25">
      <c r="A96" s="15"/>
      <c r="B96" s="30"/>
      <c r="C96" s="31" t="s">
        <v>313</v>
      </c>
      <c r="D96" s="32" t="s">
        <v>314</v>
      </c>
    </row>
    <row r="97" spans="1:4" x14ac:dyDescent="0.25">
      <c r="A97" s="15"/>
      <c r="B97" s="28"/>
      <c r="C97" s="31" t="s">
        <v>315</v>
      </c>
      <c r="D97" s="32" t="s">
        <v>316</v>
      </c>
    </row>
    <row r="98" spans="1:4" x14ac:dyDescent="0.25">
      <c r="A98" s="15"/>
      <c r="B98" s="29"/>
      <c r="C98" s="31" t="s">
        <v>317</v>
      </c>
      <c r="D98" s="32" t="s">
        <v>318</v>
      </c>
    </row>
    <row r="99" spans="1:4" x14ac:dyDescent="0.25">
      <c r="A99" s="15"/>
      <c r="B99" s="313" t="s">
        <v>138</v>
      </c>
      <c r="C99" s="314"/>
      <c r="D99" s="315"/>
    </row>
    <row r="100" spans="1:4" x14ac:dyDescent="0.25">
      <c r="A100" s="15"/>
      <c r="B100" s="310"/>
      <c r="C100" s="11" t="s">
        <v>261</v>
      </c>
      <c r="D100" s="20" t="s">
        <v>262</v>
      </c>
    </row>
    <row r="101" spans="1:4" x14ac:dyDescent="0.25">
      <c r="A101" s="15"/>
      <c r="B101" s="311"/>
      <c r="C101" s="11" t="s">
        <v>263</v>
      </c>
      <c r="D101" s="20" t="s">
        <v>264</v>
      </c>
    </row>
    <row r="102" spans="1:4" x14ac:dyDescent="0.25">
      <c r="A102" s="15"/>
      <c r="B102" s="311"/>
      <c r="C102" s="11" t="s">
        <v>265</v>
      </c>
      <c r="D102" s="20" t="s">
        <v>266</v>
      </c>
    </row>
    <row r="103" spans="1:4" x14ac:dyDescent="0.25">
      <c r="A103" s="15"/>
      <c r="B103" s="312"/>
      <c r="C103" s="11" t="s">
        <v>267</v>
      </c>
      <c r="D103" s="20" t="s">
        <v>139</v>
      </c>
    </row>
    <row r="104" spans="1:4" x14ac:dyDescent="0.25">
      <c r="A104" s="15"/>
      <c r="B104" s="316" t="s">
        <v>309</v>
      </c>
      <c r="C104" s="317"/>
      <c r="D104" s="315"/>
    </row>
    <row r="105" spans="1:4" x14ac:dyDescent="0.25">
      <c r="A105" s="11"/>
      <c r="B105" s="11"/>
      <c r="C105" s="11" t="s">
        <v>310</v>
      </c>
      <c r="D105" s="20" t="s">
        <v>311</v>
      </c>
    </row>
  </sheetData>
  <mergeCells count="23">
    <mergeCell ref="B104:D104"/>
    <mergeCell ref="B62:B65"/>
    <mergeCell ref="B3:B5"/>
    <mergeCell ref="B6:D6"/>
    <mergeCell ref="B2:D2"/>
    <mergeCell ref="B14:B20"/>
    <mergeCell ref="B7:B12"/>
    <mergeCell ref="B52:D52"/>
    <mergeCell ref="B38:D38"/>
    <mergeCell ref="B21:D21"/>
    <mergeCell ref="B13:D13"/>
    <mergeCell ref="B57:D57"/>
    <mergeCell ref="B58:B60"/>
    <mergeCell ref="B53:B56"/>
    <mergeCell ref="B39:B51"/>
    <mergeCell ref="B22:B37"/>
    <mergeCell ref="B100:B103"/>
    <mergeCell ref="B99:D99"/>
    <mergeCell ref="B74:D74"/>
    <mergeCell ref="B69:D69"/>
    <mergeCell ref="B66:D66"/>
    <mergeCell ref="B70:B73"/>
    <mergeCell ref="B67:B6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1"/>
  <sheetViews>
    <sheetView workbookViewId="0">
      <selection activeCell="D2" sqref="D2:D111"/>
    </sheetView>
  </sheetViews>
  <sheetFormatPr defaultRowHeight="15" x14ac:dyDescent="0.25"/>
  <cols>
    <col min="1" max="2" width="9.140625" style="42"/>
    <col min="3" max="3" width="95.140625" style="42" customWidth="1"/>
    <col min="4" max="4" width="13.7109375" style="42" customWidth="1"/>
    <col min="5" max="16384" width="9.140625" style="42"/>
  </cols>
  <sheetData>
    <row r="1" spans="1:4" x14ac:dyDescent="0.25">
      <c r="A1" s="13" t="s">
        <v>268</v>
      </c>
      <c r="B1" s="13"/>
      <c r="C1" s="13" t="s">
        <v>269</v>
      </c>
      <c r="D1" s="13" t="s">
        <v>17</v>
      </c>
    </row>
    <row r="2" spans="1:4" x14ac:dyDescent="0.25">
      <c r="A2" s="36" t="s">
        <v>148</v>
      </c>
      <c r="B2" s="37"/>
      <c r="C2" s="38"/>
      <c r="D2" s="50" t="s">
        <v>5</v>
      </c>
    </row>
    <row r="3" spans="1:4" x14ac:dyDescent="0.25">
      <c r="A3" s="33"/>
      <c r="B3" s="20" t="s">
        <v>149</v>
      </c>
      <c r="C3" s="20" t="s">
        <v>150</v>
      </c>
      <c r="D3" s="50" t="s">
        <v>5</v>
      </c>
    </row>
    <row r="4" spans="1:4" x14ac:dyDescent="0.25">
      <c r="A4" s="34"/>
      <c r="B4" s="20" t="s">
        <v>151</v>
      </c>
      <c r="C4" s="20" t="s">
        <v>152</v>
      </c>
      <c r="D4" s="50" t="s">
        <v>5</v>
      </c>
    </row>
    <row r="5" spans="1:4" x14ac:dyDescent="0.25">
      <c r="A5" s="35"/>
      <c r="B5" s="20" t="s">
        <v>153</v>
      </c>
      <c r="C5" s="20" t="s">
        <v>154</v>
      </c>
      <c r="D5" s="50" t="s">
        <v>5</v>
      </c>
    </row>
    <row r="6" spans="1:4" x14ac:dyDescent="0.25">
      <c r="A6" s="41" t="s">
        <v>140</v>
      </c>
      <c r="B6" s="41"/>
      <c r="C6" s="41"/>
      <c r="D6" s="50" t="s">
        <v>5</v>
      </c>
    </row>
    <row r="7" spans="1:4" x14ac:dyDescent="0.25">
      <c r="A7" s="33"/>
      <c r="B7" s="20" t="s">
        <v>155</v>
      </c>
      <c r="C7" s="20" t="s">
        <v>156</v>
      </c>
      <c r="D7" s="50" t="s">
        <v>5</v>
      </c>
    </row>
    <row r="8" spans="1:4" x14ac:dyDescent="0.25">
      <c r="A8" s="34"/>
      <c r="B8" s="20" t="s">
        <v>157</v>
      </c>
      <c r="C8" s="20" t="s">
        <v>158</v>
      </c>
      <c r="D8" s="50" t="s">
        <v>5</v>
      </c>
    </row>
    <row r="9" spans="1:4" x14ac:dyDescent="0.25">
      <c r="A9" s="34"/>
      <c r="B9" s="20" t="s">
        <v>159</v>
      </c>
      <c r="C9" s="20" t="s">
        <v>160</v>
      </c>
      <c r="D9" s="50" t="s">
        <v>5</v>
      </c>
    </row>
    <row r="10" spans="1:4" x14ac:dyDescent="0.25">
      <c r="A10" s="34"/>
      <c r="B10" s="20" t="s">
        <v>161</v>
      </c>
      <c r="C10" s="20" t="s">
        <v>141</v>
      </c>
      <c r="D10" s="50" t="s">
        <v>5</v>
      </c>
    </row>
    <row r="11" spans="1:4" x14ac:dyDescent="0.25">
      <c r="A11" s="34"/>
      <c r="B11" s="20" t="s">
        <v>162</v>
      </c>
      <c r="C11" s="20" t="s">
        <v>142</v>
      </c>
      <c r="D11" s="50" t="s">
        <v>5</v>
      </c>
    </row>
    <row r="12" spans="1:4" x14ac:dyDescent="0.25">
      <c r="A12" s="34"/>
      <c r="B12" s="21" t="s">
        <v>163</v>
      </c>
      <c r="C12" s="21" t="s">
        <v>143</v>
      </c>
      <c r="D12" s="50" t="s">
        <v>5</v>
      </c>
    </row>
    <row r="13" spans="1:4" x14ac:dyDescent="0.25">
      <c r="A13" s="41" t="s">
        <v>135</v>
      </c>
      <c r="B13" s="41"/>
      <c r="C13" s="41"/>
      <c r="D13" s="50" t="s">
        <v>5</v>
      </c>
    </row>
    <row r="14" spans="1:4" x14ac:dyDescent="0.25">
      <c r="A14" s="34"/>
      <c r="B14" s="22" t="s">
        <v>164</v>
      </c>
      <c r="C14" s="22" t="s">
        <v>165</v>
      </c>
      <c r="D14" s="50" t="s">
        <v>5</v>
      </c>
    </row>
    <row r="15" spans="1:4" x14ac:dyDescent="0.25">
      <c r="A15" s="34"/>
      <c r="B15" s="20" t="s">
        <v>166</v>
      </c>
      <c r="C15" s="20" t="s">
        <v>167</v>
      </c>
      <c r="D15" s="50" t="s">
        <v>5</v>
      </c>
    </row>
    <row r="16" spans="1:4" x14ac:dyDescent="0.25">
      <c r="A16" s="34"/>
      <c r="B16" s="20" t="s">
        <v>168</v>
      </c>
      <c r="C16" s="20" t="s">
        <v>169</v>
      </c>
      <c r="D16" s="50" t="s">
        <v>5</v>
      </c>
    </row>
    <row r="17" spans="1:4" x14ac:dyDescent="0.25">
      <c r="A17" s="34"/>
      <c r="B17" s="20" t="s">
        <v>170</v>
      </c>
      <c r="C17" s="20" t="s">
        <v>171</v>
      </c>
      <c r="D17" s="50" t="s">
        <v>5</v>
      </c>
    </row>
    <row r="18" spans="1:4" x14ac:dyDescent="0.25">
      <c r="A18" s="34"/>
      <c r="B18" s="20" t="s">
        <v>172</v>
      </c>
      <c r="C18" s="20" t="s">
        <v>173</v>
      </c>
      <c r="D18" s="50" t="s">
        <v>5</v>
      </c>
    </row>
    <row r="19" spans="1:4" x14ac:dyDescent="0.25">
      <c r="A19" s="34"/>
      <c r="B19" s="20" t="s">
        <v>174</v>
      </c>
      <c r="C19" s="20" t="s">
        <v>136</v>
      </c>
      <c r="D19" s="50" t="s">
        <v>5</v>
      </c>
    </row>
    <row r="20" spans="1:4" x14ac:dyDescent="0.25">
      <c r="A20" s="35"/>
      <c r="B20" s="20" t="s">
        <v>175</v>
      </c>
      <c r="C20" s="20" t="s">
        <v>137</v>
      </c>
      <c r="D20" s="50" t="s">
        <v>5</v>
      </c>
    </row>
    <row r="21" spans="1:4" x14ac:dyDescent="0.25">
      <c r="A21" s="41" t="s">
        <v>121</v>
      </c>
      <c r="B21" s="41"/>
      <c r="C21" s="41"/>
      <c r="D21" s="50" t="s">
        <v>5</v>
      </c>
    </row>
    <row r="22" spans="1:4" x14ac:dyDescent="0.25">
      <c r="A22" s="33"/>
      <c r="B22" s="20" t="s">
        <v>176</v>
      </c>
      <c r="C22" s="20" t="s">
        <v>177</v>
      </c>
      <c r="D22" s="50" t="s">
        <v>5</v>
      </c>
    </row>
    <row r="23" spans="1:4" x14ac:dyDescent="0.25">
      <c r="A23" s="34"/>
      <c r="B23" s="20" t="s">
        <v>178</v>
      </c>
      <c r="C23" s="20" t="s">
        <v>179</v>
      </c>
      <c r="D23" s="50" t="s">
        <v>5</v>
      </c>
    </row>
    <row r="24" spans="1:4" x14ac:dyDescent="0.25">
      <c r="A24" s="34"/>
      <c r="B24" s="20" t="s">
        <v>180</v>
      </c>
      <c r="C24" s="20" t="s">
        <v>181</v>
      </c>
      <c r="D24" s="50" t="s">
        <v>5</v>
      </c>
    </row>
    <row r="25" spans="1:4" x14ac:dyDescent="0.25">
      <c r="A25" s="34"/>
      <c r="B25" s="20" t="s">
        <v>182</v>
      </c>
      <c r="C25" s="20" t="s">
        <v>150</v>
      </c>
      <c r="D25" s="50" t="s">
        <v>5</v>
      </c>
    </row>
    <row r="26" spans="1:4" x14ac:dyDescent="0.25">
      <c r="A26" s="34"/>
      <c r="B26" s="20" t="s">
        <v>183</v>
      </c>
      <c r="C26" s="20" t="s">
        <v>184</v>
      </c>
      <c r="D26" s="50" t="s">
        <v>5</v>
      </c>
    </row>
    <row r="27" spans="1:4" x14ac:dyDescent="0.25">
      <c r="A27" s="34"/>
      <c r="B27" s="20" t="s">
        <v>185</v>
      </c>
      <c r="C27" s="20" t="s">
        <v>186</v>
      </c>
      <c r="D27" s="50" t="s">
        <v>5</v>
      </c>
    </row>
    <row r="28" spans="1:4" x14ac:dyDescent="0.25">
      <c r="A28" s="34"/>
      <c r="B28" s="20" t="s">
        <v>187</v>
      </c>
      <c r="C28" s="20" t="s">
        <v>122</v>
      </c>
      <c r="D28" s="50" t="s">
        <v>5</v>
      </c>
    </row>
    <row r="29" spans="1:4" x14ac:dyDescent="0.25">
      <c r="A29" s="34"/>
      <c r="B29" s="20" t="s">
        <v>188</v>
      </c>
      <c r="C29" s="20" t="s">
        <v>123</v>
      </c>
      <c r="D29" s="50" t="s">
        <v>5</v>
      </c>
    </row>
    <row r="30" spans="1:4" x14ac:dyDescent="0.25">
      <c r="A30" s="34"/>
      <c r="B30" s="43" t="s">
        <v>189</v>
      </c>
      <c r="C30" s="20" t="s">
        <v>124</v>
      </c>
      <c r="D30" s="50" t="s">
        <v>5</v>
      </c>
    </row>
    <row r="31" spans="1:4" x14ac:dyDescent="0.25">
      <c r="A31" s="34"/>
      <c r="B31" s="43" t="s">
        <v>190</v>
      </c>
      <c r="C31" s="20" t="s">
        <v>125</v>
      </c>
      <c r="D31" s="50" t="s">
        <v>5</v>
      </c>
    </row>
    <row r="32" spans="1:4" x14ac:dyDescent="0.25">
      <c r="A32" s="34"/>
      <c r="B32" s="43" t="s">
        <v>191</v>
      </c>
      <c r="C32" s="20" t="s">
        <v>126</v>
      </c>
      <c r="D32" s="50" t="s">
        <v>5</v>
      </c>
    </row>
    <row r="33" spans="1:4" x14ac:dyDescent="0.25">
      <c r="A33" s="34"/>
      <c r="B33" s="43" t="s">
        <v>192</v>
      </c>
      <c r="C33" s="20" t="s">
        <v>127</v>
      </c>
      <c r="D33" s="50" t="s">
        <v>5</v>
      </c>
    </row>
    <row r="34" spans="1:4" x14ac:dyDescent="0.25">
      <c r="A34" s="34"/>
      <c r="B34" s="43" t="s">
        <v>193</v>
      </c>
      <c r="C34" s="20" t="s">
        <v>128</v>
      </c>
      <c r="D34" s="50" t="s">
        <v>5</v>
      </c>
    </row>
    <row r="35" spans="1:4" x14ac:dyDescent="0.25">
      <c r="A35" s="34"/>
      <c r="B35" s="43" t="s">
        <v>194</v>
      </c>
      <c r="C35" s="20" t="s">
        <v>129</v>
      </c>
      <c r="D35" s="50" t="s">
        <v>5</v>
      </c>
    </row>
    <row r="36" spans="1:4" x14ac:dyDescent="0.25">
      <c r="A36" s="34"/>
      <c r="B36" s="43" t="s">
        <v>195</v>
      </c>
      <c r="C36" s="20" t="s">
        <v>130</v>
      </c>
      <c r="D36" s="50" t="s">
        <v>5</v>
      </c>
    </row>
    <row r="37" spans="1:4" x14ac:dyDescent="0.25">
      <c r="A37" s="35"/>
      <c r="B37" s="43" t="s">
        <v>196</v>
      </c>
      <c r="C37" s="20" t="s">
        <v>131</v>
      </c>
      <c r="D37" s="50" t="s">
        <v>5</v>
      </c>
    </row>
    <row r="38" spans="1:4" x14ac:dyDescent="0.25">
      <c r="A38" s="35"/>
      <c r="B38" s="43" t="s">
        <v>370</v>
      </c>
      <c r="C38" s="51" t="s">
        <v>372</v>
      </c>
      <c r="D38" s="50" t="s">
        <v>5</v>
      </c>
    </row>
    <row r="39" spans="1:4" x14ac:dyDescent="0.25">
      <c r="A39" s="35"/>
      <c r="B39" s="43" t="s">
        <v>371</v>
      </c>
      <c r="C39" s="52" t="s">
        <v>373</v>
      </c>
      <c r="D39" s="50" t="s">
        <v>5</v>
      </c>
    </row>
    <row r="40" spans="1:4" x14ac:dyDescent="0.25">
      <c r="A40" s="41" t="s">
        <v>89</v>
      </c>
      <c r="B40" s="41"/>
      <c r="C40" s="41"/>
      <c r="D40" s="50" t="s">
        <v>5</v>
      </c>
    </row>
    <row r="41" spans="1:4" x14ac:dyDescent="0.25">
      <c r="A41" s="33"/>
      <c r="B41" s="20" t="s">
        <v>197</v>
      </c>
      <c r="C41" s="20" t="s">
        <v>198</v>
      </c>
      <c r="D41" s="50" t="s">
        <v>5</v>
      </c>
    </row>
    <row r="42" spans="1:4" x14ac:dyDescent="0.25">
      <c r="A42" s="34"/>
      <c r="B42" s="20" t="s">
        <v>199</v>
      </c>
      <c r="C42" s="20" t="s">
        <v>200</v>
      </c>
      <c r="D42" s="50" t="s">
        <v>5</v>
      </c>
    </row>
    <row r="43" spans="1:4" x14ac:dyDescent="0.25">
      <c r="A43" s="34"/>
      <c r="B43" s="20" t="s">
        <v>201</v>
      </c>
      <c r="C43" s="20" t="s">
        <v>202</v>
      </c>
      <c r="D43" s="50" t="s">
        <v>5</v>
      </c>
    </row>
    <row r="44" spans="1:4" x14ac:dyDescent="0.25">
      <c r="A44" s="34"/>
      <c r="B44" s="20" t="s">
        <v>203</v>
      </c>
      <c r="C44" s="20" t="s">
        <v>204</v>
      </c>
      <c r="D44" s="50" t="s">
        <v>5</v>
      </c>
    </row>
    <row r="45" spans="1:4" x14ac:dyDescent="0.25">
      <c r="A45" s="34"/>
      <c r="B45" s="20" t="s">
        <v>205</v>
      </c>
      <c r="C45" s="20" t="s">
        <v>206</v>
      </c>
      <c r="D45" s="50" t="s">
        <v>5</v>
      </c>
    </row>
    <row r="46" spans="1:4" x14ac:dyDescent="0.25">
      <c r="A46" s="34"/>
      <c r="B46" s="20" t="s">
        <v>207</v>
      </c>
      <c r="C46" s="20" t="s">
        <v>90</v>
      </c>
      <c r="D46" s="50" t="s">
        <v>5</v>
      </c>
    </row>
    <row r="47" spans="1:4" x14ac:dyDescent="0.25">
      <c r="A47" s="34"/>
      <c r="B47" s="20" t="s">
        <v>208</v>
      </c>
      <c r="C47" s="20" t="s">
        <v>91</v>
      </c>
      <c r="D47" s="50" t="s">
        <v>5</v>
      </c>
    </row>
    <row r="48" spans="1:4" x14ac:dyDescent="0.25">
      <c r="A48" s="34"/>
      <c r="B48" s="20" t="s">
        <v>209</v>
      </c>
      <c r="C48" s="20" t="s">
        <v>92</v>
      </c>
      <c r="D48" s="50" t="s">
        <v>5</v>
      </c>
    </row>
    <row r="49" spans="1:4" x14ac:dyDescent="0.25">
      <c r="A49" s="34"/>
      <c r="B49" s="20" t="s">
        <v>210</v>
      </c>
      <c r="C49" s="20" t="s">
        <v>93</v>
      </c>
      <c r="D49" s="50" t="s">
        <v>5</v>
      </c>
    </row>
    <row r="50" spans="1:4" x14ac:dyDescent="0.25">
      <c r="A50" s="34"/>
      <c r="B50" s="20" t="s">
        <v>211</v>
      </c>
      <c r="C50" s="20" t="s">
        <v>94</v>
      </c>
      <c r="D50" s="50" t="s">
        <v>5</v>
      </c>
    </row>
    <row r="51" spans="1:4" x14ac:dyDescent="0.25">
      <c r="A51" s="34"/>
      <c r="B51" s="20" t="s">
        <v>212</v>
      </c>
      <c r="C51" s="20" t="s">
        <v>95</v>
      </c>
      <c r="D51" s="50" t="s">
        <v>5</v>
      </c>
    </row>
    <row r="52" spans="1:4" x14ac:dyDescent="0.25">
      <c r="A52" s="34"/>
      <c r="B52" s="20" t="s">
        <v>213</v>
      </c>
      <c r="C52" s="20" t="s">
        <v>96</v>
      </c>
      <c r="D52" s="50" t="s">
        <v>5</v>
      </c>
    </row>
    <row r="53" spans="1:4" x14ac:dyDescent="0.25">
      <c r="A53" s="34"/>
      <c r="B53" s="21" t="s">
        <v>214</v>
      </c>
      <c r="C53" s="21" t="s">
        <v>97</v>
      </c>
      <c r="D53" s="50" t="s">
        <v>5</v>
      </c>
    </row>
    <row r="54" spans="1:4" x14ac:dyDescent="0.25">
      <c r="A54" s="41" t="s">
        <v>132</v>
      </c>
      <c r="B54" s="41"/>
      <c r="C54" s="41"/>
      <c r="D54" s="50" t="s">
        <v>5</v>
      </c>
    </row>
    <row r="55" spans="1:4" x14ac:dyDescent="0.25">
      <c r="A55" s="34"/>
      <c r="B55" s="22" t="s">
        <v>215</v>
      </c>
      <c r="C55" s="22" t="s">
        <v>216</v>
      </c>
      <c r="D55" s="50" t="s">
        <v>5</v>
      </c>
    </row>
    <row r="56" spans="1:4" x14ac:dyDescent="0.25">
      <c r="A56" s="34"/>
      <c r="B56" s="20" t="s">
        <v>217</v>
      </c>
      <c r="C56" s="20" t="s">
        <v>150</v>
      </c>
      <c r="D56" s="50" t="s">
        <v>5</v>
      </c>
    </row>
    <row r="57" spans="1:4" x14ac:dyDescent="0.25">
      <c r="A57" s="34"/>
      <c r="B57" s="20" t="s">
        <v>218</v>
      </c>
      <c r="C57" s="20" t="s">
        <v>133</v>
      </c>
      <c r="D57" s="50" t="s">
        <v>5</v>
      </c>
    </row>
    <row r="58" spans="1:4" x14ac:dyDescent="0.25">
      <c r="A58" s="35"/>
      <c r="B58" s="20" t="s">
        <v>219</v>
      </c>
      <c r="C58" s="20" t="s">
        <v>134</v>
      </c>
      <c r="D58" s="50" t="s">
        <v>5</v>
      </c>
    </row>
    <row r="59" spans="1:4" x14ac:dyDescent="0.25">
      <c r="A59" s="36" t="s">
        <v>147</v>
      </c>
      <c r="B59" s="37"/>
      <c r="C59" s="38"/>
      <c r="D59" s="50" t="s">
        <v>5</v>
      </c>
    </row>
    <row r="60" spans="1:4" x14ac:dyDescent="0.25">
      <c r="A60" s="33"/>
      <c r="B60" s="20" t="s">
        <v>220</v>
      </c>
      <c r="C60" s="20" t="s">
        <v>221</v>
      </c>
      <c r="D60" s="50" t="s">
        <v>5</v>
      </c>
    </row>
    <row r="61" spans="1:4" x14ac:dyDescent="0.25">
      <c r="A61" s="34"/>
      <c r="B61" s="20" t="s">
        <v>222</v>
      </c>
      <c r="C61" s="20" t="s">
        <v>223</v>
      </c>
      <c r="D61" s="50" t="s">
        <v>5</v>
      </c>
    </row>
    <row r="62" spans="1:4" x14ac:dyDescent="0.25">
      <c r="A62" s="35"/>
      <c r="B62" s="20" t="s">
        <v>224</v>
      </c>
      <c r="C62" s="20" t="s">
        <v>225</v>
      </c>
      <c r="D62" s="50" t="s">
        <v>5</v>
      </c>
    </row>
    <row r="63" spans="1:4" x14ac:dyDescent="0.25">
      <c r="A63" s="12" t="s">
        <v>98</v>
      </c>
      <c r="C63" s="20"/>
      <c r="D63" s="50" t="s">
        <v>5</v>
      </c>
    </row>
    <row r="64" spans="1:4" x14ac:dyDescent="0.25">
      <c r="A64" s="33"/>
      <c r="B64" s="20" t="s">
        <v>226</v>
      </c>
      <c r="C64" s="20" t="s">
        <v>99</v>
      </c>
      <c r="D64" s="50" t="s">
        <v>5</v>
      </c>
    </row>
    <row r="65" spans="1:4" x14ac:dyDescent="0.25">
      <c r="A65" s="34"/>
      <c r="B65" s="20" t="s">
        <v>227</v>
      </c>
      <c r="C65" s="20" t="s">
        <v>100</v>
      </c>
      <c r="D65" s="50" t="s">
        <v>5</v>
      </c>
    </row>
    <row r="66" spans="1:4" x14ac:dyDescent="0.25">
      <c r="A66" s="34"/>
      <c r="B66" s="20" t="s">
        <v>228</v>
      </c>
      <c r="C66" s="20" t="s">
        <v>101</v>
      </c>
      <c r="D66" s="50" t="s">
        <v>5</v>
      </c>
    </row>
    <row r="67" spans="1:4" x14ac:dyDescent="0.25">
      <c r="A67" s="35"/>
      <c r="B67" s="20" t="s">
        <v>229</v>
      </c>
      <c r="C67" s="20" t="s">
        <v>102</v>
      </c>
      <c r="D67" s="50" t="s">
        <v>5</v>
      </c>
    </row>
    <row r="68" spans="1:4" x14ac:dyDescent="0.25">
      <c r="A68" s="36" t="s">
        <v>144</v>
      </c>
      <c r="B68" s="37"/>
      <c r="C68" s="38"/>
      <c r="D68" s="50" t="s">
        <v>5</v>
      </c>
    </row>
    <row r="69" spans="1:4" x14ac:dyDescent="0.25">
      <c r="A69" s="33"/>
      <c r="B69" s="20" t="s">
        <v>230</v>
      </c>
      <c r="C69" s="20" t="s">
        <v>145</v>
      </c>
      <c r="D69" s="50" t="s">
        <v>5</v>
      </c>
    </row>
    <row r="70" spans="1:4" x14ac:dyDescent="0.25">
      <c r="A70" s="35"/>
      <c r="B70" s="20" t="s">
        <v>231</v>
      </c>
      <c r="C70" s="20" t="s">
        <v>146</v>
      </c>
      <c r="D70" s="50" t="s">
        <v>5</v>
      </c>
    </row>
    <row r="71" spans="1:4" x14ac:dyDescent="0.25">
      <c r="A71" s="36" t="s">
        <v>84</v>
      </c>
      <c r="B71" s="37"/>
      <c r="C71" s="38"/>
      <c r="D71" s="50" t="s">
        <v>5</v>
      </c>
    </row>
    <row r="72" spans="1:4" x14ac:dyDescent="0.25">
      <c r="A72" s="33"/>
      <c r="B72" s="20" t="s">
        <v>232</v>
      </c>
      <c r="C72" s="20" t="s">
        <v>85</v>
      </c>
      <c r="D72" s="50" t="s">
        <v>5</v>
      </c>
    </row>
    <row r="73" spans="1:4" x14ac:dyDescent="0.25">
      <c r="A73" s="34"/>
      <c r="B73" s="20" t="s">
        <v>233</v>
      </c>
      <c r="C73" s="20" t="s">
        <v>86</v>
      </c>
      <c r="D73" s="50" t="s">
        <v>5</v>
      </c>
    </row>
    <row r="74" spans="1:4" x14ac:dyDescent="0.25">
      <c r="A74" s="34"/>
      <c r="B74" s="20" t="s">
        <v>234</v>
      </c>
      <c r="C74" s="20" t="s">
        <v>87</v>
      </c>
      <c r="D74" s="50" t="s">
        <v>5</v>
      </c>
    </row>
    <row r="75" spans="1:4" x14ac:dyDescent="0.25">
      <c r="A75" s="35"/>
      <c r="B75" s="20" t="s">
        <v>235</v>
      </c>
      <c r="C75" s="20" t="s">
        <v>88</v>
      </c>
      <c r="D75" s="50" t="s">
        <v>5</v>
      </c>
    </row>
    <row r="76" spans="1:4" x14ac:dyDescent="0.25">
      <c r="A76" s="36" t="s">
        <v>103</v>
      </c>
      <c r="B76" s="37"/>
      <c r="C76" s="38"/>
      <c r="D76" s="50" t="s">
        <v>5</v>
      </c>
    </row>
    <row r="77" spans="1:4" x14ac:dyDescent="0.25">
      <c r="A77" s="39"/>
      <c r="B77" s="44" t="s">
        <v>353</v>
      </c>
      <c r="C77" s="45" t="s">
        <v>354</v>
      </c>
      <c r="D77" s="50" t="s">
        <v>5</v>
      </c>
    </row>
    <row r="78" spans="1:4" x14ac:dyDescent="0.25">
      <c r="A78" s="26"/>
      <c r="B78" s="46" t="s">
        <v>236</v>
      </c>
      <c r="C78" s="20" t="s">
        <v>109</v>
      </c>
      <c r="D78" s="50" t="s">
        <v>5</v>
      </c>
    </row>
    <row r="79" spans="1:4" x14ac:dyDescent="0.25">
      <c r="A79" s="27"/>
      <c r="B79" s="46" t="s">
        <v>237</v>
      </c>
      <c r="C79" s="20" t="s">
        <v>238</v>
      </c>
      <c r="D79" s="50" t="s">
        <v>5</v>
      </c>
    </row>
    <row r="80" spans="1:4" x14ac:dyDescent="0.25">
      <c r="A80" s="27"/>
      <c r="B80" s="46" t="s">
        <v>239</v>
      </c>
      <c r="C80" s="20" t="s">
        <v>104</v>
      </c>
      <c r="D80" s="50" t="s">
        <v>5</v>
      </c>
    </row>
    <row r="81" spans="1:4" x14ac:dyDescent="0.25">
      <c r="A81" s="27"/>
      <c r="B81" s="47" t="s">
        <v>355</v>
      </c>
      <c r="C81" s="43" t="s">
        <v>356</v>
      </c>
      <c r="D81" s="50" t="s">
        <v>5</v>
      </c>
    </row>
    <row r="82" spans="1:4" x14ac:dyDescent="0.25">
      <c r="A82" s="27"/>
      <c r="B82" s="46" t="s">
        <v>240</v>
      </c>
      <c r="C82" s="20" t="s">
        <v>241</v>
      </c>
      <c r="D82" s="50" t="s">
        <v>5</v>
      </c>
    </row>
    <row r="83" spans="1:4" x14ac:dyDescent="0.25">
      <c r="A83" s="27"/>
      <c r="B83" s="46" t="s">
        <v>242</v>
      </c>
      <c r="C83" s="20" t="s">
        <v>243</v>
      </c>
      <c r="D83" s="50" t="s">
        <v>5</v>
      </c>
    </row>
    <row r="84" spans="1:4" x14ac:dyDescent="0.25">
      <c r="A84" s="27"/>
      <c r="B84" s="46" t="s">
        <v>244</v>
      </c>
      <c r="C84" s="20" t="s">
        <v>105</v>
      </c>
      <c r="D84" s="50" t="s">
        <v>5</v>
      </c>
    </row>
    <row r="85" spans="1:4" x14ac:dyDescent="0.25">
      <c r="A85" s="27"/>
      <c r="B85" s="46" t="s">
        <v>245</v>
      </c>
      <c r="C85" s="20" t="s">
        <v>106</v>
      </c>
      <c r="D85" s="50" t="s">
        <v>5</v>
      </c>
    </row>
    <row r="86" spans="1:4" x14ac:dyDescent="0.25">
      <c r="A86" s="27"/>
      <c r="B86" s="46" t="s">
        <v>246</v>
      </c>
      <c r="C86" s="20" t="s">
        <v>107</v>
      </c>
      <c r="D86" s="50" t="s">
        <v>5</v>
      </c>
    </row>
    <row r="87" spans="1:4" x14ac:dyDescent="0.25">
      <c r="A87" s="27"/>
      <c r="B87" s="46" t="s">
        <v>247</v>
      </c>
      <c r="C87" s="20" t="s">
        <v>108</v>
      </c>
      <c r="D87" s="50" t="s">
        <v>5</v>
      </c>
    </row>
    <row r="88" spans="1:4" x14ac:dyDescent="0.25">
      <c r="A88" s="27"/>
      <c r="B88" s="46" t="s">
        <v>248</v>
      </c>
      <c r="C88" s="20" t="s">
        <v>249</v>
      </c>
      <c r="D88" s="50" t="s">
        <v>5</v>
      </c>
    </row>
    <row r="89" spans="1:4" x14ac:dyDescent="0.25">
      <c r="A89" s="27"/>
      <c r="B89" s="46" t="s">
        <v>250</v>
      </c>
      <c r="C89" s="20" t="s">
        <v>114</v>
      </c>
      <c r="D89" s="50" t="s">
        <v>5</v>
      </c>
    </row>
    <row r="90" spans="1:4" x14ac:dyDescent="0.25">
      <c r="A90" s="27"/>
      <c r="B90" s="46" t="s">
        <v>251</v>
      </c>
      <c r="C90" s="20" t="s">
        <v>115</v>
      </c>
      <c r="D90" s="50" t="s">
        <v>5</v>
      </c>
    </row>
    <row r="91" spans="1:4" x14ac:dyDescent="0.25">
      <c r="A91" s="27"/>
      <c r="B91" s="46" t="s">
        <v>252</v>
      </c>
      <c r="C91" s="20" t="s">
        <v>116</v>
      </c>
      <c r="D91" s="50" t="s">
        <v>5</v>
      </c>
    </row>
    <row r="92" spans="1:4" x14ac:dyDescent="0.25">
      <c r="A92" s="27"/>
      <c r="B92" s="46" t="s">
        <v>253</v>
      </c>
      <c r="C92" s="20" t="s">
        <v>110</v>
      </c>
      <c r="D92" s="50" t="s">
        <v>5</v>
      </c>
    </row>
    <row r="93" spans="1:4" x14ac:dyDescent="0.25">
      <c r="A93" s="27"/>
      <c r="B93" s="46" t="s">
        <v>254</v>
      </c>
      <c r="C93" s="20" t="s">
        <v>111</v>
      </c>
      <c r="D93" s="50" t="s">
        <v>5</v>
      </c>
    </row>
    <row r="94" spans="1:4" x14ac:dyDescent="0.25">
      <c r="A94" s="27"/>
      <c r="B94" s="46" t="s">
        <v>255</v>
      </c>
      <c r="C94" s="20" t="s">
        <v>113</v>
      </c>
      <c r="D94" s="50" t="s">
        <v>5</v>
      </c>
    </row>
    <row r="95" spans="1:4" x14ac:dyDescent="0.25">
      <c r="A95" s="27"/>
      <c r="B95" s="46" t="s">
        <v>256</v>
      </c>
      <c r="C95" s="20" t="s">
        <v>112</v>
      </c>
      <c r="D95" s="50" t="s">
        <v>5</v>
      </c>
    </row>
    <row r="96" spans="1:4" x14ac:dyDescent="0.25">
      <c r="A96" s="27"/>
      <c r="B96" s="46" t="s">
        <v>257</v>
      </c>
      <c r="C96" s="20" t="s">
        <v>117</v>
      </c>
      <c r="D96" s="50" t="s">
        <v>5</v>
      </c>
    </row>
    <row r="97" spans="1:4" x14ac:dyDescent="0.25">
      <c r="A97" s="27"/>
      <c r="B97" s="46" t="s">
        <v>258</v>
      </c>
      <c r="C97" s="20" t="s">
        <v>118</v>
      </c>
      <c r="D97" s="50" t="s">
        <v>5</v>
      </c>
    </row>
    <row r="98" spans="1:4" x14ac:dyDescent="0.25">
      <c r="A98" s="27"/>
      <c r="B98" s="46" t="s">
        <v>259</v>
      </c>
      <c r="C98" s="20" t="s">
        <v>119</v>
      </c>
      <c r="D98" s="50" t="s">
        <v>5</v>
      </c>
    </row>
    <row r="99" spans="1:4" x14ac:dyDescent="0.25">
      <c r="A99" s="27"/>
      <c r="B99" s="47" t="s">
        <v>357</v>
      </c>
      <c r="C99" s="43" t="s">
        <v>358</v>
      </c>
      <c r="D99" s="50" t="s">
        <v>5</v>
      </c>
    </row>
    <row r="100" spans="1:4" x14ac:dyDescent="0.25">
      <c r="A100" s="27"/>
      <c r="B100" s="47" t="s">
        <v>359</v>
      </c>
      <c r="C100" s="43" t="s">
        <v>360</v>
      </c>
      <c r="D100" s="50" t="s">
        <v>5</v>
      </c>
    </row>
    <row r="101" spans="1:4" x14ac:dyDescent="0.25">
      <c r="A101" s="27"/>
      <c r="B101" s="46" t="s">
        <v>260</v>
      </c>
      <c r="C101" s="20" t="s">
        <v>120</v>
      </c>
      <c r="D101" s="50" t="s">
        <v>5</v>
      </c>
    </row>
    <row r="102" spans="1:4" x14ac:dyDescent="0.25">
      <c r="A102" s="30"/>
      <c r="B102" s="48" t="s">
        <v>313</v>
      </c>
      <c r="C102" s="49" t="s">
        <v>314</v>
      </c>
      <c r="D102" s="50" t="s">
        <v>5</v>
      </c>
    </row>
    <row r="103" spans="1:4" x14ac:dyDescent="0.25">
      <c r="A103" s="28"/>
      <c r="B103" s="48" t="s">
        <v>315</v>
      </c>
      <c r="C103" s="49" t="s">
        <v>316</v>
      </c>
      <c r="D103" s="50" t="s">
        <v>5</v>
      </c>
    </row>
    <row r="104" spans="1:4" x14ac:dyDescent="0.25">
      <c r="A104" s="29"/>
      <c r="B104" s="48" t="s">
        <v>317</v>
      </c>
      <c r="C104" s="49" t="s">
        <v>318</v>
      </c>
      <c r="D104" s="50" t="s">
        <v>5</v>
      </c>
    </row>
    <row r="105" spans="1:4" x14ac:dyDescent="0.25">
      <c r="A105" s="36" t="s">
        <v>138</v>
      </c>
      <c r="B105" s="37"/>
      <c r="C105" s="38"/>
      <c r="D105" s="50" t="s">
        <v>5</v>
      </c>
    </row>
    <row r="106" spans="1:4" x14ac:dyDescent="0.25">
      <c r="A106" s="33"/>
      <c r="B106" s="20" t="s">
        <v>261</v>
      </c>
      <c r="C106" s="20" t="s">
        <v>262</v>
      </c>
      <c r="D106" s="50" t="s">
        <v>5</v>
      </c>
    </row>
    <row r="107" spans="1:4" x14ac:dyDescent="0.25">
      <c r="A107" s="34"/>
      <c r="B107" s="20" t="s">
        <v>263</v>
      </c>
      <c r="C107" s="20" t="s">
        <v>264</v>
      </c>
      <c r="D107" s="50" t="s">
        <v>5</v>
      </c>
    </row>
    <row r="108" spans="1:4" x14ac:dyDescent="0.25">
      <c r="A108" s="34"/>
      <c r="B108" s="20" t="s">
        <v>265</v>
      </c>
      <c r="C108" s="20" t="s">
        <v>266</v>
      </c>
      <c r="D108" s="50" t="s">
        <v>5</v>
      </c>
    </row>
    <row r="109" spans="1:4" x14ac:dyDescent="0.25">
      <c r="A109" s="35"/>
      <c r="B109" s="20" t="s">
        <v>267</v>
      </c>
      <c r="C109" s="20" t="s">
        <v>139</v>
      </c>
      <c r="D109" s="50" t="s">
        <v>5</v>
      </c>
    </row>
    <row r="110" spans="1:4" x14ac:dyDescent="0.25">
      <c r="A110" s="39" t="s">
        <v>309</v>
      </c>
      <c r="B110" s="40"/>
      <c r="C110" s="38"/>
      <c r="D110" s="50" t="s">
        <v>5</v>
      </c>
    </row>
    <row r="111" spans="1:4" x14ac:dyDescent="0.25">
      <c r="A111" s="20"/>
      <c r="B111" s="43" t="s">
        <v>361</v>
      </c>
      <c r="C111" s="20" t="s">
        <v>311</v>
      </c>
      <c r="D111" s="50" t="s">
        <v>5</v>
      </c>
    </row>
  </sheetData>
  <conditionalFormatting sqref="D2:D111">
    <cfRule type="cellIs" dxfId="83" priority="36" operator="equal">
      <formula>"Not Tested"</formula>
    </cfRule>
    <cfRule type="cellIs" dxfId="82" priority="37" operator="equal">
      <formula>"Pending"</formula>
    </cfRule>
    <cfRule type="cellIs" dxfId="81" priority="38" operator="equal">
      <formula>"Ongoing"</formula>
    </cfRule>
    <cfRule type="cellIs" dxfId="80" priority="39" operator="equal">
      <formula>"Blocked"</formula>
    </cfRule>
    <cfRule type="cellIs" dxfId="79" priority="40" operator="equal">
      <formula>"Fail"</formula>
    </cfRule>
    <cfRule type="cellIs" dxfId="78" priority="41" operator="equal">
      <formula>"Partially Fail"</formula>
    </cfRule>
    <cfRule type="cellIs" dxfId="77" priority="42" operator="equal">
      <formula>"Pass"</formula>
    </cfRule>
  </conditionalFormatting>
  <conditionalFormatting sqref="D2:D111">
    <cfRule type="cellIs" dxfId="76" priority="29" operator="equal">
      <formula>"Not Tested"</formula>
    </cfRule>
    <cfRule type="cellIs" dxfId="75" priority="30" operator="equal">
      <formula>"Pending"</formula>
    </cfRule>
    <cfRule type="cellIs" dxfId="74" priority="31" operator="equal">
      <formula>"Ongoing"</formula>
    </cfRule>
    <cfRule type="cellIs" dxfId="73" priority="32" operator="equal">
      <formula>"Blocked"</formula>
    </cfRule>
    <cfRule type="cellIs" dxfId="72" priority="33" operator="equal">
      <formula>"Fail"</formula>
    </cfRule>
    <cfRule type="cellIs" dxfId="71" priority="34" operator="equal">
      <formula>"Partially Pass"</formula>
    </cfRule>
    <cfRule type="cellIs" dxfId="70" priority="35" operator="equal">
      <formula>"Pass"</formula>
    </cfRule>
  </conditionalFormatting>
  <conditionalFormatting sqref="D2:D111">
    <cfRule type="cellIs" dxfId="69" priority="22" operator="equal">
      <formula>"Not Tested"</formula>
    </cfRule>
    <cfRule type="cellIs" dxfId="68" priority="23" operator="equal">
      <formula>"Pending"</formula>
    </cfRule>
    <cfRule type="cellIs" dxfId="67" priority="24" operator="equal">
      <formula>"Ongoing"</formula>
    </cfRule>
    <cfRule type="cellIs" dxfId="66" priority="25" operator="equal">
      <formula>"Blocked"</formula>
    </cfRule>
    <cfRule type="cellIs" dxfId="65" priority="26" operator="equal">
      <formula>"Fail"</formula>
    </cfRule>
    <cfRule type="cellIs" dxfId="64" priority="27" operator="equal">
      <formula>"Partially Fail"</formula>
    </cfRule>
    <cfRule type="cellIs" dxfId="63" priority="28" operator="equal">
      <formula>"Pass"</formula>
    </cfRule>
  </conditionalFormatting>
  <conditionalFormatting sqref="D2:D111">
    <cfRule type="cellIs" dxfId="62" priority="15" operator="equal">
      <formula>"Not Tested"</formula>
    </cfRule>
    <cfRule type="cellIs" dxfId="61" priority="16" operator="equal">
      <formula>"Pending"</formula>
    </cfRule>
    <cfRule type="cellIs" dxfId="60" priority="17" operator="equal">
      <formula>"Ongoing"</formula>
    </cfRule>
    <cfRule type="cellIs" dxfId="59" priority="18" operator="equal">
      <formula>"Blocked"</formula>
    </cfRule>
    <cfRule type="cellIs" dxfId="58" priority="19" operator="equal">
      <formula>"Fail"</formula>
    </cfRule>
    <cfRule type="cellIs" dxfId="57" priority="20" operator="equal">
      <formula>"Partially Pass"</formula>
    </cfRule>
    <cfRule type="cellIs" dxfId="56" priority="21" operator="equal">
      <formula>"Pass"</formula>
    </cfRule>
  </conditionalFormatting>
  <conditionalFormatting sqref="D2:D111">
    <cfRule type="cellIs" dxfId="55" priority="7" operator="equal">
      <formula>"Not Tested"</formula>
    </cfRule>
    <cfRule type="cellIs" dxfId="54" priority="8" operator="equal">
      <formula>"Not Tested"</formula>
    </cfRule>
    <cfRule type="cellIs" dxfId="53" priority="9" operator="equal">
      <formula>"Pending"</formula>
    </cfRule>
    <cfRule type="cellIs" dxfId="52" priority="10" operator="equal">
      <formula>"Ongoing"</formula>
    </cfRule>
    <cfRule type="cellIs" dxfId="51" priority="11" operator="equal">
      <formula>"Blocked"</formula>
    </cfRule>
    <cfRule type="cellIs" dxfId="50" priority="12" operator="equal">
      <formula>"Fail"</formula>
    </cfRule>
    <cfRule type="cellIs" dxfId="49" priority="13" operator="equal">
      <formula>"Partially Fail"</formula>
    </cfRule>
    <cfRule type="cellIs" dxfId="48" priority="14" operator="equal">
      <formula>"Pass"</formula>
    </cfRule>
  </conditionalFormatting>
  <conditionalFormatting sqref="D2:D111">
    <cfRule type="cellIs" dxfId="47" priority="1" operator="equal">
      <formula>"Pending"</formula>
    </cfRule>
    <cfRule type="cellIs" dxfId="46" priority="2" operator="equal">
      <formula>"Ongoing"</formula>
    </cfRule>
    <cfRule type="cellIs" dxfId="45" priority="3" operator="equal">
      <formula>"Blocked"</formula>
    </cfRule>
    <cfRule type="cellIs" dxfId="44" priority="4" operator="equal">
      <formula>"Fail"</formula>
    </cfRule>
    <cfRule type="cellIs" dxfId="43" priority="5" operator="equal">
      <formula>"Partially Pass"</formula>
    </cfRule>
    <cfRule type="cellIs" dxfId="42" priority="6" operator="equal">
      <formula>"Pass"</formula>
    </cfRule>
  </conditionalFormatting>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D2:D111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5"/>
  <sheetViews>
    <sheetView workbookViewId="0"/>
  </sheetViews>
  <sheetFormatPr defaultRowHeight="15" x14ac:dyDescent="0.25"/>
  <cols>
    <col min="1" max="1" width="15.28515625" bestFit="1" customWidth="1"/>
    <col min="2" max="2" width="4.85546875" bestFit="1" customWidth="1"/>
    <col min="3" max="3" width="98.28515625" bestFit="1" customWidth="1"/>
    <col min="4" max="4" width="12.5703125" bestFit="1" customWidth="1"/>
    <col min="5" max="5" width="34.42578125" bestFit="1" customWidth="1"/>
  </cols>
  <sheetData>
    <row r="1" spans="1:5" s="42" customFormat="1" x14ac:dyDescent="0.25">
      <c r="A1" s="126" t="s">
        <v>268</v>
      </c>
      <c r="B1" s="126"/>
      <c r="C1" s="126" t="s">
        <v>269</v>
      </c>
      <c r="D1" s="126" t="s">
        <v>17</v>
      </c>
      <c r="E1" s="117"/>
    </row>
    <row r="2" spans="1:5" s="42" customFormat="1" x14ac:dyDescent="0.25">
      <c r="A2" s="127" t="s">
        <v>148</v>
      </c>
      <c r="B2" s="128"/>
      <c r="C2" s="129"/>
      <c r="D2" s="130"/>
      <c r="E2" s="117"/>
    </row>
    <row r="3" spans="1:5" s="42" customFormat="1" x14ac:dyDescent="0.25">
      <c r="A3" s="131"/>
      <c r="B3" s="132" t="s">
        <v>149</v>
      </c>
      <c r="C3" s="132" t="s">
        <v>150</v>
      </c>
      <c r="D3" s="130" t="s">
        <v>3</v>
      </c>
      <c r="E3" s="117"/>
    </row>
    <row r="4" spans="1:5" s="42" customFormat="1" x14ac:dyDescent="0.25">
      <c r="A4" s="133"/>
      <c r="B4" s="132" t="s">
        <v>151</v>
      </c>
      <c r="C4" s="132" t="s">
        <v>152</v>
      </c>
      <c r="D4" s="130" t="s">
        <v>3</v>
      </c>
      <c r="E4" s="117"/>
    </row>
    <row r="5" spans="1:5" s="42" customFormat="1" x14ac:dyDescent="0.25">
      <c r="A5" s="133"/>
      <c r="B5" s="132" t="s">
        <v>153</v>
      </c>
      <c r="C5" s="132" t="s">
        <v>154</v>
      </c>
      <c r="D5" s="130" t="s">
        <v>3</v>
      </c>
      <c r="E5" s="117"/>
    </row>
    <row r="6" spans="1:5" s="42" customFormat="1" x14ac:dyDescent="0.25">
      <c r="A6" s="133"/>
      <c r="B6" s="132" t="s">
        <v>1307</v>
      </c>
      <c r="C6" s="132" t="s">
        <v>1308</v>
      </c>
      <c r="D6" s="130" t="s">
        <v>3</v>
      </c>
      <c r="E6" s="117"/>
    </row>
    <row r="7" spans="1:5" s="42" customFormat="1" x14ac:dyDescent="0.25">
      <c r="A7" s="135" t="s">
        <v>140</v>
      </c>
      <c r="B7" s="136"/>
      <c r="C7" s="136"/>
      <c r="D7" s="130"/>
      <c r="E7" s="117"/>
    </row>
    <row r="8" spans="1:5" s="42" customFormat="1" x14ac:dyDescent="0.25">
      <c r="A8" s="131"/>
      <c r="B8" s="132" t="s">
        <v>155</v>
      </c>
      <c r="C8" s="132" t="s">
        <v>156</v>
      </c>
      <c r="D8" s="130" t="s">
        <v>3</v>
      </c>
      <c r="E8" s="117"/>
    </row>
    <row r="9" spans="1:5" s="42" customFormat="1" x14ac:dyDescent="0.25">
      <c r="A9" s="133"/>
      <c r="B9" s="132" t="s">
        <v>157</v>
      </c>
      <c r="C9" s="132" t="s">
        <v>158</v>
      </c>
      <c r="D9" s="130" t="s">
        <v>3</v>
      </c>
      <c r="E9" s="117"/>
    </row>
    <row r="10" spans="1:5" s="42" customFormat="1" x14ac:dyDescent="0.25">
      <c r="A10" s="133"/>
      <c r="B10" s="132" t="s">
        <v>159</v>
      </c>
      <c r="C10" s="132" t="s">
        <v>160</v>
      </c>
      <c r="D10" s="130" t="s">
        <v>3</v>
      </c>
      <c r="E10" s="117"/>
    </row>
    <row r="11" spans="1:5" s="42" customFormat="1" x14ac:dyDescent="0.25">
      <c r="A11" s="133"/>
      <c r="B11" s="132" t="s">
        <v>161</v>
      </c>
      <c r="C11" s="132" t="s">
        <v>141</v>
      </c>
      <c r="D11" s="130" t="s">
        <v>3</v>
      </c>
      <c r="E11" s="117"/>
    </row>
    <row r="12" spans="1:5" s="42" customFormat="1" x14ac:dyDescent="0.25">
      <c r="A12" s="133"/>
      <c r="B12" s="132" t="s">
        <v>162</v>
      </c>
      <c r="C12" s="132" t="s">
        <v>142</v>
      </c>
      <c r="D12" s="130" t="s">
        <v>3</v>
      </c>
      <c r="E12" s="117"/>
    </row>
    <row r="13" spans="1:5" s="42" customFormat="1" x14ac:dyDescent="0.25">
      <c r="A13" s="133"/>
      <c r="B13" s="137" t="s">
        <v>163</v>
      </c>
      <c r="C13" s="137" t="s">
        <v>143</v>
      </c>
      <c r="D13" s="130" t="s">
        <v>3</v>
      </c>
      <c r="E13" s="117"/>
    </row>
    <row r="14" spans="1:5" s="42" customFormat="1" x14ac:dyDescent="0.25">
      <c r="A14" s="133"/>
      <c r="B14" s="137" t="s">
        <v>737</v>
      </c>
      <c r="C14" s="137" t="s">
        <v>738</v>
      </c>
      <c r="D14" s="130" t="s">
        <v>3</v>
      </c>
      <c r="E14" s="117"/>
    </row>
    <row r="15" spans="1:5" s="42" customFormat="1" x14ac:dyDescent="0.25">
      <c r="A15" s="136" t="s">
        <v>135</v>
      </c>
      <c r="B15" s="136"/>
      <c r="C15" s="136"/>
      <c r="D15" s="130"/>
      <c r="E15" s="117"/>
    </row>
    <row r="16" spans="1:5" s="42" customFormat="1" x14ac:dyDescent="0.25">
      <c r="A16" s="133"/>
      <c r="B16" s="138" t="s">
        <v>164</v>
      </c>
      <c r="C16" s="138" t="s">
        <v>165</v>
      </c>
      <c r="D16" s="130" t="s">
        <v>3</v>
      </c>
      <c r="E16" s="117"/>
    </row>
    <row r="17" spans="1:5" s="42" customFormat="1" x14ac:dyDescent="0.25">
      <c r="A17" s="133"/>
      <c r="B17" s="132" t="s">
        <v>166</v>
      </c>
      <c r="C17" s="132" t="s">
        <v>167</v>
      </c>
      <c r="D17" s="130" t="s">
        <v>3</v>
      </c>
      <c r="E17" s="117"/>
    </row>
    <row r="18" spans="1:5" s="42" customFormat="1" x14ac:dyDescent="0.25">
      <c r="A18" s="133"/>
      <c r="B18" s="132" t="s">
        <v>168</v>
      </c>
      <c r="C18" s="132" t="s">
        <v>169</v>
      </c>
      <c r="D18" s="130" t="s">
        <v>3</v>
      </c>
      <c r="E18" s="117"/>
    </row>
    <row r="19" spans="1:5" s="42" customFormat="1" x14ac:dyDescent="0.25">
      <c r="A19" s="133"/>
      <c r="B19" s="132" t="s">
        <v>170</v>
      </c>
      <c r="C19" s="132" t="s">
        <v>171</v>
      </c>
      <c r="D19" s="130" t="s">
        <v>3</v>
      </c>
      <c r="E19" s="117"/>
    </row>
    <row r="20" spans="1:5" s="42" customFormat="1" x14ac:dyDescent="0.25">
      <c r="A20" s="133"/>
      <c r="B20" s="132" t="s">
        <v>172</v>
      </c>
      <c r="C20" s="132" t="s">
        <v>173</v>
      </c>
      <c r="D20" s="130" t="s">
        <v>3</v>
      </c>
      <c r="E20" s="117"/>
    </row>
    <row r="21" spans="1:5" s="42" customFormat="1" x14ac:dyDescent="0.25">
      <c r="A21" s="133"/>
      <c r="B21" s="132" t="s">
        <v>174</v>
      </c>
      <c r="C21" s="132" t="s">
        <v>136</v>
      </c>
      <c r="D21" s="130" t="s">
        <v>3</v>
      </c>
      <c r="E21" s="117"/>
    </row>
    <row r="22" spans="1:5" s="42" customFormat="1" x14ac:dyDescent="0.25">
      <c r="A22" s="139"/>
      <c r="B22" s="132" t="s">
        <v>175</v>
      </c>
      <c r="C22" s="132" t="s">
        <v>137</v>
      </c>
      <c r="D22" s="130" t="s">
        <v>3</v>
      </c>
      <c r="E22" s="117"/>
    </row>
    <row r="23" spans="1:5" s="42" customFormat="1" x14ac:dyDescent="0.25">
      <c r="A23" s="136" t="s">
        <v>121</v>
      </c>
      <c r="B23" s="136"/>
      <c r="C23" s="136"/>
      <c r="D23" s="130"/>
      <c r="E23" s="117"/>
    </row>
    <row r="24" spans="1:5" s="42" customFormat="1" x14ac:dyDescent="0.25">
      <c r="A24" s="131"/>
      <c r="B24" s="132" t="s">
        <v>176</v>
      </c>
      <c r="C24" s="132" t="s">
        <v>177</v>
      </c>
      <c r="D24" s="130" t="s">
        <v>3</v>
      </c>
      <c r="E24" s="117"/>
    </row>
    <row r="25" spans="1:5" s="42" customFormat="1" x14ac:dyDescent="0.25">
      <c r="A25" s="133"/>
      <c r="B25" s="132" t="s">
        <v>178</v>
      </c>
      <c r="C25" s="132" t="s">
        <v>179</v>
      </c>
      <c r="D25" s="130" t="s">
        <v>3</v>
      </c>
      <c r="E25" s="117"/>
    </row>
    <row r="26" spans="1:5" s="42" customFormat="1" x14ac:dyDescent="0.25">
      <c r="A26" s="133"/>
      <c r="B26" s="132" t="s">
        <v>180</v>
      </c>
      <c r="C26" s="132" t="s">
        <v>732</v>
      </c>
      <c r="D26" s="130" t="s">
        <v>3</v>
      </c>
      <c r="E26" s="117"/>
    </row>
    <row r="27" spans="1:5" s="42" customFormat="1" x14ac:dyDescent="0.25">
      <c r="A27" s="133"/>
      <c r="B27" s="132" t="s">
        <v>182</v>
      </c>
      <c r="C27" s="132" t="s">
        <v>150</v>
      </c>
      <c r="D27" s="130" t="s">
        <v>3</v>
      </c>
      <c r="E27" s="117"/>
    </row>
    <row r="28" spans="1:5" s="42" customFormat="1" x14ac:dyDescent="0.25">
      <c r="A28" s="133"/>
      <c r="B28" s="132" t="s">
        <v>183</v>
      </c>
      <c r="C28" s="132" t="s">
        <v>184</v>
      </c>
      <c r="D28" s="130" t="s">
        <v>3</v>
      </c>
      <c r="E28" s="117"/>
    </row>
    <row r="29" spans="1:5" s="42" customFormat="1" x14ac:dyDescent="0.25">
      <c r="A29" s="133"/>
      <c r="B29" s="132" t="s">
        <v>185</v>
      </c>
      <c r="C29" s="132" t="s">
        <v>186</v>
      </c>
      <c r="D29" s="130" t="s">
        <v>3</v>
      </c>
      <c r="E29" s="117"/>
    </row>
    <row r="30" spans="1:5" s="42" customFormat="1" x14ac:dyDescent="0.25">
      <c r="A30" s="133"/>
      <c r="B30" s="132" t="s">
        <v>187</v>
      </c>
      <c r="C30" s="132" t="s">
        <v>122</v>
      </c>
      <c r="D30" s="130" t="s">
        <v>3</v>
      </c>
      <c r="E30" s="117"/>
    </row>
    <row r="31" spans="1:5" s="42" customFormat="1" x14ac:dyDescent="0.25">
      <c r="A31" s="133"/>
      <c r="B31" s="132" t="s">
        <v>188</v>
      </c>
      <c r="C31" s="132" t="s">
        <v>123</v>
      </c>
      <c r="D31" s="130" t="s">
        <v>3</v>
      </c>
      <c r="E31" s="117"/>
    </row>
    <row r="32" spans="1:5" s="42" customFormat="1" x14ac:dyDescent="0.25">
      <c r="A32" s="133"/>
      <c r="B32" s="140" t="s">
        <v>189</v>
      </c>
      <c r="C32" s="132" t="s">
        <v>124</v>
      </c>
      <c r="D32" s="130" t="s">
        <v>3</v>
      </c>
      <c r="E32" s="117"/>
    </row>
    <row r="33" spans="1:5" s="42" customFormat="1" x14ac:dyDescent="0.25">
      <c r="A33" s="133"/>
      <c r="B33" s="140" t="s">
        <v>190</v>
      </c>
      <c r="C33" s="132" t="s">
        <v>125</v>
      </c>
      <c r="D33" s="130" t="s">
        <v>3</v>
      </c>
      <c r="E33" s="117"/>
    </row>
    <row r="34" spans="1:5" s="42" customFormat="1" x14ac:dyDescent="0.25">
      <c r="A34" s="133"/>
      <c r="B34" s="140" t="s">
        <v>191</v>
      </c>
      <c r="C34" s="132" t="s">
        <v>126</v>
      </c>
      <c r="D34" s="130" t="s">
        <v>3</v>
      </c>
      <c r="E34" s="117"/>
    </row>
    <row r="35" spans="1:5" s="42" customFormat="1" x14ac:dyDescent="0.25">
      <c r="A35" s="133"/>
      <c r="B35" s="140" t="s">
        <v>192</v>
      </c>
      <c r="C35" s="132" t="s">
        <v>127</v>
      </c>
      <c r="D35" s="130" t="s">
        <v>3</v>
      </c>
      <c r="E35" s="117"/>
    </row>
    <row r="36" spans="1:5" s="42" customFormat="1" x14ac:dyDescent="0.25">
      <c r="A36" s="226"/>
      <c r="B36" s="140" t="s">
        <v>193</v>
      </c>
      <c r="C36" s="132" t="s">
        <v>128</v>
      </c>
      <c r="D36" s="130" t="s">
        <v>3</v>
      </c>
      <c r="E36" s="117"/>
    </row>
    <row r="37" spans="1:5" s="42" customFormat="1" x14ac:dyDescent="0.25">
      <c r="A37" s="226"/>
      <c r="B37" s="140" t="s">
        <v>194</v>
      </c>
      <c r="C37" s="132" t="s">
        <v>129</v>
      </c>
      <c r="D37" s="130" t="s">
        <v>3</v>
      </c>
      <c r="E37" s="117"/>
    </row>
    <row r="38" spans="1:5" s="42" customFormat="1" x14ac:dyDescent="0.25">
      <c r="A38" s="226"/>
      <c r="B38" s="140" t="s">
        <v>195</v>
      </c>
      <c r="C38" s="132" t="s">
        <v>130</v>
      </c>
      <c r="D38" s="130" t="s">
        <v>3</v>
      </c>
      <c r="E38" s="117"/>
    </row>
    <row r="39" spans="1:5" s="42" customFormat="1" x14ac:dyDescent="0.25">
      <c r="A39" s="134"/>
      <c r="B39" s="140" t="s">
        <v>196</v>
      </c>
      <c r="C39" s="132" t="s">
        <v>131</v>
      </c>
      <c r="D39" s="130" t="s">
        <v>3</v>
      </c>
      <c r="E39" s="117"/>
    </row>
    <row r="40" spans="1:5" s="42" customFormat="1" x14ac:dyDescent="0.25">
      <c r="A40" s="134"/>
      <c r="B40" s="140" t="s">
        <v>370</v>
      </c>
      <c r="C40" s="132" t="s">
        <v>372</v>
      </c>
      <c r="D40" s="130" t="s">
        <v>11</v>
      </c>
      <c r="E40" s="117"/>
    </row>
    <row r="41" spans="1:5" s="42" customFormat="1" x14ac:dyDescent="0.25">
      <c r="A41" s="134"/>
      <c r="B41" s="140" t="s">
        <v>371</v>
      </c>
      <c r="C41" s="132" t="s">
        <v>373</v>
      </c>
      <c r="D41" s="130" t="s">
        <v>11</v>
      </c>
      <c r="E41" s="117"/>
    </row>
    <row r="42" spans="1:5" s="42" customFormat="1" x14ac:dyDescent="0.25">
      <c r="A42" s="227" t="s">
        <v>89</v>
      </c>
      <c r="B42" s="136"/>
      <c r="C42" s="136"/>
      <c r="D42" s="130"/>
      <c r="E42" s="117"/>
    </row>
    <row r="43" spans="1:5" s="42" customFormat="1" x14ac:dyDescent="0.25">
      <c r="A43" s="131"/>
      <c r="B43" s="132" t="s">
        <v>197</v>
      </c>
      <c r="C43" s="132" t="s">
        <v>198</v>
      </c>
      <c r="D43" s="130" t="s">
        <v>3</v>
      </c>
      <c r="E43" s="117"/>
    </row>
    <row r="44" spans="1:5" s="42" customFormat="1" x14ac:dyDescent="0.25">
      <c r="A44" s="133"/>
      <c r="B44" s="132" t="s">
        <v>199</v>
      </c>
      <c r="C44" s="132" t="s">
        <v>200</v>
      </c>
      <c r="D44" s="130" t="s">
        <v>3</v>
      </c>
      <c r="E44" s="117"/>
    </row>
    <row r="45" spans="1:5" s="42" customFormat="1" x14ac:dyDescent="0.25">
      <c r="A45" s="133"/>
      <c r="B45" s="132" t="s">
        <v>201</v>
      </c>
      <c r="C45" s="132" t="s">
        <v>202</v>
      </c>
      <c r="D45" s="130" t="s">
        <v>3</v>
      </c>
      <c r="E45" s="117"/>
    </row>
    <row r="46" spans="1:5" s="42" customFormat="1" x14ac:dyDescent="0.25">
      <c r="A46" s="133"/>
      <c r="B46" s="132" t="s">
        <v>203</v>
      </c>
      <c r="C46" s="132" t="s">
        <v>204</v>
      </c>
      <c r="D46" s="130" t="s">
        <v>3</v>
      </c>
      <c r="E46" s="117"/>
    </row>
    <row r="47" spans="1:5" s="42" customFormat="1" x14ac:dyDescent="0.25">
      <c r="A47" s="133"/>
      <c r="B47" s="132" t="s">
        <v>205</v>
      </c>
      <c r="C47" s="132" t="s">
        <v>206</v>
      </c>
      <c r="D47" s="130" t="s">
        <v>3</v>
      </c>
      <c r="E47" s="117"/>
    </row>
    <row r="48" spans="1:5" s="42" customFormat="1" x14ac:dyDescent="0.25">
      <c r="A48" s="133"/>
      <c r="B48" s="132" t="s">
        <v>207</v>
      </c>
      <c r="C48" s="132" t="s">
        <v>90</v>
      </c>
      <c r="D48" s="130" t="s">
        <v>3</v>
      </c>
      <c r="E48" s="117"/>
    </row>
    <row r="49" spans="1:5" s="42" customFormat="1" x14ac:dyDescent="0.25">
      <c r="A49" s="133"/>
      <c r="B49" s="132" t="s">
        <v>208</v>
      </c>
      <c r="C49" s="132" t="s">
        <v>91</v>
      </c>
      <c r="D49" s="130" t="s">
        <v>3</v>
      </c>
      <c r="E49" s="117"/>
    </row>
    <row r="50" spans="1:5" s="42" customFormat="1" x14ac:dyDescent="0.25">
      <c r="A50" s="133"/>
      <c r="B50" s="132" t="s">
        <v>209</v>
      </c>
      <c r="C50" s="132" t="s">
        <v>92</v>
      </c>
      <c r="D50" s="130" t="s">
        <v>3</v>
      </c>
      <c r="E50" s="117"/>
    </row>
    <row r="51" spans="1:5" s="42" customFormat="1" x14ac:dyDescent="0.25">
      <c r="A51" s="133"/>
      <c r="B51" s="132" t="s">
        <v>210</v>
      </c>
      <c r="C51" s="132" t="s">
        <v>93</v>
      </c>
      <c r="D51" s="130" t="s">
        <v>3</v>
      </c>
      <c r="E51" s="117"/>
    </row>
    <row r="52" spans="1:5" s="42" customFormat="1" x14ac:dyDescent="0.25">
      <c r="A52" s="133"/>
      <c r="B52" s="132" t="s">
        <v>211</v>
      </c>
      <c r="C52" s="132" t="s">
        <v>94</v>
      </c>
      <c r="D52" s="130" t="s">
        <v>3</v>
      </c>
      <c r="E52" s="117"/>
    </row>
    <row r="53" spans="1:5" s="42" customFormat="1" x14ac:dyDescent="0.25">
      <c r="A53" s="133"/>
      <c r="B53" s="132" t="s">
        <v>212</v>
      </c>
      <c r="C53" s="132" t="s">
        <v>95</v>
      </c>
      <c r="D53" s="130" t="s">
        <v>3</v>
      </c>
      <c r="E53" s="117"/>
    </row>
    <row r="54" spans="1:5" s="42" customFormat="1" x14ac:dyDescent="0.25">
      <c r="A54" s="133"/>
      <c r="B54" s="132" t="s">
        <v>213</v>
      </c>
      <c r="C54" s="132" t="s">
        <v>96</v>
      </c>
      <c r="D54" s="130" t="s">
        <v>3</v>
      </c>
      <c r="E54" s="117"/>
    </row>
    <row r="55" spans="1:5" s="42" customFormat="1" x14ac:dyDescent="0.25">
      <c r="A55" s="133"/>
      <c r="B55" s="137" t="s">
        <v>214</v>
      </c>
      <c r="C55" s="137" t="s">
        <v>97</v>
      </c>
      <c r="D55" s="130" t="s">
        <v>3</v>
      </c>
      <c r="E55" s="117"/>
    </row>
    <row r="56" spans="1:5" s="42" customFormat="1" x14ac:dyDescent="0.25">
      <c r="A56" s="136" t="s">
        <v>132</v>
      </c>
      <c r="B56" s="136"/>
      <c r="C56" s="136"/>
      <c r="D56" s="130"/>
      <c r="E56" s="117"/>
    </row>
    <row r="57" spans="1:5" s="42" customFormat="1" x14ac:dyDescent="0.25">
      <c r="A57" s="133"/>
      <c r="B57" s="138" t="s">
        <v>215</v>
      </c>
      <c r="C57" s="138" t="s">
        <v>216</v>
      </c>
      <c r="D57" s="130" t="s">
        <v>3</v>
      </c>
      <c r="E57" s="117"/>
    </row>
    <row r="58" spans="1:5" s="42" customFormat="1" x14ac:dyDescent="0.25">
      <c r="A58" s="133"/>
      <c r="B58" s="132" t="s">
        <v>217</v>
      </c>
      <c r="C58" s="132" t="s">
        <v>150</v>
      </c>
      <c r="D58" s="130" t="s">
        <v>3</v>
      </c>
      <c r="E58" s="117"/>
    </row>
    <row r="59" spans="1:5" s="42" customFormat="1" x14ac:dyDescent="0.25">
      <c r="A59" s="133"/>
      <c r="B59" s="132" t="s">
        <v>218</v>
      </c>
      <c r="C59" s="132" t="s">
        <v>133</v>
      </c>
      <c r="D59" s="130" t="s">
        <v>3</v>
      </c>
      <c r="E59" s="117"/>
    </row>
    <row r="60" spans="1:5" s="42" customFormat="1" x14ac:dyDescent="0.25">
      <c r="A60" s="139"/>
      <c r="B60" s="132" t="s">
        <v>219</v>
      </c>
      <c r="C60" s="132" t="s">
        <v>134</v>
      </c>
      <c r="D60" s="130" t="s">
        <v>3</v>
      </c>
      <c r="E60" s="117"/>
    </row>
    <row r="61" spans="1:5" s="42" customFormat="1" x14ac:dyDescent="0.25">
      <c r="A61" s="127" t="s">
        <v>147</v>
      </c>
      <c r="B61" s="128"/>
      <c r="C61" s="129"/>
      <c r="D61" s="130"/>
      <c r="E61" s="117"/>
    </row>
    <row r="62" spans="1:5" s="42" customFormat="1" x14ac:dyDescent="0.25">
      <c r="A62" s="131"/>
      <c r="B62" s="132" t="s">
        <v>220</v>
      </c>
      <c r="C62" s="132" t="s">
        <v>221</v>
      </c>
      <c r="D62" s="130" t="s">
        <v>3</v>
      </c>
      <c r="E62" s="117"/>
    </row>
    <row r="63" spans="1:5" s="42" customFormat="1" x14ac:dyDescent="0.25">
      <c r="A63" s="133"/>
      <c r="B63" s="132" t="s">
        <v>222</v>
      </c>
      <c r="C63" s="132" t="s">
        <v>223</v>
      </c>
      <c r="D63" s="130" t="s">
        <v>3</v>
      </c>
      <c r="E63" s="117"/>
    </row>
    <row r="64" spans="1:5" s="42" customFormat="1" x14ac:dyDescent="0.25">
      <c r="A64" s="139"/>
      <c r="B64" s="132" t="s">
        <v>224</v>
      </c>
      <c r="C64" s="132" t="s">
        <v>225</v>
      </c>
      <c r="D64" s="130" t="s">
        <v>3</v>
      </c>
      <c r="E64" s="117"/>
    </row>
    <row r="65" spans="1:5" s="42" customFormat="1" x14ac:dyDescent="0.25">
      <c r="A65" s="141" t="s">
        <v>98</v>
      </c>
      <c r="B65" s="117"/>
      <c r="C65" s="132"/>
      <c r="D65" s="130"/>
      <c r="E65" s="117"/>
    </row>
    <row r="66" spans="1:5" s="42" customFormat="1" x14ac:dyDescent="0.25">
      <c r="A66" s="131"/>
      <c r="B66" s="132" t="s">
        <v>226</v>
      </c>
      <c r="C66" s="132" t="s">
        <v>99</v>
      </c>
      <c r="D66" s="130" t="s">
        <v>3</v>
      </c>
      <c r="E66" s="117"/>
    </row>
    <row r="67" spans="1:5" s="42" customFormat="1" x14ac:dyDescent="0.25">
      <c r="A67" s="133"/>
      <c r="B67" s="132" t="s">
        <v>227</v>
      </c>
      <c r="C67" s="132" t="s">
        <v>100</v>
      </c>
      <c r="D67" s="130" t="s">
        <v>3</v>
      </c>
      <c r="E67" s="117"/>
    </row>
    <row r="68" spans="1:5" s="42" customFormat="1" x14ac:dyDescent="0.25">
      <c r="A68" s="133"/>
      <c r="B68" s="132" t="s">
        <v>228</v>
      </c>
      <c r="C68" s="132" t="s">
        <v>101</v>
      </c>
      <c r="D68" s="130" t="s">
        <v>3</v>
      </c>
      <c r="E68" s="117"/>
    </row>
    <row r="69" spans="1:5" s="42" customFormat="1" x14ac:dyDescent="0.25">
      <c r="A69" s="133"/>
      <c r="B69" s="132" t="s">
        <v>229</v>
      </c>
      <c r="C69" s="132" t="s">
        <v>102</v>
      </c>
      <c r="D69" s="130" t="s">
        <v>3</v>
      </c>
      <c r="E69" s="117"/>
    </row>
    <row r="70" spans="1:5" s="42" customFormat="1" x14ac:dyDescent="0.25">
      <c r="A70" s="139"/>
      <c r="B70" s="132" t="s">
        <v>735</v>
      </c>
      <c r="C70" s="132" t="s">
        <v>736</v>
      </c>
      <c r="D70" s="130" t="s">
        <v>3</v>
      </c>
      <c r="E70" s="117"/>
    </row>
    <row r="71" spans="1:5" s="42" customFormat="1" x14ac:dyDescent="0.25">
      <c r="A71" s="127" t="s">
        <v>144</v>
      </c>
      <c r="B71" s="128"/>
      <c r="C71" s="129"/>
      <c r="D71" s="130"/>
      <c r="E71" s="117"/>
    </row>
    <row r="72" spans="1:5" s="42" customFormat="1" x14ac:dyDescent="0.25">
      <c r="A72" s="131"/>
      <c r="B72" s="132" t="s">
        <v>230</v>
      </c>
      <c r="C72" s="132" t="s">
        <v>145</v>
      </c>
      <c r="D72" s="130" t="s">
        <v>3</v>
      </c>
      <c r="E72" s="117"/>
    </row>
    <row r="73" spans="1:5" s="42" customFormat="1" x14ac:dyDescent="0.25">
      <c r="A73" s="139"/>
      <c r="B73" s="132" t="s">
        <v>231</v>
      </c>
      <c r="C73" s="132" t="s">
        <v>146</v>
      </c>
      <c r="D73" s="130" t="s">
        <v>3</v>
      </c>
      <c r="E73" s="117"/>
    </row>
    <row r="74" spans="1:5" s="42" customFormat="1" x14ac:dyDescent="0.25">
      <c r="A74" s="127" t="s">
        <v>84</v>
      </c>
      <c r="B74" s="128"/>
      <c r="C74" s="129"/>
      <c r="D74" s="130"/>
      <c r="E74" s="117"/>
    </row>
    <row r="75" spans="1:5" s="42" customFormat="1" x14ac:dyDescent="0.25">
      <c r="A75" s="131"/>
      <c r="B75" s="132" t="s">
        <v>232</v>
      </c>
      <c r="C75" s="132" t="s">
        <v>85</v>
      </c>
      <c r="D75" s="130" t="s">
        <v>3</v>
      </c>
      <c r="E75" s="117"/>
    </row>
    <row r="76" spans="1:5" s="42" customFormat="1" x14ac:dyDescent="0.25">
      <c r="A76" s="133"/>
      <c r="B76" s="132" t="s">
        <v>233</v>
      </c>
      <c r="C76" s="132" t="s">
        <v>86</v>
      </c>
      <c r="D76" s="130" t="s">
        <v>3</v>
      </c>
      <c r="E76" s="117"/>
    </row>
    <row r="77" spans="1:5" s="42" customFormat="1" x14ac:dyDescent="0.25">
      <c r="A77" s="133"/>
      <c r="B77" s="132" t="s">
        <v>234</v>
      </c>
      <c r="C77" s="132" t="s">
        <v>87</v>
      </c>
      <c r="D77" s="130" t="s">
        <v>3</v>
      </c>
      <c r="E77" s="117"/>
    </row>
    <row r="78" spans="1:5" s="42" customFormat="1" x14ac:dyDescent="0.25">
      <c r="A78" s="139"/>
      <c r="B78" s="132" t="s">
        <v>235</v>
      </c>
      <c r="C78" s="132" t="s">
        <v>88</v>
      </c>
      <c r="D78" s="130" t="s">
        <v>3</v>
      </c>
      <c r="E78" s="117"/>
    </row>
    <row r="79" spans="1:5" s="42" customFormat="1" x14ac:dyDescent="0.25">
      <c r="A79" s="127" t="s">
        <v>103</v>
      </c>
      <c r="B79" s="128"/>
      <c r="C79" s="129"/>
      <c r="D79" s="130"/>
      <c r="E79" s="117"/>
    </row>
    <row r="80" spans="1:5" s="42" customFormat="1" x14ac:dyDescent="0.25">
      <c r="A80" s="142"/>
      <c r="B80" s="228" t="s">
        <v>353</v>
      </c>
      <c r="C80" s="143" t="s">
        <v>354</v>
      </c>
      <c r="D80" s="130" t="s">
        <v>3</v>
      </c>
      <c r="E80" s="117"/>
    </row>
    <row r="81" spans="1:5" s="42" customFormat="1" x14ac:dyDescent="0.25">
      <c r="A81" s="144"/>
      <c r="B81" s="145" t="s">
        <v>236</v>
      </c>
      <c r="C81" s="132" t="s">
        <v>109</v>
      </c>
      <c r="D81" s="130" t="s">
        <v>3</v>
      </c>
      <c r="E81" s="117"/>
    </row>
    <row r="82" spans="1:5" s="42" customFormat="1" x14ac:dyDescent="0.25">
      <c r="A82" s="146"/>
      <c r="B82" s="145" t="s">
        <v>237</v>
      </c>
      <c r="C82" s="132" t="s">
        <v>238</v>
      </c>
      <c r="D82" s="130" t="s">
        <v>3</v>
      </c>
      <c r="E82" s="117"/>
    </row>
    <row r="83" spans="1:5" s="42" customFormat="1" x14ac:dyDescent="0.25">
      <c r="A83" s="146"/>
      <c r="B83" s="145" t="s">
        <v>239</v>
      </c>
      <c r="C83" s="132" t="s">
        <v>104</v>
      </c>
      <c r="D83" s="130" t="s">
        <v>3</v>
      </c>
      <c r="E83" s="117"/>
    </row>
    <row r="84" spans="1:5" s="42" customFormat="1" x14ac:dyDescent="0.25">
      <c r="A84" s="146"/>
      <c r="B84" s="147" t="s">
        <v>355</v>
      </c>
      <c r="C84" s="140" t="s">
        <v>356</v>
      </c>
      <c r="D84" s="130" t="s">
        <v>3</v>
      </c>
      <c r="E84" s="117"/>
    </row>
    <row r="85" spans="1:5" s="42" customFormat="1" x14ac:dyDescent="0.25">
      <c r="A85" s="146"/>
      <c r="B85" s="145" t="s">
        <v>240</v>
      </c>
      <c r="C85" s="132" t="s">
        <v>241</v>
      </c>
      <c r="D85" s="130" t="s">
        <v>3</v>
      </c>
      <c r="E85" s="117"/>
    </row>
    <row r="86" spans="1:5" s="42" customFormat="1" x14ac:dyDescent="0.25">
      <c r="A86" s="146"/>
      <c r="B86" s="145" t="s">
        <v>242</v>
      </c>
      <c r="C86" s="132" t="s">
        <v>243</v>
      </c>
      <c r="D86" s="130" t="s">
        <v>3</v>
      </c>
      <c r="E86" s="117"/>
    </row>
    <row r="87" spans="1:5" s="42" customFormat="1" x14ac:dyDescent="0.25">
      <c r="A87" s="146"/>
      <c r="B87" s="145" t="s">
        <v>244</v>
      </c>
      <c r="C87" s="132" t="s">
        <v>105</v>
      </c>
      <c r="D87" s="130" t="s">
        <v>3</v>
      </c>
      <c r="E87" s="117"/>
    </row>
    <row r="88" spans="1:5" s="42" customFormat="1" x14ac:dyDescent="0.25">
      <c r="A88" s="146"/>
      <c r="B88" s="145" t="s">
        <v>245</v>
      </c>
      <c r="C88" s="132" t="s">
        <v>106</v>
      </c>
      <c r="D88" s="130" t="s">
        <v>3</v>
      </c>
      <c r="E88" s="117"/>
    </row>
    <row r="89" spans="1:5" s="42" customFormat="1" x14ac:dyDescent="0.25">
      <c r="A89" s="146"/>
      <c r="B89" s="145" t="s">
        <v>246</v>
      </c>
      <c r="C89" s="132" t="s">
        <v>107</v>
      </c>
      <c r="D89" s="130" t="s">
        <v>3</v>
      </c>
      <c r="E89" s="117"/>
    </row>
    <row r="90" spans="1:5" s="42" customFormat="1" x14ac:dyDescent="0.25">
      <c r="A90" s="146"/>
      <c r="B90" s="145" t="s">
        <v>247</v>
      </c>
      <c r="C90" s="132" t="s">
        <v>108</v>
      </c>
      <c r="D90" s="130" t="s">
        <v>3</v>
      </c>
      <c r="E90" s="117"/>
    </row>
    <row r="91" spans="1:5" s="42" customFormat="1" x14ac:dyDescent="0.25">
      <c r="A91" s="146"/>
      <c r="B91" s="145" t="s">
        <v>248</v>
      </c>
      <c r="C91" s="132" t="s">
        <v>249</v>
      </c>
      <c r="D91" s="130" t="s">
        <v>3</v>
      </c>
      <c r="E91" s="117"/>
    </row>
    <row r="92" spans="1:5" s="42" customFormat="1" x14ac:dyDescent="0.25">
      <c r="A92" s="146"/>
      <c r="B92" s="145" t="s">
        <v>250</v>
      </c>
      <c r="C92" s="132" t="s">
        <v>114</v>
      </c>
      <c r="D92" s="130" t="s">
        <v>3</v>
      </c>
      <c r="E92" s="117"/>
    </row>
    <row r="93" spans="1:5" s="42" customFormat="1" x14ac:dyDescent="0.25">
      <c r="A93" s="146"/>
      <c r="B93" s="145" t="s">
        <v>251</v>
      </c>
      <c r="C93" s="132" t="s">
        <v>115</v>
      </c>
      <c r="D93" s="130" t="s">
        <v>3</v>
      </c>
      <c r="E93" s="117"/>
    </row>
    <row r="94" spans="1:5" s="42" customFormat="1" x14ac:dyDescent="0.25">
      <c r="A94" s="146"/>
      <c r="B94" s="145" t="s">
        <v>252</v>
      </c>
      <c r="C94" s="132" t="s">
        <v>116</v>
      </c>
      <c r="D94" s="130" t="s">
        <v>3</v>
      </c>
      <c r="E94" s="117"/>
    </row>
    <row r="95" spans="1:5" s="42" customFormat="1" x14ac:dyDescent="0.25">
      <c r="A95" s="146"/>
      <c r="B95" s="145" t="s">
        <v>253</v>
      </c>
      <c r="C95" s="132" t="s">
        <v>110</v>
      </c>
      <c r="D95" s="130" t="s">
        <v>3</v>
      </c>
      <c r="E95" s="117"/>
    </row>
    <row r="96" spans="1:5" s="42" customFormat="1" x14ac:dyDescent="0.25">
      <c r="A96" s="146"/>
      <c r="B96" s="145" t="s">
        <v>254</v>
      </c>
      <c r="C96" s="132" t="s">
        <v>111</v>
      </c>
      <c r="D96" s="130" t="s">
        <v>3</v>
      </c>
      <c r="E96" s="117"/>
    </row>
    <row r="97" spans="1:5" s="42" customFormat="1" x14ac:dyDescent="0.25">
      <c r="A97" s="146"/>
      <c r="B97" s="145" t="s">
        <v>255</v>
      </c>
      <c r="C97" s="132" t="s">
        <v>113</v>
      </c>
      <c r="D97" s="130" t="s">
        <v>3</v>
      </c>
      <c r="E97" s="117"/>
    </row>
    <row r="98" spans="1:5" s="42" customFormat="1" x14ac:dyDescent="0.25">
      <c r="A98" s="146"/>
      <c r="B98" s="145" t="s">
        <v>256</v>
      </c>
      <c r="C98" s="132" t="s">
        <v>112</v>
      </c>
      <c r="D98" s="130" t="s">
        <v>3</v>
      </c>
      <c r="E98" s="117"/>
    </row>
    <row r="99" spans="1:5" s="42" customFormat="1" x14ac:dyDescent="0.25">
      <c r="A99" s="146"/>
      <c r="B99" s="145" t="s">
        <v>257</v>
      </c>
      <c r="C99" s="132" t="s">
        <v>117</v>
      </c>
      <c r="D99" s="130" t="s">
        <v>3</v>
      </c>
      <c r="E99" s="117"/>
    </row>
    <row r="100" spans="1:5" s="42" customFormat="1" x14ac:dyDescent="0.25">
      <c r="A100" s="146"/>
      <c r="B100" s="145" t="s">
        <v>258</v>
      </c>
      <c r="C100" s="132" t="s">
        <v>118</v>
      </c>
      <c r="D100" s="130" t="s">
        <v>3</v>
      </c>
      <c r="E100" s="117"/>
    </row>
    <row r="101" spans="1:5" s="42" customFormat="1" x14ac:dyDescent="0.25">
      <c r="A101" s="146"/>
      <c r="B101" s="145" t="s">
        <v>259</v>
      </c>
      <c r="C101" s="132" t="s">
        <v>119</v>
      </c>
      <c r="D101" s="130" t="s">
        <v>3</v>
      </c>
      <c r="E101" s="117"/>
    </row>
    <row r="102" spans="1:5" s="42" customFormat="1" x14ac:dyDescent="0.25">
      <c r="A102" s="146"/>
      <c r="B102" s="147" t="s">
        <v>357</v>
      </c>
      <c r="C102" s="140" t="s">
        <v>358</v>
      </c>
      <c r="D102" s="130" t="s">
        <v>3</v>
      </c>
      <c r="E102" s="117"/>
    </row>
    <row r="103" spans="1:5" s="42" customFormat="1" x14ac:dyDescent="0.25">
      <c r="A103" s="146"/>
      <c r="B103" s="147" t="s">
        <v>359</v>
      </c>
      <c r="C103" s="140" t="s">
        <v>360</v>
      </c>
      <c r="D103" s="130" t="s">
        <v>3</v>
      </c>
      <c r="E103" s="117"/>
    </row>
    <row r="104" spans="1:5" s="42" customFormat="1" x14ac:dyDescent="0.25">
      <c r="A104" s="146"/>
      <c r="B104" s="145" t="s">
        <v>260</v>
      </c>
      <c r="C104" s="132" t="s">
        <v>120</v>
      </c>
      <c r="D104" s="130" t="s">
        <v>3</v>
      </c>
      <c r="E104" s="117"/>
    </row>
    <row r="105" spans="1:5" s="42" customFormat="1" x14ac:dyDescent="0.25">
      <c r="A105" s="148"/>
      <c r="B105" s="149" t="s">
        <v>313</v>
      </c>
      <c r="C105" s="92" t="s">
        <v>314</v>
      </c>
      <c r="D105" s="130" t="s">
        <v>3</v>
      </c>
      <c r="E105" s="117"/>
    </row>
    <row r="106" spans="1:5" s="42" customFormat="1" x14ac:dyDescent="0.25">
      <c r="A106" s="150"/>
      <c r="B106" s="149" t="s">
        <v>315</v>
      </c>
      <c r="C106" s="92" t="s">
        <v>316</v>
      </c>
      <c r="D106" s="130" t="s">
        <v>3</v>
      </c>
      <c r="E106" s="117"/>
    </row>
    <row r="107" spans="1:5" s="42" customFormat="1" x14ac:dyDescent="0.25">
      <c r="A107" s="151"/>
      <c r="B107" s="149" t="s">
        <v>317</v>
      </c>
      <c r="C107" s="92" t="s">
        <v>318</v>
      </c>
      <c r="D107" s="130" t="s">
        <v>3</v>
      </c>
      <c r="E107" s="117"/>
    </row>
    <row r="108" spans="1:5" s="42" customFormat="1" x14ac:dyDescent="0.25">
      <c r="A108" s="151"/>
      <c r="B108" s="149" t="s">
        <v>733</v>
      </c>
      <c r="C108" s="152" t="s">
        <v>734</v>
      </c>
      <c r="D108" s="130" t="s">
        <v>3</v>
      </c>
      <c r="E108" s="117"/>
    </row>
    <row r="109" spans="1:5" s="42" customFormat="1" x14ac:dyDescent="0.25">
      <c r="A109" s="127" t="s">
        <v>138</v>
      </c>
      <c r="B109" s="128"/>
      <c r="C109" s="129"/>
      <c r="D109" s="130" t="s">
        <v>3</v>
      </c>
      <c r="E109" s="117"/>
    </row>
    <row r="110" spans="1:5" s="42" customFormat="1" x14ac:dyDescent="0.25">
      <c r="A110" s="131"/>
      <c r="B110" s="132" t="s">
        <v>261</v>
      </c>
      <c r="C110" s="132" t="s">
        <v>262</v>
      </c>
      <c r="D110" s="130" t="s">
        <v>3</v>
      </c>
      <c r="E110" s="117"/>
    </row>
    <row r="111" spans="1:5" s="42" customFormat="1" x14ac:dyDescent="0.25">
      <c r="A111" s="133"/>
      <c r="B111" s="132" t="s">
        <v>263</v>
      </c>
      <c r="C111" s="132" t="s">
        <v>264</v>
      </c>
      <c r="D111" s="130" t="s">
        <v>3</v>
      </c>
      <c r="E111" s="117"/>
    </row>
    <row r="112" spans="1:5" s="42" customFormat="1" x14ac:dyDescent="0.25">
      <c r="A112" s="133"/>
      <c r="B112" s="132" t="s">
        <v>265</v>
      </c>
      <c r="C112" s="132" t="s">
        <v>266</v>
      </c>
      <c r="D112" s="130" t="s">
        <v>3</v>
      </c>
      <c r="E112" s="117"/>
    </row>
    <row r="113" spans="1:5" s="42" customFormat="1" x14ac:dyDescent="0.25">
      <c r="A113" s="139"/>
      <c r="B113" s="132" t="s">
        <v>267</v>
      </c>
      <c r="C113" s="132" t="s">
        <v>139</v>
      </c>
      <c r="D113" s="130" t="s">
        <v>3</v>
      </c>
      <c r="E113" s="117"/>
    </row>
    <row r="114" spans="1:5" s="42" customFormat="1" x14ac:dyDescent="0.25">
      <c r="A114" s="142" t="s">
        <v>309</v>
      </c>
      <c r="B114" s="153"/>
      <c r="C114" s="129"/>
      <c r="D114" s="130"/>
      <c r="E114" s="117"/>
    </row>
    <row r="115" spans="1:5" x14ac:dyDescent="0.25">
      <c r="A115" s="132"/>
      <c r="B115" s="140" t="s">
        <v>361</v>
      </c>
      <c r="C115" s="132" t="s">
        <v>311</v>
      </c>
      <c r="D115" s="130" t="s">
        <v>3</v>
      </c>
    </row>
  </sheetData>
  <conditionalFormatting sqref="D2:D115">
    <cfRule type="cellIs" dxfId="41" priority="36" operator="equal">
      <formula>"Not Tested"</formula>
    </cfRule>
    <cfRule type="cellIs" dxfId="40" priority="37" operator="equal">
      <formula>"Pending"</formula>
    </cfRule>
    <cfRule type="cellIs" dxfId="39" priority="38" operator="equal">
      <formula>"Ongoing"</formula>
    </cfRule>
    <cfRule type="cellIs" dxfId="38" priority="39" operator="equal">
      <formula>"Blocked"</formula>
    </cfRule>
    <cfRule type="cellIs" dxfId="37" priority="40" operator="equal">
      <formula>"Fail"</formula>
    </cfRule>
    <cfRule type="cellIs" dxfId="36" priority="41" operator="equal">
      <formula>"Partially Fail"</formula>
    </cfRule>
    <cfRule type="cellIs" dxfId="35" priority="42" operator="equal">
      <formula>"Pass"</formula>
    </cfRule>
  </conditionalFormatting>
  <conditionalFormatting sqref="D2:D115">
    <cfRule type="cellIs" dxfId="34" priority="29" operator="equal">
      <formula>"Not Tested"</formula>
    </cfRule>
    <cfRule type="cellIs" dxfId="33" priority="30" operator="equal">
      <formula>"Pending"</formula>
    </cfRule>
    <cfRule type="cellIs" dxfId="32" priority="31" operator="equal">
      <formula>"Ongoing"</formula>
    </cfRule>
    <cfRule type="cellIs" dxfId="31" priority="32" operator="equal">
      <formula>"Blocked"</formula>
    </cfRule>
    <cfRule type="cellIs" dxfId="30" priority="33" operator="equal">
      <formula>"Fail"</formula>
    </cfRule>
    <cfRule type="cellIs" dxfId="29" priority="34" operator="equal">
      <formula>"Partially Pass"</formula>
    </cfRule>
    <cfRule type="cellIs" dxfId="28" priority="35" operator="equal">
      <formula>"Pass"</formula>
    </cfRule>
  </conditionalFormatting>
  <conditionalFormatting sqref="D2:D115">
    <cfRule type="cellIs" dxfId="27" priority="22" operator="equal">
      <formula>"Not Tested"</formula>
    </cfRule>
    <cfRule type="cellIs" dxfId="26" priority="23" operator="equal">
      <formula>"Pending"</formula>
    </cfRule>
    <cfRule type="cellIs" dxfId="25" priority="24" operator="equal">
      <formula>"Ongoing"</formula>
    </cfRule>
    <cfRule type="cellIs" dxfId="24" priority="25" operator="equal">
      <formula>"Blocked"</formula>
    </cfRule>
    <cfRule type="cellIs" dxfId="23" priority="26" operator="equal">
      <formula>"Fail"</formula>
    </cfRule>
    <cfRule type="cellIs" dxfId="22" priority="27" operator="equal">
      <formula>"Partially Fail"</formula>
    </cfRule>
    <cfRule type="cellIs" dxfId="21" priority="28" operator="equal">
      <formula>"Pass"</formula>
    </cfRule>
  </conditionalFormatting>
  <conditionalFormatting sqref="D2:D115">
    <cfRule type="cellIs" dxfId="20" priority="15" operator="equal">
      <formula>"Not Tested"</formula>
    </cfRule>
    <cfRule type="cellIs" dxfId="19" priority="16" operator="equal">
      <formula>"Pending"</formula>
    </cfRule>
    <cfRule type="cellIs" dxfId="18" priority="17" operator="equal">
      <formula>"Ongoing"</formula>
    </cfRule>
    <cfRule type="cellIs" dxfId="17" priority="18" operator="equal">
      <formula>"Blocked"</formula>
    </cfRule>
    <cfRule type="cellIs" dxfId="16" priority="19" operator="equal">
      <formula>"Fail"</formula>
    </cfRule>
    <cfRule type="cellIs" dxfId="15" priority="20" operator="equal">
      <formula>"Partially Pass"</formula>
    </cfRule>
    <cfRule type="cellIs" dxfId="14" priority="21" operator="equal">
      <formula>"Pass"</formula>
    </cfRule>
  </conditionalFormatting>
  <conditionalFormatting sqref="D2:D115">
    <cfRule type="cellIs" dxfId="13" priority="7" operator="equal">
      <formula>"Not Tested"</formula>
    </cfRule>
    <cfRule type="cellIs" dxfId="12" priority="8" operator="equal">
      <formula>"Not Tested"</formula>
    </cfRule>
    <cfRule type="cellIs" dxfId="11" priority="9" operator="equal">
      <formula>"Pending"</formula>
    </cfRule>
    <cfRule type="cellIs" dxfId="10" priority="10" operator="equal">
      <formula>"Ongoing"</formula>
    </cfRule>
    <cfRule type="cellIs" dxfId="9" priority="11" operator="equal">
      <formula>"Blocked"</formula>
    </cfRule>
    <cfRule type="cellIs" dxfId="8" priority="12" operator="equal">
      <formula>"Fail"</formula>
    </cfRule>
    <cfRule type="cellIs" dxfId="7" priority="13" operator="equal">
      <formula>"Partially Fail"</formula>
    </cfRule>
    <cfRule type="cellIs" dxfId="6" priority="14" operator="equal">
      <formula>"Pass"</formula>
    </cfRule>
  </conditionalFormatting>
  <conditionalFormatting sqref="D2:D115">
    <cfRule type="cellIs" dxfId="5" priority="1" operator="equal">
      <formula>"Pending"</formula>
    </cfRule>
    <cfRule type="cellIs" dxfId="4" priority="2" operator="equal">
      <formula>"Ongoing"</formula>
    </cfRule>
    <cfRule type="cellIs" dxfId="3" priority="3" operator="equal">
      <formula>"Blocked"</formula>
    </cfRule>
    <cfRule type="cellIs" dxfId="2" priority="4" operator="equal">
      <formula>"Fail"</formula>
    </cfRule>
    <cfRule type="cellIs" dxfId="1" priority="5" operator="equal">
      <formula>"Partially Pass"</formula>
    </cfRule>
    <cfRule type="cellIs" dxfId="0" priority="6" operator="equal">
      <formula>"Pass"</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[5]Info!#REF!</xm:f>
          </x14:formula1>
          <xm:sqref>D2:D115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showGridLines="0" workbookViewId="0">
      <selection activeCell="A5" sqref="A5"/>
    </sheetView>
  </sheetViews>
  <sheetFormatPr defaultRowHeight="12.75" x14ac:dyDescent="0.2"/>
  <cols>
    <col min="1" max="1" width="22" style="2" bestFit="1" customWidth="1"/>
    <col min="2" max="2" width="25.85546875" style="2" bestFit="1" customWidth="1"/>
    <col min="3" max="16384" width="9.140625" style="2"/>
  </cols>
  <sheetData>
    <row r="1" spans="1:2" x14ac:dyDescent="0.2">
      <c r="A1" s="1" t="s">
        <v>15</v>
      </c>
    </row>
    <row r="2" spans="1:2" x14ac:dyDescent="0.2">
      <c r="A2" s="1"/>
    </row>
    <row r="3" spans="1:2" x14ac:dyDescent="0.2">
      <c r="A3" s="3" t="s">
        <v>3</v>
      </c>
      <c r="B3" s="4" t="s">
        <v>7</v>
      </c>
    </row>
    <row r="4" spans="1:2" x14ac:dyDescent="0.2">
      <c r="A4" s="5" t="s">
        <v>25</v>
      </c>
      <c r="B4" s="4" t="s">
        <v>26</v>
      </c>
    </row>
    <row r="5" spans="1:2" x14ac:dyDescent="0.2">
      <c r="A5" s="6" t="s">
        <v>4</v>
      </c>
      <c r="B5" s="4" t="s">
        <v>8</v>
      </c>
    </row>
    <row r="6" spans="1:2" x14ac:dyDescent="0.2">
      <c r="A6" s="7" t="s">
        <v>11</v>
      </c>
      <c r="B6" s="4" t="s">
        <v>12</v>
      </c>
    </row>
    <row r="7" spans="1:2" x14ac:dyDescent="0.2">
      <c r="A7" s="8" t="s">
        <v>9</v>
      </c>
      <c r="B7" s="4" t="s">
        <v>13</v>
      </c>
    </row>
    <row r="8" spans="1:2" x14ac:dyDescent="0.2">
      <c r="A8" s="9" t="s">
        <v>10</v>
      </c>
      <c r="B8" s="4" t="s">
        <v>14</v>
      </c>
    </row>
    <row r="9" spans="1:2" x14ac:dyDescent="0.2">
      <c r="A9" s="10" t="s">
        <v>5</v>
      </c>
      <c r="B9" s="4" t="s">
        <v>16</v>
      </c>
    </row>
    <row r="10" spans="1:2" x14ac:dyDescent="0.2">
      <c r="A10" s="54" t="s">
        <v>385</v>
      </c>
      <c r="B10" s="4"/>
    </row>
    <row r="33" spans="2:2" x14ac:dyDescent="0.2">
      <c r="B33"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Page</vt:lpstr>
      <vt:lpstr>Row_LOA_Count</vt:lpstr>
      <vt:lpstr>Smoke Test Checklists</vt:lpstr>
      <vt:lpstr>Sumit</vt:lpstr>
      <vt:lpstr>QM_List</vt:lpstr>
      <vt:lpstr>QM</vt:lpstr>
      <vt:lpstr>Care_quality</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asshrestha</cp:lastModifiedBy>
  <cp:lastPrinted>2011-11-06T13:41:52Z</cp:lastPrinted>
  <dcterms:created xsi:type="dcterms:W3CDTF">2011-11-04T13:24:59Z</dcterms:created>
  <dcterms:modified xsi:type="dcterms:W3CDTF">2017-03-31T13:48:37Z</dcterms:modified>
</cp:coreProperties>
</file>