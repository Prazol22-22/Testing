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<sst xmlns="http://schemas.openxmlformats.org/spreadsheetml/2006/main" count="432" uniqueCount="106">
  <si>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</si>
  <si>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</si>
  <si>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</si>
  <si>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</si>
  <si>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</si>
  <si>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</si>
  <si>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</si>
  <si>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</si>
  <si>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</si>
  <si>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</si>
  <si>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</si>
  <si>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</si>
  <si>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</si>
  <si>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</si>
  <si>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</si>
  <si>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</si>
  <si>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</si>
  <si>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</si>
  <si>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</si>
  <si>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</si>
  <si>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</si>
  <si>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</si>
  <si>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</si>
  <si>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</si>
  <si>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</si>
  <si>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</si>
  <si>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</si>
  <si>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</si>
  <si>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</si>
  <si>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</si>
  <si>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</si>
  <si>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</si>
  <si>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</si>
  <si>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</si>
  <si>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</si>
  <si>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</si>
  <si>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</si>
  <si>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</si>
  <si>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</si>
  <si>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</si>
  <si>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</si>
  <si>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</si>
  <si>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</si>
  <si>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</si>
  <si>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</si>
  <si>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</si>
  <si>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</si>
  <si>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</si>
  <si>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</si>
  <si>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</si>
  <si>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</si>
  <si>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</si>
  <si>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</si>
  <si>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</si>
  <si>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</si>
  <si>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</si>
  <si>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</si>
  <si>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</si>
  <si>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</si>
  <si>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</si>
  <si>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</si>
  <si>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</si>
  <si>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</si>
  <si>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</si>
  <si>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</si>
  <si>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</si>
  <si>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</si>
  <si>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</si>
  <si>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</si>
  <si>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</si>
  <si>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</si>
  <si>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</si>
  <si>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</si>
  <si>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</si>
  <si>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</si>
  <si>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</si>
  <si>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</si>
  <si>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</si>
  <si>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</si>
  <si>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</si>
  <si>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</si>
  <si>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</si>
  <si>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</si>
  <si>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</si>
  <si>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</si>
  <si>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</si>
  <si>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</si>
  <si>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</si>
  <si>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</si>
  <si>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</si>
  <si>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</si>
  <si>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</si>
  <si>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</si>
  <si>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</si>
  <si>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</si>
  <si>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</si>
  <si>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</si>
  <si>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5.8 vs 6.0</t>
  </si>
  <si>
    <t>https://app1.traffk.com</t>
  </si>
  <si>
    <t>https://app1.pa.uat.deerwalk.com</t>
  </si>
  <si>
    <t>AchyutB</t>
  </si>
  <si>
    <t>Makalu Result (Last Processing - Production ) v5.8</t>
  </si>
  <si>
    <t>Makalu Result (Current Processing - UAT) v6.0</t>
  </si>
  <si>
    <t>Jan 2015 through Jun 2015</t>
  </si>
  <si>
    <t>November 01, 2011 to October 31, 2016</t>
  </si>
  <si>
    <t>January 01, 2012 to December 31, 2016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</si>
</sst>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sqref="A1:B1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92</v>
      </c>
      <c r="B1" s="53"/>
    </row>
    <row r="2" spans="1:6">
      <c r="A2" s="15" t="s">
        <v>45</v>
      </c>
      <c r="B2" s="16" t="s">
        <v>96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93</v>
      </c>
      <c r="B5" s="20" t="s">
        <v>105</v>
      </c>
      <c r="C5" s="17"/>
    </row>
    <row r="6" spans="1:6">
      <c r="A6" s="18" t="s">
        <v>94</v>
      </c>
      <c r="B6" s="20" t="s">
        <v>104</v>
      </c>
      <c r="C6" s="17"/>
    </row>
    <row r="7" spans="1:6" ht="12" customHeight="1">
      <c r="A7" s="18" t="s">
        <v>80</v>
      </c>
      <c r="B7" s="21" t="s">
        <v>103</v>
      </c>
      <c r="C7" s="45"/>
    </row>
    <row r="8" spans="1:6">
      <c r="A8" s="18" t="s">
        <v>49</v>
      </c>
      <c r="B8" s="19" t="s">
        <v>97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42766</v>
      </c>
      <c r="B19" s="54">
        <v>42766</v>
      </c>
      <c r="C19" s="49" t="s">
        <v>98</v>
      </c>
      <c r="D19" s="57" t="s">
        <v>100</v>
      </c>
      <c r="E19" s="59" t="s">
        <v>43</v>
      </c>
      <c r="F19" s="50"/>
    </row>
    <row r="20" spans="1:6" s="24" customFormat="1" ht="18" customHeight="1">
      <c r="A20" s="56"/>
      <c r="B20" s="54"/>
      <c r="C20" s="49" t="s">
        <v>99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sqref="A1:C1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91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101</v>
      </c>
      <c r="B3" s="32"/>
      <c r="C3" s="32"/>
      <c r="D3" s="8"/>
      <c r="E3" s="32" t="s">
        <v>102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107293</v>
      </c>
      <c r="E5" s="5" t="s">
        <v>3</v>
      </c>
      <c r="F5" s="5" t="s">
        <v>4</v>
      </c>
      <c r="G5" s="10">
        <v>107293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1756</v>
      </c>
      <c r="E6" s="5" t="s">
        <v>5</v>
      </c>
      <c r="F6" s="5" t="s">
        <v>6</v>
      </c>
      <c r="G6" s="10">
        <v>1753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545</v>
      </c>
      <c r="E7" s="6" t="s">
        <v>7</v>
      </c>
      <c r="F7" s="5" t="s">
        <v>6</v>
      </c>
      <c r="G7" s="10">
        <v>545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12125</v>
      </c>
      <c r="E8" s="6" t="s">
        <v>8</v>
      </c>
      <c r="F8" s="5" t="s">
        <v>6</v>
      </c>
      <c r="G8" s="46">
        <v>12123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8336</v>
      </c>
      <c r="E9" s="6" t="s">
        <v>9</v>
      </c>
      <c r="F9" s="5" t="s">
        <v>6</v>
      </c>
      <c r="G9" s="46">
        <v>8334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2893</v>
      </c>
      <c r="E10" s="6" t="s">
        <v>10</v>
      </c>
      <c r="F10" s="5" t="s">
        <v>6</v>
      </c>
      <c r="G10" s="10">
        <v>2893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689</v>
      </c>
      <c r="E11" s="5" t="s">
        <v>11</v>
      </c>
      <c r="F11" s="5" t="s">
        <v>6</v>
      </c>
      <c r="G11" s="10">
        <v>689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207</v>
      </c>
      <c r="E12" s="5" t="s">
        <v>12</v>
      </c>
      <c r="F12" s="5" t="s">
        <v>6</v>
      </c>
      <c r="G12" s="10">
        <v>207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393</v>
      </c>
      <c r="E13" s="5" t="s">
        <v>13</v>
      </c>
      <c r="F13" s="5" t="s">
        <v>6</v>
      </c>
      <c r="G13" s="10">
        <v>394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2671</v>
      </c>
      <c r="E14" s="5" t="s">
        <v>14</v>
      </c>
      <c r="F14" s="5" t="s">
        <v>15</v>
      </c>
      <c r="G14" s="10">
        <v>2671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326</v>
      </c>
      <c r="E15" s="5" t="s">
        <v>16</v>
      </c>
      <c r="F15" s="5" t="s">
        <v>15</v>
      </c>
      <c r="G15" s="10">
        <v>326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691</v>
      </c>
      <c r="E16" s="5" t="s">
        <v>17</v>
      </c>
      <c r="F16" s="5" t="s">
        <v>15</v>
      </c>
      <c r="G16" s="10">
        <v>691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29</v>
      </c>
      <c r="E17" s="6" t="s">
        <v>83</v>
      </c>
      <c r="F17" s="5" t="s">
        <v>15</v>
      </c>
      <c r="G17" s="10">
        <v>29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516</v>
      </c>
      <c r="E18" s="6" t="s">
        <v>18</v>
      </c>
      <c r="F18" s="5" t="s">
        <v>15</v>
      </c>
      <c r="G18" s="10">
        <v>516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511</v>
      </c>
      <c r="E19" s="6" t="s">
        <v>19</v>
      </c>
      <c r="F19" s="5" t="s">
        <v>15</v>
      </c>
      <c r="G19" s="10">
        <v>511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201</v>
      </c>
      <c r="E20" s="6" t="s">
        <v>90</v>
      </c>
      <c r="F20" s="5" t="s">
        <v>15</v>
      </c>
      <c r="G20" s="10">
        <v>201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736</v>
      </c>
      <c r="E21" s="6" t="s">
        <v>20</v>
      </c>
      <c r="F21" s="5" t="s">
        <v>15</v>
      </c>
      <c r="G21" s="10">
        <v>736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101</v>
      </c>
      <c r="E22" s="6" t="s">
        <v>21</v>
      </c>
      <c r="F22" s="5" t="s">
        <v>15</v>
      </c>
      <c r="G22" s="44">
        <v>101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60</v>
      </c>
      <c r="E23" s="6" t="s">
        <v>22</v>
      </c>
      <c r="F23" s="5" t="s">
        <v>15</v>
      </c>
      <c r="G23" s="10">
        <v>60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41</v>
      </c>
      <c r="E24" s="6" t="s">
        <v>23</v>
      </c>
      <c r="F24" s="5" t="s">
        <v>15</v>
      </c>
      <c r="G24" s="10">
        <v>41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2574</v>
      </c>
      <c r="E25" s="6" t="s">
        <v>26</v>
      </c>
      <c r="F25" s="5" t="s">
        <v>25</v>
      </c>
      <c r="G25" s="10">
        <v>2574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614</v>
      </c>
      <c r="E26" s="6" t="s">
        <v>85</v>
      </c>
      <c r="F26" s="5" t="s">
        <v>25</v>
      </c>
      <c r="G26" s="10">
        <v>614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1279</v>
      </c>
      <c r="E27" s="6" t="s">
        <v>86</v>
      </c>
      <c r="F27" s="5" t="s">
        <v>25</v>
      </c>
      <c r="G27" s="10">
        <v>1279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285</v>
      </c>
      <c r="E28" s="6" t="s">
        <v>87</v>
      </c>
      <c r="F28" s="5" t="s">
        <v>25</v>
      </c>
      <c r="G28" s="44">
        <v>285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396</v>
      </c>
      <c r="E29" s="6" t="s">
        <v>88</v>
      </c>
      <c r="F29" s="5" t="s">
        <v>25</v>
      </c>
      <c r="G29" s="44">
        <v>396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0</v>
      </c>
      <c r="E30" s="6" t="s">
        <v>89</v>
      </c>
      <c r="F30" s="5" t="s">
        <v>25</v>
      </c>
      <c r="G30" s="44">
        <v>0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510</v>
      </c>
      <c r="E31" s="6" t="s">
        <v>27</v>
      </c>
      <c r="F31" s="5" t="s">
        <v>28</v>
      </c>
      <c r="G31" s="10">
        <v>510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173</v>
      </c>
      <c r="E32" s="6" t="s">
        <v>29</v>
      </c>
      <c r="F32" s="5" t="s">
        <v>28</v>
      </c>
      <c r="G32" s="44">
        <v>173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188</v>
      </c>
      <c r="E33" s="5" t="s">
        <v>30</v>
      </c>
      <c r="F33" s="5" t="s">
        <v>28</v>
      </c>
      <c r="G33" s="10">
        <v>188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103</v>
      </c>
      <c r="E34" s="5" t="s">
        <v>31</v>
      </c>
      <c r="F34" s="5" t="s">
        <v>28</v>
      </c>
      <c r="G34" s="46">
        <v>103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46</v>
      </c>
      <c r="E35" s="5" t="s">
        <v>32</v>
      </c>
      <c r="F35" s="5" t="s">
        <v>28</v>
      </c>
      <c r="G35" s="10">
        <v>46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0</v>
      </c>
      <c r="E36" s="5" t="s">
        <v>33</v>
      </c>
      <c r="F36" s="5" t="s">
        <v>28</v>
      </c>
      <c r="G36" s="10">
        <v>0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54.51</v>
      </c>
      <c r="E37" s="5" t="s">
        <v>34</v>
      </c>
      <c r="F37" s="5" t="s">
        <v>35</v>
      </c>
      <c r="G37" s="5">
        <v>54.51</v>
      </c>
      <c r="K37" s="9"/>
      <c r="M37" s="9"/>
    </row>
    <row r="38" spans="1:13">
      <c r="A38" s="5" t="s">
        <v>36</v>
      </c>
      <c r="B38" s="5" t="s">
        <v>28</v>
      </c>
      <c r="C38" s="5">
        <v>42</v>
      </c>
      <c r="E38" s="5" t="s">
        <v>36</v>
      </c>
      <c r="F38" s="5" t="s">
        <v>28</v>
      </c>
      <c r="G38" s="5">
        <v>42</v>
      </c>
      <c r="K38" s="9"/>
    </row>
    <row r="39" spans="1:13">
      <c r="A39" s="5" t="s">
        <v>37</v>
      </c>
      <c r="B39" s="5" t="s">
        <v>25</v>
      </c>
      <c r="C39" s="5">
        <v>5.05</v>
      </c>
      <c r="E39" s="5" t="s">
        <v>37</v>
      </c>
      <c r="F39" s="5" t="s">
        <v>25</v>
      </c>
      <c r="G39" s="5">
        <v>5.05</v>
      </c>
      <c r="K39" s="9"/>
    </row>
    <row r="40" spans="1:13">
      <c r="A40" s="6" t="s">
        <v>38</v>
      </c>
      <c r="B40" s="5" t="s">
        <v>15</v>
      </c>
      <c r="C40" s="10">
        <v>57220</v>
      </c>
      <c r="E40" s="5" t="s">
        <v>38</v>
      </c>
      <c r="F40" s="5" t="s">
        <v>15</v>
      </c>
      <c r="G40" s="10">
        <v>57220</v>
      </c>
      <c r="K40" s="9"/>
    </row>
    <row r="41" spans="1:13">
      <c r="A41" s="6" t="s">
        <v>39</v>
      </c>
      <c r="B41" s="5" t="s">
        <v>40</v>
      </c>
      <c r="C41" s="44">
        <v>7.24</v>
      </c>
      <c r="E41" s="5" t="s">
        <v>39</v>
      </c>
      <c r="F41" s="5" t="s">
        <v>40</v>
      </c>
      <c r="G41" s="5">
        <v>7.24</v>
      </c>
      <c r="K41" s="9"/>
    </row>
    <row r="42" spans="1:13">
      <c r="A42" s="6" t="s">
        <v>41</v>
      </c>
      <c r="B42" s="5" t="s">
        <v>40</v>
      </c>
      <c r="C42" s="44">
        <v>82.22</v>
      </c>
      <c r="E42" s="5" t="s">
        <v>41</v>
      </c>
      <c r="F42" s="5" t="s">
        <v>40</v>
      </c>
      <c r="G42" s="5">
        <v>82.22</v>
      </c>
      <c r="K42" s="9"/>
    </row>
    <row r="43" spans="1:13">
      <c r="A43" s="5" t="s">
        <v>84</v>
      </c>
      <c r="B43" s="5" t="s">
        <v>25</v>
      </c>
      <c r="C43" s="10">
        <v>283</v>
      </c>
      <c r="E43" s="5" t="s">
        <v>84</v>
      </c>
      <c r="F43" s="5" t="s">
        <v>25</v>
      </c>
      <c r="G43" s="5">
        <v>283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95</v>
      </c>
      <c r="B48" s="7">
        <f>IF(C5=0,0%,(G5-C5)/C5)</f>
        <v>0</v>
      </c>
      <c r="C48" s="1" t="str">
        <f>IF(AND(B48&lt;=0.5%,B48&gt;=-0.5%),"PASS","FAIL")</f>
        <v>PASS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-1.7084282460136675E-3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0</v>
      </c>
      <c r="C50" s="1" t="str">
        <f t="shared" si="1"/>
        <v>PASS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-1.6494845360824742E-4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-2.3992322456813819E-4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0</v>
      </c>
      <c r="C53" s="1" t="str">
        <f t="shared" si="1"/>
        <v>PASS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2.5445292620865142E-3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0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0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0</v>
      </c>
      <c r="C61" s="1" t="str">
        <f t="shared" si="1"/>
        <v>PASS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0</v>
      </c>
      <c r="C63" s="1" t="str">
        <f t="shared" si="1"/>
        <v>PASS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0</v>
      </c>
      <c r="C83" s="1" t="str">
        <f>IF(AND(B83&lt;=0.5%,B83&gt;=-0.5%),"PASS","FAIL")</f>
        <v>PASS</v>
      </c>
    </row>
    <row r="84" spans="1:3">
      <c r="A84" s="6" t="s">
        <v>39</v>
      </c>
      <c r="B84" s="7">
        <f t="shared" si="0"/>
        <v>0</v>
      </c>
      <c r="C84" s="1" t="str">
        <f t="shared" si="1"/>
        <v>PASS</v>
      </c>
    </row>
    <row r="85" spans="1:3">
      <c r="A85" s="6" t="s">
        <v>41</v>
      </c>
      <c r="B85" s="7">
        <f t="shared" si="0"/>
        <v>0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asshrestha</cp:lastModifiedBy>
  <dcterms:created xsi:type="dcterms:W3CDTF">2015-03-18T06:10:04Z</dcterms:created>
  <dcterms:modified xsi:type="dcterms:W3CDTF">2017-02-02T03:05:53Z</dcterms:modified>
</cp:coreProperties>
</file>