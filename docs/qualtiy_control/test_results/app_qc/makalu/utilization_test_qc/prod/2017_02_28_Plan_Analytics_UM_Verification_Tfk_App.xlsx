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76" i="7" l="1"/>
  <c r="C76" i="7" s="1"/>
  <c r="B82" i="7"/>
  <c r="C82" i="7" s="1"/>
  <c r="C58" i="7"/>
  <c r="B87" i="7"/>
  <c r="C87" i="7" s="1"/>
  <c r="B88" i="7"/>
  <c r="C88" i="7" s="1"/>
  <c r="B89" i="7"/>
  <c r="C89" i="7" s="1"/>
  <c r="B90" i="7"/>
  <c r="C90" i="7" s="1"/>
  <c r="B53" i="7"/>
  <c r="C53" i="7" s="1"/>
  <c r="B54" i="7"/>
  <c r="C54" i="7" s="1"/>
  <c r="B55" i="7"/>
  <c r="C55" i="7" s="1"/>
  <c r="B56" i="7"/>
  <c r="C56" i="7" s="1"/>
  <c r="B57" i="7"/>
  <c r="C57" i="7" s="1"/>
  <c r="B58" i="7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7" i="7"/>
  <c r="C77" i="7" s="1"/>
  <c r="B78" i="7"/>
  <c r="C78" i="7" s="1"/>
  <c r="B79" i="7"/>
  <c r="C79" i="7" s="1"/>
  <c r="B80" i="7"/>
  <c r="C80" i="7" s="1"/>
  <c r="B81" i="7"/>
  <c r="C81" i="7" s="1"/>
  <c r="B83" i="7"/>
  <c r="C83" i="7" s="1"/>
  <c r="B84" i="7"/>
  <c r="C84" i="7" s="1"/>
  <c r="B85" i="7"/>
  <c r="C85" i="7" s="1"/>
  <c r="B86" i="7"/>
  <c r="C86" i="7" s="1"/>
  <c r="B52" i="7"/>
  <c r="C52" i="7" s="1"/>
  <c r="B40" i="5" l="1"/>
  <c r="B51" i="5"/>
  <c r="C51" i="5" s="1"/>
  <c r="B52" i="5"/>
  <c r="B53" i="5"/>
  <c r="C53" i="5" s="1"/>
  <c r="B54" i="5"/>
  <c r="B55" i="5"/>
  <c r="B56" i="5"/>
  <c r="B57" i="5"/>
  <c r="C57" i="5" s="1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C40" i="5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2" i="5"/>
  <c r="C54" i="5"/>
  <c r="C55" i="5"/>
  <c r="C56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B39" i="5"/>
  <c r="C39" i="5" s="1"/>
</calcChain>
</file>

<file path=xl/sharedStrings.xml><?xml version="1.0" encoding="utf-8"?>
<sst xmlns="http://schemas.openxmlformats.org/spreadsheetml/2006/main" count="441" uniqueCount="113">
  <si>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</si>
  <si>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</si>
  <si>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</si>
  <si>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</si>
  <si>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</si>
  <si>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</si>
  <si>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</si>
  <si>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</si>
  <si>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</si>
  <si>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</si>
  <si>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</si>
  <si>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</si>
  <si>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</si>
  <si>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</si>
  <si>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</si>
  <si>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</si>
  <si>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</si>
  <si>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</si>
  <si>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</si>
  <si>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</si>
  <si>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</si>
  <si>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</si>
  <si>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</si>
  <si>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</si>
  <si>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</si>
  <si>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</si>
  <si>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</si>
  <si>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</si>
  <si>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</si>
  <si>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</si>
  <si>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</si>
  <si>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</si>
  <si>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</si>
  <si>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</si>
  <si>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</si>
  <si>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</si>
  <si>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</si>
  <si>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</si>
  <si>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</si>
  <si>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</si>
  <si>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</si>
  <si>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</si>
  <si>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</si>
  <si>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</si>
  <si>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</si>
  <si>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</si>
  <si>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</si>
  <si>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</si>
  <si>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</si>
  <si>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</si>
  <si>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</si>
  <si>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</si>
  <si>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</si>
  <si>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</si>
  <si>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</si>
  <si>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</si>
  <si>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</si>
  <si>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</si>
  <si>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</si>
  <si>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</si>
  <si>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</si>
  <si>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</si>
  <si>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</si>
  <si>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</si>
  <si>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</si>
  <si>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</si>
  <si>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</si>
  <si>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</si>
  <si>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</si>
  <si>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</si>
  <si>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</si>
  <si>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</si>
  <si>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</si>
  <si>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</si>
  <si>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</si>
  <si>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</si>
  <si>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</si>
  <si>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</si>
  <si>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</si>
  <si>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</si>
  <si>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</si>
  <si>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</si>
  <si>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</si>
  <si>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</si>
  <si>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</si>
  <si>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</si>
  <si>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</si>
  <si>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</si>
  <si>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</si>
  <si>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</si>
  <si>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</si>
  <si>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BOB</t>
  </si>
  <si>
    <t>Summary</t>
  </si>
  <si>
    <t>Cycle Date: UAT</t>
  </si>
  <si>
    <t>Cycle Date: Production</t>
  </si>
  <si>
    <t>Patient Months</t>
  </si>
  <si>
    <t>TFK-App</t>
  </si>
  <si>
    <t>https://app1.traffk.com</t>
  </si>
  <si>
    <t>https://app1.pa.uat.deerwalk.com</t>
  </si>
  <si>
    <t>January 01, 2012 to December 31, 2016</t>
  </si>
  <si>
    <t>February 01, 2012 to January 31, 2017</t>
  </si>
  <si>
    <t>Aug 2014 - Jan 2015</t>
  </si>
  <si>
    <t>6.0 vs 6.1</t>
  </si>
  <si>
    <t>SubinV</t>
  </si>
  <si>
    <t>Makalu Result (Last Processing - Production ) v6.0</t>
  </si>
  <si>
    <t>Makalu Result (Current Processing - UAT) v6.1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</si>
  <si>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</si>
  <si>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</si>
  <si>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</si>
  <si>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</si>
  <si>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</si>
  <si>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</si>
  <si>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UM verification Partially pass due to UM logic changes 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</si>
</sst>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4" borderId="12" xfId="4" applyFont="1" applyFill="1" applyBorder="1" applyAlignment="1">
      <alignment horizontal="center" vertical="center" wrapText="1"/>
    </xf>
    <xf numFmtId="0" fontId="14" fillId="4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0" zoomScaleNormal="8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96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100</v>
      </c>
      <c r="C5" s="17"/>
    </row>
    <row r="6" spans="1:6" x14ac:dyDescent="0.25">
      <c r="A6" s="18" t="s">
        <v>94</v>
      </c>
      <c r="B6" s="20" t="s">
        <v>99</v>
      </c>
      <c r="C6" s="17"/>
    </row>
    <row r="7" spans="1:6" ht="12" customHeight="1" x14ac:dyDescent="0.25">
      <c r="A7" s="18" t="s">
        <v>80</v>
      </c>
      <c r="B7" s="21" t="s">
        <v>101</v>
      </c>
      <c r="C7" s="45"/>
    </row>
    <row r="8" spans="1:6" x14ac:dyDescent="0.25">
      <c r="A8" s="18" t="s">
        <v>49</v>
      </c>
      <c r="B8" s="19" t="s">
        <v>102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42793</v>
      </c>
      <c r="B19" s="54">
        <v>42793</v>
      </c>
      <c r="C19" s="49" t="s">
        <v>97</v>
      </c>
      <c r="D19" s="57" t="s">
        <v>103</v>
      </c>
      <c r="E19" s="59" t="s">
        <v>67</v>
      </c>
      <c r="F19" s="50" t="s">
        <v>112</v>
      </c>
    </row>
    <row r="20" spans="1:6" s="24" customFormat="1" ht="18" customHeight="1" x14ac:dyDescent="0.25">
      <c r="A20" s="56"/>
      <c r="B20" s="54"/>
      <c r="C20" s="49" t="s">
        <v>98</v>
      </c>
      <c r="D20" s="58"/>
      <c r="E20" s="60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info!A3:A10</xm:f>
          </x14:formula1>
          <xm:sqref>E19</xm:sqref>
        </x14:dataValidation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61" t="s">
        <v>64</v>
      </c>
      <c r="B1" s="61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2" t="s">
        <v>91</v>
      </c>
      <c r="B1" s="62"/>
      <c r="C1" s="62"/>
      <c r="E1" s="48"/>
    </row>
    <row r="2" spans="1:13" ht="15" customHeight="1" x14ac:dyDescent="0.25">
      <c r="A2" s="63" t="s">
        <v>64</v>
      </c>
      <c r="B2" s="64"/>
      <c r="C2" s="64"/>
    </row>
    <row r="3" spans="1:13" x14ac:dyDescent="0.25">
      <c r="A3" s="31" t="s">
        <v>104</v>
      </c>
      <c r="B3" s="32"/>
      <c r="C3" s="32"/>
      <c r="D3" s="8"/>
      <c r="E3" s="32" t="s">
        <v>105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10">
        <v>18011</v>
      </c>
      <c r="E5" s="5" t="s">
        <v>3</v>
      </c>
      <c r="F5" s="5" t="s">
        <v>4</v>
      </c>
      <c r="G5" s="10">
        <v>18011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10">
        <v>421</v>
      </c>
      <c r="E6" s="5" t="s">
        <v>5</v>
      </c>
      <c r="F6" s="5" t="s">
        <v>6</v>
      </c>
      <c r="G6" s="10">
        <v>423</v>
      </c>
      <c r="H6" s="11"/>
      <c r="I6" s="11"/>
      <c r="J6" s="11"/>
      <c r="K6" s="11"/>
      <c r="L6" s="11"/>
      <c r="M6" s="9"/>
    </row>
    <row r="7" spans="1:13" x14ac:dyDescent="0.25">
      <c r="A7" s="6" t="s">
        <v>7</v>
      </c>
      <c r="B7" s="5" t="s">
        <v>6</v>
      </c>
      <c r="C7" s="10">
        <v>124</v>
      </c>
      <c r="E7" s="6" t="s">
        <v>7</v>
      </c>
      <c r="F7" s="5" t="s">
        <v>6</v>
      </c>
      <c r="G7" s="10">
        <v>119</v>
      </c>
      <c r="H7" s="13"/>
      <c r="I7" s="11"/>
      <c r="J7" s="11"/>
      <c r="K7" s="11"/>
      <c r="L7" s="11"/>
      <c r="M7" s="9"/>
    </row>
    <row r="8" spans="1:13" x14ac:dyDescent="0.25">
      <c r="A8" s="6"/>
      <c r="B8" s="5"/>
      <c r="C8" s="10"/>
      <c r="E8" s="6" t="s">
        <v>106</v>
      </c>
      <c r="F8" s="5" t="s">
        <v>6</v>
      </c>
      <c r="G8" s="10">
        <v>6</v>
      </c>
      <c r="H8" s="13"/>
      <c r="I8" s="11"/>
      <c r="J8" s="11"/>
      <c r="K8" s="11"/>
      <c r="L8" s="11"/>
      <c r="M8" s="9"/>
    </row>
    <row r="9" spans="1:13" x14ac:dyDescent="0.25">
      <c r="A9" s="6" t="s">
        <v>8</v>
      </c>
      <c r="B9" s="5" t="s">
        <v>6</v>
      </c>
      <c r="C9" s="46">
        <v>2127</v>
      </c>
      <c r="E9" s="6" t="s">
        <v>8</v>
      </c>
      <c r="F9" s="5" t="s">
        <v>6</v>
      </c>
      <c r="G9" s="46">
        <v>2159</v>
      </c>
      <c r="H9" s="13"/>
      <c r="I9" s="11"/>
      <c r="J9" s="11"/>
      <c r="K9" s="11"/>
      <c r="L9" s="11"/>
      <c r="M9" s="9"/>
    </row>
    <row r="10" spans="1:13" x14ac:dyDescent="0.25">
      <c r="A10" s="6" t="s">
        <v>9</v>
      </c>
      <c r="B10" s="5" t="s">
        <v>6</v>
      </c>
      <c r="C10" s="46">
        <v>1533</v>
      </c>
      <c r="E10" s="6" t="s">
        <v>9</v>
      </c>
      <c r="F10" s="5" t="s">
        <v>6</v>
      </c>
      <c r="G10" s="46">
        <v>1572</v>
      </c>
      <c r="H10" s="11"/>
      <c r="I10" s="11"/>
      <c r="J10" s="11"/>
      <c r="K10" s="11"/>
      <c r="L10" s="11"/>
      <c r="M10" s="9"/>
    </row>
    <row r="11" spans="1:13" x14ac:dyDescent="0.25">
      <c r="A11" s="6" t="s">
        <v>10</v>
      </c>
      <c r="B11" s="5" t="s">
        <v>6</v>
      </c>
      <c r="C11" s="10">
        <v>425</v>
      </c>
      <c r="E11" s="6" t="s">
        <v>10</v>
      </c>
      <c r="F11" s="5" t="s">
        <v>6</v>
      </c>
      <c r="G11" s="10">
        <v>406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10">
        <v>138</v>
      </c>
      <c r="E12" s="5" t="s">
        <v>11</v>
      </c>
      <c r="F12" s="5" t="s">
        <v>6</v>
      </c>
      <c r="G12" s="10">
        <v>166</v>
      </c>
      <c r="H12" s="11"/>
      <c r="I12" s="11"/>
      <c r="J12" s="11"/>
      <c r="K12" s="11"/>
      <c r="L12" s="11"/>
      <c r="M12" s="9"/>
    </row>
    <row r="13" spans="1:13" x14ac:dyDescent="0.25">
      <c r="A13" s="5"/>
      <c r="B13" s="5"/>
      <c r="C13" s="10"/>
      <c r="E13" s="5" t="s">
        <v>107</v>
      </c>
      <c r="F13" s="5" t="s">
        <v>6</v>
      </c>
      <c r="G13" s="10">
        <v>5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10">
        <v>31</v>
      </c>
      <c r="E14" s="5" t="s">
        <v>12</v>
      </c>
      <c r="F14" s="5" t="s">
        <v>6</v>
      </c>
      <c r="G14" s="10">
        <v>10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10">
        <v>103</v>
      </c>
      <c r="E15" s="5" t="s">
        <v>13</v>
      </c>
      <c r="F15" s="5" t="s">
        <v>6</v>
      </c>
      <c r="G15" s="10">
        <v>98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10">
        <v>415</v>
      </c>
      <c r="E16" s="5" t="s">
        <v>14</v>
      </c>
      <c r="F16" s="5" t="s">
        <v>15</v>
      </c>
      <c r="G16" s="10">
        <v>371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10">
        <v>57</v>
      </c>
      <c r="E17" s="5" t="s">
        <v>16</v>
      </c>
      <c r="F17" s="5" t="s">
        <v>15</v>
      </c>
      <c r="G17" s="10">
        <v>47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10">
        <v>125</v>
      </c>
      <c r="E18" s="5" t="s">
        <v>17</v>
      </c>
      <c r="F18" s="5" t="s">
        <v>15</v>
      </c>
      <c r="G18" s="10">
        <v>70</v>
      </c>
      <c r="H18" s="11"/>
      <c r="I18" s="11"/>
      <c r="J18" s="11"/>
      <c r="K18" s="11"/>
      <c r="L18" s="11"/>
      <c r="M18" s="9"/>
    </row>
    <row r="19" spans="1:13" x14ac:dyDescent="0.25">
      <c r="A19" s="6" t="s">
        <v>83</v>
      </c>
      <c r="B19" s="5" t="s">
        <v>15</v>
      </c>
      <c r="C19" s="10">
        <v>5</v>
      </c>
      <c r="E19" s="6" t="s">
        <v>83</v>
      </c>
      <c r="F19" s="5" t="s">
        <v>15</v>
      </c>
      <c r="G19" s="10">
        <v>4</v>
      </c>
      <c r="H19" s="11"/>
      <c r="I19" s="11"/>
      <c r="J19" s="11"/>
      <c r="K19" s="11"/>
      <c r="L19" s="11"/>
      <c r="M19" s="9"/>
    </row>
    <row r="20" spans="1:13" x14ac:dyDescent="0.25">
      <c r="A20" s="6" t="s">
        <v>18</v>
      </c>
      <c r="B20" s="5" t="s">
        <v>15</v>
      </c>
      <c r="C20" s="10">
        <v>99</v>
      </c>
      <c r="E20" s="6" t="s">
        <v>18</v>
      </c>
      <c r="F20" s="5" t="s">
        <v>15</v>
      </c>
      <c r="G20" s="10">
        <v>99</v>
      </c>
      <c r="H20" s="11"/>
      <c r="I20" s="11"/>
      <c r="J20" s="11"/>
      <c r="K20" s="11"/>
      <c r="L20" s="11"/>
      <c r="M20" s="9"/>
    </row>
    <row r="21" spans="1:13" x14ac:dyDescent="0.25">
      <c r="A21" s="6" t="s">
        <v>19</v>
      </c>
      <c r="B21" s="5" t="s">
        <v>15</v>
      </c>
      <c r="C21" s="10">
        <v>67</v>
      </c>
      <c r="E21" s="6" t="s">
        <v>19</v>
      </c>
      <c r="F21" s="5" t="s">
        <v>15</v>
      </c>
      <c r="G21" s="10">
        <v>67</v>
      </c>
      <c r="H21" s="11"/>
      <c r="I21" s="11"/>
      <c r="J21" s="11"/>
      <c r="K21" s="11"/>
      <c r="L21" s="11"/>
      <c r="M21" s="9"/>
    </row>
    <row r="22" spans="1:13" x14ac:dyDescent="0.25">
      <c r="A22" s="6" t="s">
        <v>90</v>
      </c>
      <c r="B22" s="5" t="s">
        <v>15</v>
      </c>
      <c r="C22" s="10">
        <v>43</v>
      </c>
      <c r="E22" s="6" t="s">
        <v>90</v>
      </c>
      <c r="F22" s="5" t="s">
        <v>15</v>
      </c>
      <c r="G22" s="10">
        <v>47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10">
        <v>200</v>
      </c>
      <c r="E23" s="6" t="s">
        <v>20</v>
      </c>
      <c r="F23" s="5" t="s">
        <v>15</v>
      </c>
      <c r="G23" s="10">
        <v>247</v>
      </c>
      <c r="H23" s="11"/>
      <c r="I23" s="11"/>
      <c r="J23" s="11"/>
      <c r="K23" s="11"/>
      <c r="L23" s="11"/>
      <c r="M23" s="9"/>
    </row>
    <row r="24" spans="1:13" x14ac:dyDescent="0.25">
      <c r="A24" s="6" t="s">
        <v>21</v>
      </c>
      <c r="B24" s="5" t="s">
        <v>15</v>
      </c>
      <c r="C24" s="10">
        <v>23</v>
      </c>
      <c r="E24" s="6" t="s">
        <v>21</v>
      </c>
      <c r="F24" s="5" t="s">
        <v>15</v>
      </c>
      <c r="G24" s="44">
        <v>23</v>
      </c>
      <c r="H24" s="11"/>
      <c r="I24" s="11"/>
      <c r="J24" s="11"/>
      <c r="K24" s="11"/>
      <c r="L24" s="11"/>
      <c r="M24" s="9"/>
    </row>
    <row r="25" spans="1:13" x14ac:dyDescent="0.25">
      <c r="A25" s="6" t="s">
        <v>22</v>
      </c>
      <c r="B25" s="5" t="s">
        <v>15</v>
      </c>
      <c r="C25" s="44">
        <v>14</v>
      </c>
      <c r="E25" s="6" t="s">
        <v>22</v>
      </c>
      <c r="F25" s="5" t="s">
        <v>15</v>
      </c>
      <c r="G25" s="10">
        <v>14</v>
      </c>
      <c r="H25" s="11"/>
      <c r="I25" s="11"/>
      <c r="J25" s="11"/>
      <c r="K25" s="11"/>
      <c r="L25" s="11"/>
      <c r="M25" s="9"/>
    </row>
    <row r="26" spans="1:13" x14ac:dyDescent="0.25">
      <c r="A26" s="6" t="s">
        <v>23</v>
      </c>
      <c r="B26" s="5" t="s">
        <v>15</v>
      </c>
      <c r="C26" s="10">
        <v>9</v>
      </c>
      <c r="E26" s="6" t="s">
        <v>23</v>
      </c>
      <c r="F26" s="5" t="s">
        <v>15</v>
      </c>
      <c r="G26" s="10">
        <v>9</v>
      </c>
      <c r="H26" s="11"/>
      <c r="I26" s="11"/>
      <c r="J26" s="11"/>
      <c r="K26" s="11"/>
      <c r="L26" s="11"/>
      <c r="M26" s="9"/>
    </row>
    <row r="27" spans="1:13" x14ac:dyDescent="0.25">
      <c r="A27" s="6" t="s">
        <v>26</v>
      </c>
      <c r="B27" s="5" t="s">
        <v>25</v>
      </c>
      <c r="C27" s="10">
        <v>901</v>
      </c>
      <c r="E27" s="6" t="s">
        <v>26</v>
      </c>
      <c r="F27" s="5" t="s">
        <v>25</v>
      </c>
      <c r="G27" s="10">
        <v>863</v>
      </c>
      <c r="H27" s="11"/>
      <c r="I27" s="11"/>
      <c r="J27" s="11"/>
      <c r="K27" s="11"/>
      <c r="L27" s="11"/>
      <c r="M27" s="9"/>
    </row>
    <row r="28" spans="1:13" x14ac:dyDescent="0.25">
      <c r="A28" s="6" t="s">
        <v>85</v>
      </c>
      <c r="B28" s="5" t="s">
        <v>25</v>
      </c>
      <c r="C28" s="10">
        <v>300</v>
      </c>
      <c r="E28" s="6" t="s">
        <v>85</v>
      </c>
      <c r="F28" s="5" t="s">
        <v>25</v>
      </c>
      <c r="G28" s="10">
        <v>331</v>
      </c>
      <c r="H28" s="11"/>
      <c r="I28" s="11"/>
      <c r="J28" s="11"/>
      <c r="K28" s="11"/>
      <c r="L28" s="11"/>
      <c r="M28" s="9"/>
    </row>
    <row r="29" spans="1:13" x14ac:dyDescent="0.25">
      <c r="A29" s="6" t="s">
        <v>86</v>
      </c>
      <c r="B29" s="5" t="s">
        <v>25</v>
      </c>
      <c r="C29" s="10">
        <v>425</v>
      </c>
      <c r="E29" s="6" t="s">
        <v>86</v>
      </c>
      <c r="F29" s="5" t="s">
        <v>25</v>
      </c>
      <c r="G29" s="10">
        <v>407</v>
      </c>
      <c r="H29" s="11"/>
      <c r="I29" s="11"/>
      <c r="J29" s="11"/>
      <c r="K29" s="11"/>
      <c r="L29" s="11"/>
      <c r="M29" s="9"/>
    </row>
    <row r="30" spans="1:13" x14ac:dyDescent="0.25">
      <c r="A30" s="6" t="s">
        <v>87</v>
      </c>
      <c r="B30" s="5" t="s">
        <v>25</v>
      </c>
      <c r="C30" s="10">
        <v>62</v>
      </c>
      <c r="E30" s="6" t="s">
        <v>87</v>
      </c>
      <c r="F30" s="5" t="s">
        <v>25</v>
      </c>
      <c r="G30" s="44">
        <v>58</v>
      </c>
      <c r="H30" s="11"/>
      <c r="I30" s="11"/>
      <c r="J30" s="11"/>
      <c r="K30" s="11"/>
      <c r="L30" s="11"/>
      <c r="M30" s="9"/>
    </row>
    <row r="31" spans="1:13" x14ac:dyDescent="0.25">
      <c r="A31" s="6" t="s">
        <v>88</v>
      </c>
      <c r="B31" s="5" t="s">
        <v>25</v>
      </c>
      <c r="C31" s="10">
        <v>114</v>
      </c>
      <c r="E31" s="6" t="s">
        <v>108</v>
      </c>
      <c r="F31" s="5" t="s">
        <v>25</v>
      </c>
      <c r="G31" s="44">
        <v>48</v>
      </c>
      <c r="H31" s="11"/>
      <c r="I31" s="11"/>
      <c r="J31" s="11"/>
      <c r="K31" s="11"/>
      <c r="L31" s="11"/>
      <c r="M31" s="9"/>
    </row>
    <row r="32" spans="1:13" x14ac:dyDescent="0.25">
      <c r="A32" s="6"/>
      <c r="B32" s="5"/>
      <c r="C32" s="44"/>
      <c r="E32" s="6" t="s">
        <v>109</v>
      </c>
      <c r="F32" s="5" t="s">
        <v>25</v>
      </c>
      <c r="G32" s="44">
        <v>19</v>
      </c>
      <c r="H32" s="11"/>
      <c r="I32" s="11"/>
      <c r="J32" s="11"/>
      <c r="K32" s="11"/>
      <c r="L32" s="11"/>
      <c r="M32" s="9"/>
    </row>
    <row r="33" spans="1:13" x14ac:dyDescent="0.25">
      <c r="A33" s="6" t="s">
        <v>89</v>
      </c>
      <c r="B33" s="5" t="s">
        <v>25</v>
      </c>
      <c r="C33" s="44">
        <v>0</v>
      </c>
      <c r="E33" s="6" t="s">
        <v>89</v>
      </c>
      <c r="F33" s="5" t="s">
        <v>25</v>
      </c>
      <c r="G33" s="44">
        <v>0</v>
      </c>
      <c r="H33" s="11"/>
      <c r="I33" s="11"/>
      <c r="J33" s="11"/>
      <c r="K33" s="11"/>
      <c r="L33" s="11"/>
      <c r="M33" s="9"/>
    </row>
    <row r="34" spans="1:13" x14ac:dyDescent="0.25">
      <c r="A34" s="6" t="s">
        <v>27</v>
      </c>
      <c r="B34" s="5" t="s">
        <v>28</v>
      </c>
      <c r="C34" s="10">
        <v>149</v>
      </c>
      <c r="E34" s="6" t="s">
        <v>27</v>
      </c>
      <c r="F34" s="5" t="s">
        <v>28</v>
      </c>
      <c r="G34" s="10">
        <v>146</v>
      </c>
      <c r="H34" s="11"/>
      <c r="I34" s="11"/>
      <c r="J34" s="11"/>
      <c r="K34" s="11"/>
      <c r="L34" s="11"/>
      <c r="M34" s="9"/>
    </row>
    <row r="35" spans="1:13" x14ac:dyDescent="0.25">
      <c r="A35" s="6" t="s">
        <v>29</v>
      </c>
      <c r="B35" s="5" t="s">
        <v>28</v>
      </c>
      <c r="C35" s="44">
        <v>61</v>
      </c>
      <c r="E35" s="6" t="s">
        <v>29</v>
      </c>
      <c r="F35" s="5" t="s">
        <v>28</v>
      </c>
      <c r="G35" s="44">
        <v>63</v>
      </c>
      <c r="H35" s="11"/>
      <c r="I35" s="11"/>
      <c r="J35" s="11"/>
      <c r="K35" s="11"/>
      <c r="L35" s="11"/>
      <c r="M35" s="9"/>
    </row>
    <row r="36" spans="1:13" x14ac:dyDescent="0.25">
      <c r="A36" s="6" t="s">
        <v>30</v>
      </c>
      <c r="B36" s="5" t="s">
        <v>28</v>
      </c>
      <c r="C36" s="44">
        <v>52</v>
      </c>
      <c r="E36" s="5" t="s">
        <v>30</v>
      </c>
      <c r="F36" s="5" t="s">
        <v>28</v>
      </c>
      <c r="G36" s="10">
        <v>49</v>
      </c>
      <c r="H36" s="11"/>
      <c r="I36" s="11"/>
      <c r="J36" s="11"/>
      <c r="K36" s="11"/>
      <c r="L36" s="11"/>
      <c r="M36" s="9"/>
    </row>
    <row r="37" spans="1:13" x14ac:dyDescent="0.25">
      <c r="A37" s="5" t="s">
        <v>31</v>
      </c>
      <c r="B37" s="5" t="s">
        <v>28</v>
      </c>
      <c r="C37" s="10">
        <v>24</v>
      </c>
      <c r="E37" s="5" t="s">
        <v>31</v>
      </c>
      <c r="F37" s="5" t="s">
        <v>28</v>
      </c>
      <c r="G37" s="46">
        <v>24</v>
      </c>
      <c r="H37" s="11"/>
      <c r="I37" s="11"/>
      <c r="J37" s="11"/>
      <c r="K37" s="11"/>
      <c r="L37" s="11"/>
      <c r="M37" s="9"/>
    </row>
    <row r="38" spans="1:13" x14ac:dyDescent="0.25">
      <c r="A38" s="5" t="s">
        <v>32</v>
      </c>
      <c r="B38" s="5" t="s">
        <v>28</v>
      </c>
      <c r="C38" s="10">
        <v>12</v>
      </c>
      <c r="E38" s="5" t="s">
        <v>110</v>
      </c>
      <c r="F38" s="5" t="s">
        <v>28</v>
      </c>
      <c r="G38" s="46">
        <v>7</v>
      </c>
      <c r="H38" s="11"/>
      <c r="I38" s="11"/>
      <c r="J38" s="11"/>
      <c r="K38" s="11"/>
      <c r="L38" s="11"/>
      <c r="M38" s="9"/>
    </row>
    <row r="39" spans="1:13" x14ac:dyDescent="0.25">
      <c r="A39" s="5"/>
      <c r="B39" s="5"/>
      <c r="C39" s="46"/>
      <c r="E39" s="5" t="s">
        <v>111</v>
      </c>
      <c r="F39" s="5" t="s">
        <v>28</v>
      </c>
      <c r="G39" s="10">
        <v>3</v>
      </c>
      <c r="J39" s="12"/>
      <c r="K39" s="9"/>
      <c r="M39" s="9"/>
    </row>
    <row r="40" spans="1:13" x14ac:dyDescent="0.25">
      <c r="A40" s="5" t="s">
        <v>33</v>
      </c>
      <c r="B40" s="5" t="s">
        <v>28</v>
      </c>
      <c r="C40" s="10">
        <v>0</v>
      </c>
      <c r="E40" s="5" t="s">
        <v>33</v>
      </c>
      <c r="F40" s="5" t="s">
        <v>28</v>
      </c>
      <c r="G40" s="10">
        <v>0</v>
      </c>
      <c r="H40" s="13"/>
      <c r="J40" s="12"/>
      <c r="K40" s="9"/>
      <c r="M40" s="9"/>
    </row>
    <row r="41" spans="1:13" x14ac:dyDescent="0.25">
      <c r="A41" s="5" t="s">
        <v>34</v>
      </c>
      <c r="B41" s="5" t="s">
        <v>35</v>
      </c>
      <c r="C41" s="44">
        <v>59.73</v>
      </c>
      <c r="E41" s="5" t="s">
        <v>34</v>
      </c>
      <c r="F41" s="5" t="s">
        <v>35</v>
      </c>
      <c r="G41" s="5">
        <v>61.64</v>
      </c>
      <c r="K41" s="9"/>
      <c r="M41" s="9"/>
    </row>
    <row r="42" spans="1:13" x14ac:dyDescent="0.25">
      <c r="A42" s="5" t="s">
        <v>36</v>
      </c>
      <c r="B42" s="5" t="s">
        <v>28</v>
      </c>
      <c r="C42" s="5">
        <v>7</v>
      </c>
      <c r="E42" s="5" t="s">
        <v>36</v>
      </c>
      <c r="F42" s="5" t="s">
        <v>28</v>
      </c>
      <c r="G42" s="5">
        <v>7</v>
      </c>
      <c r="K42" s="9"/>
    </row>
    <row r="43" spans="1:13" x14ac:dyDescent="0.25">
      <c r="A43" s="5" t="s">
        <v>37</v>
      </c>
      <c r="B43" s="5" t="s">
        <v>25</v>
      </c>
      <c r="C43" s="5">
        <v>6.05</v>
      </c>
      <c r="E43" s="5" t="s">
        <v>37</v>
      </c>
      <c r="F43" s="5" t="s">
        <v>25</v>
      </c>
      <c r="G43" s="5">
        <v>5.91</v>
      </c>
      <c r="K43" s="9"/>
    </row>
    <row r="44" spans="1:13" x14ac:dyDescent="0.25">
      <c r="A44" s="6" t="s">
        <v>38</v>
      </c>
      <c r="B44" s="5" t="s">
        <v>15</v>
      </c>
      <c r="C44" s="10">
        <v>39641</v>
      </c>
      <c r="E44" s="5" t="s">
        <v>38</v>
      </c>
      <c r="F44" s="5" t="s">
        <v>15</v>
      </c>
      <c r="G44" s="10">
        <v>39641</v>
      </c>
      <c r="K44" s="9"/>
    </row>
    <row r="45" spans="1:13" x14ac:dyDescent="0.25">
      <c r="A45" s="6" t="s">
        <v>39</v>
      </c>
      <c r="B45" s="5" t="s">
        <v>40</v>
      </c>
      <c r="C45" s="44">
        <v>7.91</v>
      </c>
      <c r="E45" s="5" t="s">
        <v>39</v>
      </c>
      <c r="F45" s="5" t="s">
        <v>40</v>
      </c>
      <c r="G45" s="5">
        <v>7.91</v>
      </c>
      <c r="K45" s="9"/>
    </row>
    <row r="46" spans="1:13" x14ac:dyDescent="0.25">
      <c r="A46" s="6" t="s">
        <v>41</v>
      </c>
      <c r="B46" s="5" t="s">
        <v>40</v>
      </c>
      <c r="C46" s="44">
        <v>80.19</v>
      </c>
      <c r="E46" s="5" t="s">
        <v>41</v>
      </c>
      <c r="F46" s="5" t="s">
        <v>40</v>
      </c>
      <c r="G46" s="5">
        <v>80.19</v>
      </c>
      <c r="K46" s="9"/>
    </row>
    <row r="47" spans="1:13" x14ac:dyDescent="0.25">
      <c r="A47" s="5" t="s">
        <v>84</v>
      </c>
      <c r="B47" s="5" t="s">
        <v>25</v>
      </c>
      <c r="C47" s="10">
        <v>111</v>
      </c>
      <c r="E47" s="5" t="s">
        <v>84</v>
      </c>
      <c r="F47" s="5" t="s">
        <v>25</v>
      </c>
      <c r="G47" s="5">
        <v>111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95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>IF(C6=0,0%,(G6-C6)/C6)</f>
        <v>4.7505938242280287E-3</v>
      </c>
      <c r="C53" s="1" t="str">
        <f t="shared" ref="C53:C90" si="0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6" t="s">
        <v>7</v>
      </c>
      <c r="B54" s="7">
        <f>IF(C7=0,0%,(G7-C7)/C7)</f>
        <v>-4.0322580645161289E-2</v>
      </c>
      <c r="C54" s="1" t="str">
        <f t="shared" si="0"/>
        <v>FAIL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6" t="s">
        <v>8</v>
      </c>
      <c r="B55" s="7">
        <f>IF(C9=0,0%,(G9-C9)/C9)</f>
        <v>1.5044663845792195E-2</v>
      </c>
      <c r="C55" s="1" t="str">
        <f t="shared" si="0"/>
        <v>FAIL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6" t="s">
        <v>9</v>
      </c>
      <c r="B56" s="7">
        <f>IF(C10=0,0%,(G10-C10)/C10)</f>
        <v>2.5440313111545987E-2</v>
      </c>
      <c r="C56" s="1" t="str">
        <f t="shared" si="0"/>
        <v>FAIL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6" t="s">
        <v>10</v>
      </c>
      <c r="B57" s="7">
        <f>IF(C11=0,0%,(G11-C11)/C11)</f>
        <v>-4.4705882352941179E-2</v>
      </c>
      <c r="C57" s="1" t="str">
        <f t="shared" si="0"/>
        <v>FAIL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11</v>
      </c>
      <c r="B58" s="7">
        <f>IF(C12=0,0%,(G12-C12)/C12)</f>
        <v>0.20289855072463769</v>
      </c>
      <c r="C58" s="1" t="str">
        <f>IF(AND(B58&lt;=0.5%,B58&gt;=-0.5%),"PASS","FAIL")</f>
        <v>FAIL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12</v>
      </c>
      <c r="B59" s="7">
        <f t="shared" ref="B59:B76" si="1">IF(C14=0,0%,(G14-C14)/C14)</f>
        <v>-0.67741935483870963</v>
      </c>
      <c r="C59" s="1" t="str">
        <f t="shared" si="0"/>
        <v>FAIL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13</v>
      </c>
      <c r="B60" s="7">
        <f t="shared" si="1"/>
        <v>-4.8543689320388349E-2</v>
      </c>
      <c r="C60" s="1" t="str">
        <f t="shared" si="0"/>
        <v>FAIL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14</v>
      </c>
      <c r="B61" s="7">
        <f t="shared" si="1"/>
        <v>-0.10602409638554217</v>
      </c>
      <c r="C61" s="1" t="str">
        <f t="shared" si="0"/>
        <v>FAIL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16</v>
      </c>
      <c r="B62" s="7">
        <f t="shared" si="1"/>
        <v>-0.17543859649122806</v>
      </c>
      <c r="C62" s="1" t="str">
        <f t="shared" si="0"/>
        <v>FAIL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17</v>
      </c>
      <c r="B63" s="7">
        <f t="shared" si="1"/>
        <v>-0.44</v>
      </c>
      <c r="C63" s="1" t="str">
        <f t="shared" si="0"/>
        <v>FAIL</v>
      </c>
      <c r="H63" s="11"/>
      <c r="I63" s="11"/>
      <c r="J63" s="12"/>
      <c r="K63" s="11"/>
      <c r="L63" s="11"/>
      <c r="M63" s="9"/>
    </row>
    <row r="64" spans="1:13" x14ac:dyDescent="0.25">
      <c r="A64" s="6" t="s">
        <v>83</v>
      </c>
      <c r="B64" s="7">
        <f t="shared" si="1"/>
        <v>-0.2</v>
      </c>
      <c r="C64" s="1" t="str">
        <f t="shared" si="0"/>
        <v>FAIL</v>
      </c>
      <c r="H64" s="11"/>
      <c r="I64" s="11"/>
      <c r="J64" s="12"/>
      <c r="K64" s="11"/>
      <c r="L64" s="11"/>
      <c r="M64" s="9"/>
    </row>
    <row r="65" spans="1:13" x14ac:dyDescent="0.25">
      <c r="A65" s="6" t="s">
        <v>18</v>
      </c>
      <c r="B65" s="7">
        <f t="shared" si="1"/>
        <v>0</v>
      </c>
      <c r="C65" s="1" t="str">
        <f t="shared" si="0"/>
        <v>PASS</v>
      </c>
      <c r="H65" s="11"/>
      <c r="I65" s="11"/>
      <c r="K65" s="11"/>
      <c r="L65" s="11"/>
      <c r="M65" s="9"/>
    </row>
    <row r="66" spans="1:13" x14ac:dyDescent="0.25">
      <c r="A66" s="6" t="s">
        <v>19</v>
      </c>
      <c r="B66" s="7">
        <f t="shared" si="1"/>
        <v>0</v>
      </c>
      <c r="C66" s="1" t="str">
        <f t="shared" si="0"/>
        <v>PASS</v>
      </c>
      <c r="H66" s="11"/>
      <c r="I66" s="11"/>
      <c r="K66" s="11"/>
      <c r="L66" s="11"/>
      <c r="M66" s="9"/>
    </row>
    <row r="67" spans="1:13" x14ac:dyDescent="0.25">
      <c r="A67" s="6" t="s">
        <v>90</v>
      </c>
      <c r="B67" s="7">
        <f t="shared" si="1"/>
        <v>9.3023255813953487E-2</v>
      </c>
      <c r="C67" s="1" t="str">
        <f t="shared" si="0"/>
        <v>FAIL</v>
      </c>
      <c r="H67" s="11"/>
      <c r="I67" s="11"/>
      <c r="K67" s="11"/>
      <c r="L67" s="11"/>
      <c r="M67" s="9"/>
    </row>
    <row r="68" spans="1:13" x14ac:dyDescent="0.25">
      <c r="A68" s="5" t="s">
        <v>20</v>
      </c>
      <c r="B68" s="7">
        <f t="shared" si="1"/>
        <v>0.23499999999999999</v>
      </c>
      <c r="C68" s="1" t="str">
        <f t="shared" si="0"/>
        <v>FAIL</v>
      </c>
      <c r="G68" s="12"/>
      <c r="H68" s="11"/>
      <c r="I68" s="11"/>
      <c r="K68" s="11"/>
      <c r="L68" s="11"/>
      <c r="M68" s="9"/>
    </row>
    <row r="69" spans="1:13" x14ac:dyDescent="0.25">
      <c r="A69" s="6" t="s">
        <v>21</v>
      </c>
      <c r="B69" s="7">
        <f t="shared" si="1"/>
        <v>0</v>
      </c>
      <c r="C69" s="1" t="str">
        <f t="shared" si="0"/>
        <v>PASS</v>
      </c>
      <c r="H69" s="11"/>
      <c r="I69" s="11"/>
      <c r="K69" s="11"/>
      <c r="L69" s="11"/>
      <c r="M69" s="9"/>
    </row>
    <row r="70" spans="1:13" x14ac:dyDescent="0.25">
      <c r="A70" s="6" t="s">
        <v>22</v>
      </c>
      <c r="B70" s="7">
        <f t="shared" si="1"/>
        <v>0</v>
      </c>
      <c r="C70" s="1" t="str">
        <f t="shared" si="0"/>
        <v>PASS</v>
      </c>
      <c r="H70" s="11"/>
      <c r="I70" s="11"/>
      <c r="J70" s="12"/>
      <c r="K70" s="11"/>
      <c r="L70" s="11"/>
      <c r="M70" s="9"/>
    </row>
    <row r="71" spans="1:13" x14ac:dyDescent="0.25">
      <c r="A71" s="6" t="s">
        <v>23</v>
      </c>
      <c r="B71" s="7">
        <f t="shared" si="1"/>
        <v>0</v>
      </c>
      <c r="C71" s="1" t="str">
        <f t="shared" si="0"/>
        <v>PASS</v>
      </c>
      <c r="H71" s="11"/>
      <c r="I71" s="11"/>
      <c r="J71" s="12"/>
      <c r="K71" s="11"/>
      <c r="L71" s="11"/>
      <c r="M71" s="9"/>
    </row>
    <row r="72" spans="1:13" x14ac:dyDescent="0.25">
      <c r="A72" s="6" t="s">
        <v>26</v>
      </c>
      <c r="B72" s="7">
        <f t="shared" si="1"/>
        <v>-4.2175360710321866E-2</v>
      </c>
      <c r="C72" s="1" t="str">
        <f t="shared" si="0"/>
        <v>FAIL</v>
      </c>
      <c r="H72" s="11"/>
      <c r="I72" s="11"/>
      <c r="K72" s="11"/>
      <c r="L72" s="11"/>
      <c r="M72" s="9"/>
    </row>
    <row r="73" spans="1:13" x14ac:dyDescent="0.25">
      <c r="A73" s="6" t="s">
        <v>85</v>
      </c>
      <c r="B73" s="7">
        <f t="shared" si="1"/>
        <v>0.10333333333333333</v>
      </c>
      <c r="C73" s="1" t="str">
        <f t="shared" si="0"/>
        <v>FAIL</v>
      </c>
      <c r="H73" s="11"/>
      <c r="I73" s="11"/>
      <c r="K73" s="11"/>
      <c r="L73" s="11"/>
      <c r="M73" s="9"/>
    </row>
    <row r="74" spans="1:13" x14ac:dyDescent="0.25">
      <c r="A74" s="6" t="s">
        <v>86</v>
      </c>
      <c r="B74" s="7">
        <f t="shared" si="1"/>
        <v>-4.2352941176470586E-2</v>
      </c>
      <c r="C74" s="1" t="str">
        <f t="shared" si="0"/>
        <v>FAIL</v>
      </c>
      <c r="H74" s="11"/>
      <c r="I74" s="11"/>
      <c r="K74" s="11"/>
      <c r="L74" s="11"/>
      <c r="M74" s="9"/>
    </row>
    <row r="75" spans="1:13" x14ac:dyDescent="0.25">
      <c r="A75" s="6" t="s">
        <v>87</v>
      </c>
      <c r="B75" s="7">
        <f t="shared" si="1"/>
        <v>-6.4516129032258063E-2</v>
      </c>
      <c r="C75" s="1" t="str">
        <f t="shared" si="0"/>
        <v>FAIL</v>
      </c>
      <c r="H75" s="11"/>
      <c r="I75" s="11"/>
      <c r="K75" s="11"/>
      <c r="L75" s="11"/>
      <c r="M75" s="9"/>
    </row>
    <row r="76" spans="1:13" x14ac:dyDescent="0.25">
      <c r="A76" s="6" t="s">
        <v>88</v>
      </c>
      <c r="B76" s="7">
        <f t="shared" si="1"/>
        <v>-0.57894736842105265</v>
      </c>
      <c r="C76" s="1" t="str">
        <f t="shared" si="0"/>
        <v>FAIL</v>
      </c>
      <c r="H76" s="11"/>
      <c r="I76" s="11"/>
      <c r="K76" s="11"/>
      <c r="L76" s="11"/>
      <c r="M76" s="9"/>
    </row>
    <row r="77" spans="1:13" x14ac:dyDescent="0.25">
      <c r="A77" s="6" t="s">
        <v>89</v>
      </c>
      <c r="B77" s="7">
        <f t="shared" ref="B77:B82" si="2">IF(C33=0,0%,(G33-C33)/C33)</f>
        <v>0</v>
      </c>
      <c r="C77" s="1" t="str">
        <f t="shared" si="0"/>
        <v>PASS</v>
      </c>
      <c r="H77" s="11"/>
      <c r="I77" s="11"/>
      <c r="K77" s="11"/>
      <c r="L77" s="11"/>
      <c r="M77" s="9"/>
    </row>
    <row r="78" spans="1:13" x14ac:dyDescent="0.25">
      <c r="A78" s="6" t="s">
        <v>27</v>
      </c>
      <c r="B78" s="7">
        <f t="shared" si="2"/>
        <v>-2.0134228187919462E-2</v>
      </c>
      <c r="C78" s="1" t="str">
        <f t="shared" si="0"/>
        <v>FAIL</v>
      </c>
      <c r="G78" s="12"/>
      <c r="H78" s="11"/>
      <c r="I78" s="11"/>
      <c r="K78" s="11"/>
      <c r="L78" s="11"/>
      <c r="M78" s="9"/>
    </row>
    <row r="79" spans="1:13" x14ac:dyDescent="0.25">
      <c r="A79" s="6" t="s">
        <v>29</v>
      </c>
      <c r="B79" s="7">
        <f t="shared" si="2"/>
        <v>3.2786885245901641E-2</v>
      </c>
      <c r="C79" s="1" t="str">
        <f t="shared" si="0"/>
        <v>FAIL</v>
      </c>
      <c r="M79" s="9"/>
    </row>
    <row r="80" spans="1:13" x14ac:dyDescent="0.25">
      <c r="A80" s="6" t="s">
        <v>30</v>
      </c>
      <c r="B80" s="7">
        <f t="shared" si="2"/>
        <v>-5.7692307692307696E-2</v>
      </c>
      <c r="C80" s="1" t="str">
        <f t="shared" si="0"/>
        <v>FAIL</v>
      </c>
      <c r="J80" s="12"/>
      <c r="M80" s="9"/>
    </row>
    <row r="81" spans="1:13" x14ac:dyDescent="0.25">
      <c r="A81" s="5" t="s">
        <v>31</v>
      </c>
      <c r="B81" s="7">
        <f t="shared" si="2"/>
        <v>0</v>
      </c>
      <c r="C81" s="1" t="str">
        <f t="shared" si="0"/>
        <v>PASS</v>
      </c>
      <c r="M81" s="9"/>
    </row>
    <row r="82" spans="1:13" x14ac:dyDescent="0.25">
      <c r="A82" s="5" t="s">
        <v>32</v>
      </c>
      <c r="B82" s="7">
        <f t="shared" si="2"/>
        <v>-0.41666666666666669</v>
      </c>
      <c r="C82" s="1" t="str">
        <f t="shared" si="0"/>
        <v>FAIL</v>
      </c>
    </row>
    <row r="83" spans="1:13" x14ac:dyDescent="0.25">
      <c r="A83" s="5" t="s">
        <v>33</v>
      </c>
      <c r="B83" s="7">
        <f t="shared" ref="B83:B90" si="3">IF(C40=0,0%,(G40-C40)/C40)</f>
        <v>0</v>
      </c>
      <c r="C83" s="1" t="str">
        <f t="shared" si="0"/>
        <v>PASS</v>
      </c>
    </row>
    <row r="84" spans="1:13" x14ac:dyDescent="0.25">
      <c r="A84" s="5" t="s">
        <v>34</v>
      </c>
      <c r="B84" s="7">
        <f t="shared" si="3"/>
        <v>3.1977230872258559E-2</v>
      </c>
      <c r="C84" s="1" t="str">
        <f t="shared" si="0"/>
        <v>FAIL</v>
      </c>
    </row>
    <row r="85" spans="1:13" x14ac:dyDescent="0.25">
      <c r="A85" s="5" t="s">
        <v>36</v>
      </c>
      <c r="B85" s="7">
        <f t="shared" si="3"/>
        <v>0</v>
      </c>
      <c r="C85" s="1" t="str">
        <f t="shared" si="0"/>
        <v>PASS</v>
      </c>
    </row>
    <row r="86" spans="1:13" x14ac:dyDescent="0.25">
      <c r="A86" s="5" t="s">
        <v>37</v>
      </c>
      <c r="B86" s="7">
        <f t="shared" si="3"/>
        <v>-2.3140495867768542E-2</v>
      </c>
      <c r="C86" s="1" t="str">
        <f t="shared" si="0"/>
        <v>FAIL</v>
      </c>
    </row>
    <row r="87" spans="1:13" x14ac:dyDescent="0.25">
      <c r="A87" s="6" t="s">
        <v>38</v>
      </c>
      <c r="B87" s="7">
        <f>IF(C44=0,0%,(G44-C44)/C44)</f>
        <v>0</v>
      </c>
      <c r="C87" s="1" t="str">
        <f>IF(AND(B87&lt;=0.5%,B87&gt;=-0.5%),"PASS","FAIL")</f>
        <v>PASS</v>
      </c>
    </row>
    <row r="88" spans="1:13" x14ac:dyDescent="0.25">
      <c r="A88" s="6" t="s">
        <v>39</v>
      </c>
      <c r="B88" s="7">
        <f t="shared" si="3"/>
        <v>0</v>
      </c>
      <c r="C88" s="1" t="str">
        <f t="shared" si="0"/>
        <v>PASS</v>
      </c>
    </row>
    <row r="89" spans="1:13" x14ac:dyDescent="0.25">
      <c r="A89" s="6" t="s">
        <v>41</v>
      </c>
      <c r="B89" s="7">
        <f t="shared" si="3"/>
        <v>0</v>
      </c>
      <c r="C89" s="1" t="str">
        <f t="shared" si="0"/>
        <v>PASS</v>
      </c>
    </row>
    <row r="90" spans="1:13" x14ac:dyDescent="0.25">
      <c r="A90" s="5" t="s">
        <v>84</v>
      </c>
      <c r="B90" s="7">
        <f t="shared" si="3"/>
        <v>0</v>
      </c>
      <c r="C90" s="1" t="str">
        <f t="shared" si="0"/>
        <v>PASS</v>
      </c>
    </row>
  </sheetData>
  <mergeCells count="2">
    <mergeCell ref="A1:C1"/>
    <mergeCell ref="A2:C2"/>
  </mergeCells>
  <conditionalFormatting sqref="C52:C90">
    <cfRule type="containsText" dxfId="1" priority="2" operator="containsText" text="PASS">
      <formula>NOT(ISERROR(SEARCH("PASS",C52)))</formula>
    </cfRule>
  </conditionalFormatting>
  <conditionalFormatting sqref="C52:C90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5" t="s">
        <v>65</v>
      </c>
      <c r="B1" s="65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asshrestha</cp:lastModifiedBy>
  <dcterms:created xsi:type="dcterms:W3CDTF">2015-03-18T06:10:04Z</dcterms:created>
  <dcterms:modified xsi:type="dcterms:W3CDTF">2017-02-28T10:04:06Z</dcterms:modified>
</cp:coreProperties>
</file>