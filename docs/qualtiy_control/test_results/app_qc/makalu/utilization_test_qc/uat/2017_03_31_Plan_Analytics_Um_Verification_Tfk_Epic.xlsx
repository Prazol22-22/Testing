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44525"/>
</workbook>
</file>

<file path=xl/calcChain.xml><?xml version="1.0" encoding="utf-8"?>
<calcChain xmlns="http://schemas.openxmlformats.org/spreadsheetml/2006/main">
  <c r="B53" i="7" l="1"/>
  <c r="C53" i="7" s="1"/>
  <c r="B54" i="7"/>
  <c r="C54" i="7" s="1"/>
  <c r="B55" i="7"/>
  <c r="C55" i="7" s="1"/>
  <c r="B56" i="7"/>
  <c r="C56" i="7" s="1"/>
  <c r="B57" i="7"/>
  <c r="C57" i="7" s="1"/>
  <c r="B58" i="7"/>
  <c r="C58" i="7" s="1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6" i="7"/>
  <c r="C76" i="7" s="1"/>
  <c r="B77" i="7"/>
  <c r="C77" i="7" s="1"/>
  <c r="B78" i="7"/>
  <c r="C78" i="7" s="1"/>
  <c r="B79" i="7"/>
  <c r="C79" i="7" s="1"/>
  <c r="B80" i="7"/>
  <c r="C80" i="7" s="1"/>
  <c r="B81" i="7"/>
  <c r="C81" i="7" s="1"/>
  <c r="B82" i="7"/>
  <c r="C82" i="7" s="1"/>
  <c r="B83" i="7"/>
  <c r="C83" i="7" s="1"/>
  <c r="B84" i="7"/>
  <c r="C84" i="7" s="1"/>
  <c r="B85" i="7"/>
  <c r="C85" i="7" s="1"/>
  <c r="B86" i="7"/>
  <c r="C86" i="7" s="1"/>
  <c r="B87" i="7"/>
  <c r="C87" i="7" s="1"/>
  <c r="B88" i="7"/>
  <c r="C88" i="7" s="1"/>
  <c r="B89" i="7"/>
  <c r="C89" i="7" s="1"/>
  <c r="B90" i="7"/>
  <c r="C90" i="7" s="1"/>
  <c r="B91" i="7"/>
  <c r="C91" i="7" s="1"/>
  <c r="B92" i="7"/>
  <c r="C92" i="7" s="1"/>
  <c r="B93" i="7"/>
  <c r="C93" i="7" s="1"/>
  <c r="B94" i="7"/>
  <c r="C94" i="7" s="1"/>
  <c r="B52" i="7"/>
  <c r="C52" i="7" s="1"/>
  <c r="B40" i="5" l="1"/>
  <c r="C40" i="5" s="1"/>
  <c r="B51" i="5"/>
  <c r="B52" i="5"/>
  <c r="C52" i="5" s="1"/>
  <c r="B53" i="5"/>
  <c r="C53" i="5" s="1"/>
  <c r="B54" i="5"/>
  <c r="C54" i="5" s="1"/>
  <c r="B55" i="5"/>
  <c r="B56" i="5"/>
  <c r="C56" i="5" s="1"/>
  <c r="B57" i="5"/>
  <c r="C57" i="5" s="1"/>
  <c r="B58" i="5"/>
  <c r="C58" i="5" s="1"/>
  <c r="B59" i="5"/>
  <c r="B60" i="5"/>
  <c r="C60" i="5" s="1"/>
  <c r="B61" i="5"/>
  <c r="C61" i="5" s="1"/>
  <c r="B62" i="5"/>
  <c r="C62" i="5" s="1"/>
  <c r="B63" i="5"/>
  <c r="B64" i="5"/>
  <c r="C64" i="5" s="1"/>
  <c r="B65" i="5"/>
  <c r="C65" i="5" s="1"/>
  <c r="B66" i="5"/>
  <c r="C66" i="5" s="1"/>
  <c r="B67" i="5"/>
  <c r="B68" i="5"/>
  <c r="C68" i="5" s="1"/>
  <c r="B69" i="5"/>
  <c r="C69" i="5" s="1"/>
  <c r="B70" i="5"/>
  <c r="C7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C51" i="5"/>
  <c r="C55" i="5"/>
  <c r="C59" i="5"/>
  <c r="C63" i="5"/>
  <c r="C67" i="5"/>
  <c r="B39" i="5"/>
  <c r="C39" i="5" s="1"/>
</calcChain>
</file>

<file path=xl/sharedStrings.xml><?xml version="1.0" encoding="utf-8"?>
<sst xmlns="http://schemas.openxmlformats.org/spreadsheetml/2006/main" count="452" uniqueCount="109">
  <si>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</si>
  <si>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</si>
  <si>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</si>
  <si>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</si>
  <si>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</si>
  <si>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</si>
  <si>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</si>
  <si>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</si>
  <si>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</si>
  <si>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</si>
  <si>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</si>
  <si>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</si>
  <si>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</si>
  <si>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</si>
  <si>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</si>
  <si>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</si>
  <si>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</si>
  <si>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</si>
  <si>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</si>
  <si>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</si>
  <si>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</si>
  <si>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</si>
  <si>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</si>
  <si>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</si>
  <si>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</si>
  <si>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</si>
  <si>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</si>
  <si>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</si>
  <si>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</si>
  <si>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</si>
  <si>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</si>
  <si>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</si>
  <si>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</si>
  <si>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</si>
  <si>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</si>
  <si>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</si>
  <si>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</si>
  <si>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</si>
  <si>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</si>
  <si>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</si>
  <si>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</si>
  <si>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</si>
  <si>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</si>
  <si>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</si>
  <si>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</si>
  <si>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</si>
  <si>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</si>
  <si>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</si>
  <si>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</si>
  <si>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</si>
  <si>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</si>
  <si>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</si>
  <si>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</si>
  <si>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</si>
  <si>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</si>
  <si>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</si>
  <si>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</si>
  <si>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</si>
  <si>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</si>
  <si>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</si>
  <si>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</si>
  <si>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</si>
  <si>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</si>
  <si>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</si>
  <si>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</si>
  <si>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</si>
  <si>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</si>
  <si>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</si>
  <si>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</si>
  <si>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</si>
  <si>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</si>
  <si>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</si>
  <si>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</si>
  <si>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</si>
  <si>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</si>
  <si>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</si>
  <si>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</si>
  <si>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</si>
  <si>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</si>
  <si>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</si>
  <si>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</si>
  <si>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</si>
  <si>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</si>
  <si>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</si>
  <si>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</si>
  <si>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</si>
  <si>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</si>
  <si>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</si>
  <si>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NICU Inpatient Days</t>
  </si>
  <si>
    <t>Colonscopies</t>
  </si>
  <si>
    <t>Access Health</t>
  </si>
  <si>
    <t>BOB</t>
  </si>
  <si>
    <t>Summary</t>
  </si>
  <si>
    <t>Cycle Date: UAT</t>
  </si>
  <si>
    <t>Cycle Date: Production</t>
  </si>
  <si>
    <t>https://epicbenefitsdata.pa.uat.deerwalk.com</t>
  </si>
  <si>
    <t>AsmitaS</t>
  </si>
  <si>
    <t>Retail Clinic Visits</t>
  </si>
  <si>
    <t>Substance Abuse Office Visits</t>
  </si>
  <si>
    <t>Mental Health Inpatient Days</t>
  </si>
  <si>
    <t>Substance Abuse Inpatient Days</t>
  </si>
  <si>
    <t>Mental Health Admissions</t>
  </si>
  <si>
    <t>Substance Abuse Admissions</t>
  </si>
  <si>
    <t>Makalu Result (Last Processing - Production ) v6.1</t>
  </si>
  <si>
    <t>Makalu Result (Current Processing - UAT) v6.2 (Excluding Enervest)</t>
  </si>
  <si>
    <t>6.1 vs 6.2</t>
  </si>
  <si>
    <t>Sep 2014 - Feb 2015</t>
  </si>
  <si>
    <t>March 01, 2012 to February 28, 2017</t>
  </si>
  <si>
    <t>February 01, 2012 to January 31,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</si>
</sst>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picbenefitsdata.pa.uat.deerwalk.com/" TargetMode="External"/><Relationship Id="rId1" Type="http://schemas.openxmlformats.org/officeDocument/2006/relationships/hyperlink" Target="https://epicbenefitsdata.pa.uat.deerwalk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80" zoomScaleNormal="80" workbookViewId="0">
      <selection sqref="A1:B1"/>
    </sheetView>
  </sheetViews>
  <sheetFormatPr defaultRowHeight="12.75" x14ac:dyDescent="0.2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 x14ac:dyDescent="0.25">
      <c r="A1" s="52" t="s">
        <v>92</v>
      </c>
      <c r="B1" s="53"/>
    </row>
    <row r="2" spans="1:6" x14ac:dyDescent="0.25">
      <c r="A2" s="15" t="s">
        <v>45</v>
      </c>
      <c r="B2" s="16" t="s">
        <v>90</v>
      </c>
      <c r="C2" s="17"/>
    </row>
    <row r="3" spans="1:6" x14ac:dyDescent="0.25">
      <c r="A3" s="18" t="s">
        <v>47</v>
      </c>
      <c r="B3" s="19" t="s">
        <v>46</v>
      </c>
      <c r="C3" s="17"/>
    </row>
    <row r="4" spans="1:6" x14ac:dyDescent="0.25">
      <c r="A4" s="18" t="s">
        <v>48</v>
      </c>
      <c r="B4" s="20" t="s">
        <v>79</v>
      </c>
      <c r="C4" s="17"/>
    </row>
    <row r="5" spans="1:6" ht="15" customHeight="1" x14ac:dyDescent="0.25">
      <c r="A5" s="18" t="s">
        <v>93</v>
      </c>
      <c r="B5" s="20" t="s">
        <v>107</v>
      </c>
      <c r="C5" s="17"/>
    </row>
    <row r="6" spans="1:6" x14ac:dyDescent="0.25">
      <c r="A6" s="18" t="s">
        <v>94</v>
      </c>
      <c r="B6" s="20" t="s">
        <v>108</v>
      </c>
      <c r="C6" s="17"/>
    </row>
    <row r="7" spans="1:6" ht="12" customHeight="1" x14ac:dyDescent="0.25">
      <c r="A7" s="18" t="s">
        <v>80</v>
      </c>
      <c r="B7" s="21" t="s">
        <v>106</v>
      </c>
      <c r="C7" s="45"/>
    </row>
    <row r="8" spans="1:6" x14ac:dyDescent="0.25">
      <c r="A8" s="18" t="s">
        <v>49</v>
      </c>
      <c r="B8" s="19" t="s">
        <v>105</v>
      </c>
      <c r="C8" s="45"/>
    </row>
    <row r="9" spans="1:6" x14ac:dyDescent="0.25">
      <c r="A9" s="22"/>
      <c r="B9" s="22"/>
    </row>
    <row r="10" spans="1:6" s="24" customFormat="1" x14ac:dyDescent="0.25">
      <c r="A10" s="23" t="s">
        <v>50</v>
      </c>
    </row>
    <row r="11" spans="1:6" s="24" customFormat="1" x14ac:dyDescent="0.25"/>
    <row r="12" spans="1:6" s="24" customFormat="1" x14ac:dyDescent="0.25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 x14ac:dyDescent="0.25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 x14ac:dyDescent="0.25">
      <c r="A14" s="29"/>
      <c r="B14" s="27"/>
      <c r="C14" s="28"/>
      <c r="D14" s="28"/>
      <c r="E14" s="28"/>
      <c r="F14" s="28"/>
    </row>
    <row r="16" spans="1:6" s="24" customFormat="1" x14ac:dyDescent="0.25">
      <c r="A16" s="23" t="s">
        <v>56</v>
      </c>
    </row>
    <row r="17" spans="1:6" s="24" customFormat="1" x14ac:dyDescent="0.25"/>
    <row r="18" spans="1:6" s="24" customFormat="1" x14ac:dyDescent="0.25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 x14ac:dyDescent="0.25">
      <c r="A19" s="55">
        <v>42825</v>
      </c>
      <c r="B19" s="54">
        <v>42825</v>
      </c>
      <c r="C19" s="49" t="s">
        <v>95</v>
      </c>
      <c r="D19" s="57" t="s">
        <v>96</v>
      </c>
      <c r="E19" s="59" t="s">
        <v>43</v>
      </c>
      <c r="F19" s="50"/>
    </row>
    <row r="20" spans="1:6" s="24" customFormat="1" ht="18" customHeight="1" x14ac:dyDescent="0.25">
      <c r="A20" s="56"/>
      <c r="B20" s="54"/>
      <c r="C20" s="49" t="s">
        <v>95</v>
      </c>
      <c r="D20" s="58"/>
      <c r="E20" s="60"/>
      <c r="F20" s="51"/>
    </row>
    <row r="27" spans="1:6" x14ac:dyDescent="0.2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hyperlinks>
    <hyperlink ref="C19" r:id="rId1"/>
    <hyperlink ref="C20" r:id="rId2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info!$A$3:$A$9</xm:f>
          </x14:formula1>
          <xm:sqref>E17</xm:sqref>
        </x14:dataValidation>
        <x14:dataValidation type="list" allowBlank="1" showInputMessage="1" showErrorMessage="1">
          <x14:formula1>
            <xm:f>info!A3:A10</xm:f>
          </x14:formula1>
          <xm:sqref>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showGridLines="0" zoomScale="82" zoomScaleNormal="82" workbookViewId="0">
      <selection activeCell="B40" sqref="B40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 x14ac:dyDescent="0.25">
      <c r="A1" s="61" t="s">
        <v>64</v>
      </c>
      <c r="B1" s="61"/>
    </row>
    <row r="2" spans="1:13" x14ac:dyDescent="0.25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 x14ac:dyDescent="0.25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 x14ac:dyDescent="0.25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 x14ac:dyDescent="0.25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 x14ac:dyDescent="0.25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 x14ac:dyDescent="0.25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 x14ac:dyDescent="0.25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 x14ac:dyDescent="0.25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 x14ac:dyDescent="0.25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 x14ac:dyDescent="0.25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 x14ac:dyDescent="0.25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 x14ac:dyDescent="0.25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 x14ac:dyDescent="0.25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 x14ac:dyDescent="0.25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 x14ac:dyDescent="0.25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 x14ac:dyDescent="0.25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 x14ac:dyDescent="0.25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 x14ac:dyDescent="0.25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 x14ac:dyDescent="0.25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 x14ac:dyDescent="0.25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 x14ac:dyDescent="0.25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 x14ac:dyDescent="0.25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 x14ac:dyDescent="0.25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 x14ac:dyDescent="0.25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 x14ac:dyDescent="0.25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 x14ac:dyDescent="0.25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 x14ac:dyDescent="0.25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 x14ac:dyDescent="0.25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 x14ac:dyDescent="0.25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 x14ac:dyDescent="0.25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 x14ac:dyDescent="0.25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 x14ac:dyDescent="0.25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 x14ac:dyDescent="0.25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 x14ac:dyDescent="0.25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 x14ac:dyDescent="0.25">
      <c r="E36" s="4"/>
      <c r="F36" s="4"/>
      <c r="G36" s="4"/>
      <c r="K36" s="9"/>
    </row>
    <row r="37" spans="1:13" x14ac:dyDescent="0.25">
      <c r="A37" s="31" t="s">
        <v>78</v>
      </c>
      <c r="B37" s="32"/>
      <c r="C37" s="33"/>
      <c r="H37" s="4"/>
    </row>
    <row r="38" spans="1:13" ht="25.5" x14ac:dyDescent="0.25">
      <c r="A38" s="3" t="s">
        <v>0</v>
      </c>
      <c r="B38" s="3" t="s">
        <v>2</v>
      </c>
      <c r="C38" s="3" t="s">
        <v>42</v>
      </c>
    </row>
    <row r="39" spans="1:13" x14ac:dyDescent="0.25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 x14ac:dyDescent="0.25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 x14ac:dyDescent="0.25">
      <c r="A41" s="6" t="s">
        <v>7</v>
      </c>
      <c r="B41" s="47">
        <f t="shared" si="0"/>
        <v>0</v>
      </c>
      <c r="C41" s="1" t="str">
        <f t="shared" si="1"/>
        <v>PASS</v>
      </c>
    </row>
    <row r="42" spans="1:13" x14ac:dyDescent="0.25">
      <c r="A42" s="6" t="s">
        <v>8</v>
      </c>
      <c r="B42" s="47">
        <f t="shared" si="0"/>
        <v>0</v>
      </c>
      <c r="C42" s="1" t="str">
        <f t="shared" si="1"/>
        <v>PASS</v>
      </c>
    </row>
    <row r="43" spans="1:13" x14ac:dyDescent="0.25">
      <c r="A43" s="6" t="s">
        <v>9</v>
      </c>
      <c r="B43" s="47">
        <f t="shared" si="0"/>
        <v>0</v>
      </c>
      <c r="C43" s="1" t="str">
        <f t="shared" si="1"/>
        <v>PASS</v>
      </c>
    </row>
    <row r="44" spans="1:13" x14ac:dyDescent="0.25">
      <c r="A44" s="6" t="s">
        <v>10</v>
      </c>
      <c r="B44" s="47">
        <f t="shared" si="0"/>
        <v>0</v>
      </c>
      <c r="C44" s="1" t="str">
        <f t="shared" si="1"/>
        <v>PASS</v>
      </c>
    </row>
    <row r="45" spans="1:13" x14ac:dyDescent="0.25">
      <c r="A45" s="5" t="s">
        <v>11</v>
      </c>
      <c r="B45" s="47">
        <f t="shared" si="0"/>
        <v>0</v>
      </c>
      <c r="C45" s="1" t="str">
        <f t="shared" si="1"/>
        <v>PASS</v>
      </c>
    </row>
    <row r="46" spans="1:13" x14ac:dyDescent="0.25">
      <c r="A46" s="5" t="s">
        <v>12</v>
      </c>
      <c r="B46" s="47">
        <f t="shared" si="0"/>
        <v>0</v>
      </c>
      <c r="C46" s="1" t="str">
        <f t="shared" si="1"/>
        <v>PASS</v>
      </c>
    </row>
    <row r="47" spans="1:13" x14ac:dyDescent="0.25">
      <c r="A47" s="5" t="s">
        <v>13</v>
      </c>
      <c r="B47" s="47">
        <f t="shared" si="0"/>
        <v>0</v>
      </c>
      <c r="C47" s="1" t="str">
        <f t="shared" si="1"/>
        <v>PASS</v>
      </c>
    </row>
    <row r="48" spans="1:13" x14ac:dyDescent="0.25">
      <c r="A48" s="5" t="s">
        <v>14</v>
      </c>
      <c r="B48" s="47">
        <f t="shared" si="0"/>
        <v>0</v>
      </c>
      <c r="C48" s="1" t="str">
        <f t="shared" si="1"/>
        <v>PASS</v>
      </c>
    </row>
    <row r="49" spans="1:3" x14ac:dyDescent="0.25">
      <c r="A49" s="5" t="s">
        <v>16</v>
      </c>
      <c r="B49" s="47">
        <f t="shared" si="0"/>
        <v>0</v>
      </c>
      <c r="C49" s="1" t="str">
        <f t="shared" si="1"/>
        <v>PASS</v>
      </c>
    </row>
    <row r="50" spans="1:3" x14ac:dyDescent="0.25">
      <c r="A50" s="5" t="s">
        <v>17</v>
      </c>
      <c r="B50" s="47">
        <f t="shared" si="0"/>
        <v>0</v>
      </c>
      <c r="C50" s="1" t="str">
        <f t="shared" si="1"/>
        <v>PASS</v>
      </c>
    </row>
    <row r="51" spans="1:3" x14ac:dyDescent="0.25">
      <c r="A51" s="6" t="s">
        <v>18</v>
      </c>
      <c r="B51" s="47">
        <f t="shared" si="0"/>
        <v>0</v>
      </c>
      <c r="C51" s="1" t="str">
        <f t="shared" si="1"/>
        <v>PASS</v>
      </c>
    </row>
    <row r="52" spans="1:3" x14ac:dyDescent="0.25">
      <c r="A52" s="6" t="s">
        <v>19</v>
      </c>
      <c r="B52" s="47">
        <f t="shared" si="0"/>
        <v>0</v>
      </c>
      <c r="C52" s="1" t="str">
        <f t="shared" si="1"/>
        <v>PASS</v>
      </c>
    </row>
    <row r="53" spans="1:3" x14ac:dyDescent="0.25">
      <c r="A53" s="6" t="s">
        <v>20</v>
      </c>
      <c r="B53" s="47">
        <f t="shared" si="0"/>
        <v>0</v>
      </c>
      <c r="C53" s="1" t="str">
        <f t="shared" si="1"/>
        <v>PASS</v>
      </c>
    </row>
    <row r="54" spans="1:3" x14ac:dyDescent="0.25">
      <c r="A54" s="5" t="s">
        <v>21</v>
      </c>
      <c r="B54" s="47">
        <f t="shared" si="0"/>
        <v>0</v>
      </c>
      <c r="C54" s="1" t="str">
        <f t="shared" si="1"/>
        <v>PASS</v>
      </c>
    </row>
    <row r="55" spans="1:3" x14ac:dyDescent="0.25">
      <c r="A55" s="6" t="s">
        <v>22</v>
      </c>
      <c r="B55" s="47">
        <f t="shared" si="0"/>
        <v>0</v>
      </c>
      <c r="C55" s="1" t="str">
        <f t="shared" si="1"/>
        <v>PASS</v>
      </c>
    </row>
    <row r="56" spans="1:3" x14ac:dyDescent="0.25">
      <c r="A56" s="6" t="s">
        <v>23</v>
      </c>
      <c r="B56" s="47">
        <f t="shared" si="0"/>
        <v>0</v>
      </c>
      <c r="C56" s="1" t="str">
        <f t="shared" si="1"/>
        <v>PASS</v>
      </c>
    </row>
    <row r="57" spans="1:3" x14ac:dyDescent="0.25">
      <c r="A57" s="6" t="s">
        <v>24</v>
      </c>
      <c r="B57" s="47">
        <f t="shared" si="0"/>
        <v>0</v>
      </c>
      <c r="C57" s="1" t="str">
        <f t="shared" si="1"/>
        <v>PASS</v>
      </c>
    </row>
    <row r="58" spans="1:3" x14ac:dyDescent="0.25">
      <c r="A58" s="6" t="s">
        <v>26</v>
      </c>
      <c r="B58" s="47">
        <f t="shared" si="0"/>
        <v>0</v>
      </c>
      <c r="C58" s="1" t="str">
        <f t="shared" si="1"/>
        <v>PASS</v>
      </c>
    </row>
    <row r="59" spans="1:3" x14ac:dyDescent="0.25">
      <c r="A59" s="6" t="s">
        <v>27</v>
      </c>
      <c r="B59" s="47">
        <f t="shared" si="0"/>
        <v>0</v>
      </c>
      <c r="C59" s="1" t="str">
        <f t="shared" si="1"/>
        <v>PASS</v>
      </c>
    </row>
    <row r="60" spans="1:3" x14ac:dyDescent="0.25">
      <c r="A60" s="6" t="s">
        <v>29</v>
      </c>
      <c r="B60" s="47">
        <f t="shared" si="0"/>
        <v>0</v>
      </c>
      <c r="C60" s="1" t="str">
        <f t="shared" si="1"/>
        <v>PASS</v>
      </c>
    </row>
    <row r="61" spans="1:3" x14ac:dyDescent="0.25">
      <c r="A61" s="6" t="s">
        <v>30</v>
      </c>
      <c r="B61" s="47">
        <f t="shared" si="0"/>
        <v>0</v>
      </c>
      <c r="C61" s="1" t="str">
        <f t="shared" si="1"/>
        <v>PASS</v>
      </c>
    </row>
    <row r="62" spans="1:3" x14ac:dyDescent="0.25">
      <c r="A62" s="6" t="s">
        <v>31</v>
      </c>
      <c r="B62" s="47">
        <f t="shared" si="0"/>
        <v>0</v>
      </c>
      <c r="C62" s="1" t="str">
        <f t="shared" si="1"/>
        <v>PASS</v>
      </c>
    </row>
    <row r="63" spans="1:3" x14ac:dyDescent="0.25">
      <c r="A63" s="6" t="s">
        <v>32</v>
      </c>
      <c r="B63" s="47">
        <f t="shared" si="0"/>
        <v>0</v>
      </c>
      <c r="C63" s="1" t="str">
        <f t="shared" si="1"/>
        <v>PASS</v>
      </c>
    </row>
    <row r="64" spans="1:3" x14ac:dyDescent="0.25">
      <c r="A64" s="6" t="s">
        <v>33</v>
      </c>
      <c r="B64" s="47">
        <f t="shared" si="0"/>
        <v>0</v>
      </c>
      <c r="C64" s="1" t="str">
        <f t="shared" si="1"/>
        <v>PASS</v>
      </c>
    </row>
    <row r="65" spans="1:3" x14ac:dyDescent="0.25">
      <c r="A65" s="6" t="s">
        <v>34</v>
      </c>
      <c r="B65" s="47">
        <f t="shared" si="0"/>
        <v>0</v>
      </c>
      <c r="C65" s="1" t="str">
        <f t="shared" si="1"/>
        <v>PASS</v>
      </c>
    </row>
    <row r="66" spans="1:3" x14ac:dyDescent="0.25">
      <c r="A66" s="6" t="s">
        <v>36</v>
      </c>
      <c r="B66" s="47">
        <f t="shared" si="0"/>
        <v>0</v>
      </c>
      <c r="C66" s="1" t="str">
        <f t="shared" si="1"/>
        <v>PASS</v>
      </c>
    </row>
    <row r="67" spans="1:3" x14ac:dyDescent="0.25">
      <c r="A67" s="5" t="s">
        <v>37</v>
      </c>
      <c r="B67" s="47">
        <f t="shared" si="0"/>
        <v>0</v>
      </c>
      <c r="C67" s="1" t="str">
        <f t="shared" si="1"/>
        <v>PASS</v>
      </c>
    </row>
    <row r="68" spans="1:3" x14ac:dyDescent="0.25">
      <c r="A68" s="5" t="s">
        <v>38</v>
      </c>
      <c r="B68" s="47">
        <f t="shared" si="0"/>
        <v>0</v>
      </c>
      <c r="C68" s="1" t="str">
        <f t="shared" si="1"/>
        <v>PASS</v>
      </c>
    </row>
    <row r="69" spans="1:3" x14ac:dyDescent="0.25">
      <c r="A69" s="5" t="s">
        <v>39</v>
      </c>
      <c r="B69" s="47">
        <f t="shared" si="0"/>
        <v>0</v>
      </c>
      <c r="C69" s="1" t="str">
        <f t="shared" si="1"/>
        <v>PASS</v>
      </c>
    </row>
    <row r="70" spans="1:3" x14ac:dyDescent="0.25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showGridLines="0" zoomScale="82" zoomScaleNormal="82" workbookViewId="0">
      <selection sqref="A1:C1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 x14ac:dyDescent="0.25">
      <c r="A1" s="62" t="s">
        <v>91</v>
      </c>
      <c r="B1" s="62"/>
      <c r="C1" s="62"/>
      <c r="E1" s="48"/>
    </row>
    <row r="2" spans="1:13" x14ac:dyDescent="0.25">
      <c r="A2" s="63" t="s">
        <v>64</v>
      </c>
      <c r="B2" s="64"/>
      <c r="C2" s="64"/>
    </row>
    <row r="3" spans="1:13" x14ac:dyDescent="0.25">
      <c r="A3" s="31" t="s">
        <v>103</v>
      </c>
      <c r="B3" s="32"/>
      <c r="C3" s="32"/>
      <c r="D3" s="8"/>
      <c r="E3" s="32" t="s">
        <v>104</v>
      </c>
      <c r="F3" s="32"/>
      <c r="G3" s="32"/>
    </row>
    <row r="4" spans="1:13" x14ac:dyDescent="0.25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 x14ac:dyDescent="0.25">
      <c r="A5" s="5" t="s">
        <v>3</v>
      </c>
      <c r="B5" s="5" t="s">
        <v>4</v>
      </c>
      <c r="C5" s="5">
        <v>32758</v>
      </c>
      <c r="E5" s="5" t="s">
        <v>3</v>
      </c>
      <c r="F5" s="5" t="s">
        <v>4</v>
      </c>
      <c r="G5" s="5">
        <v>32758</v>
      </c>
      <c r="H5" s="12"/>
      <c r="I5" s="12"/>
      <c r="J5" s="12"/>
      <c r="K5" s="9"/>
      <c r="L5" s="12"/>
      <c r="M5" s="9"/>
    </row>
    <row r="6" spans="1:13" x14ac:dyDescent="0.25">
      <c r="A6" s="5" t="s">
        <v>5</v>
      </c>
      <c r="B6" s="5" t="s">
        <v>6</v>
      </c>
      <c r="C6" s="5">
        <v>499</v>
      </c>
      <c r="E6" s="5" t="s">
        <v>5</v>
      </c>
      <c r="F6" s="5" t="s">
        <v>6</v>
      </c>
      <c r="G6" s="5">
        <v>500</v>
      </c>
      <c r="H6" s="11"/>
      <c r="I6" s="11"/>
      <c r="J6" s="11"/>
      <c r="K6" s="11"/>
      <c r="L6" s="11"/>
      <c r="M6" s="9"/>
    </row>
    <row r="7" spans="1:13" x14ac:dyDescent="0.25">
      <c r="A7" s="5" t="s">
        <v>7</v>
      </c>
      <c r="B7" s="5" t="s">
        <v>6</v>
      </c>
      <c r="C7" s="5">
        <v>324</v>
      </c>
      <c r="E7" s="5" t="s">
        <v>7</v>
      </c>
      <c r="F7" s="5" t="s">
        <v>6</v>
      </c>
      <c r="G7" s="5">
        <v>324</v>
      </c>
      <c r="H7" s="13"/>
      <c r="I7" s="11"/>
      <c r="J7" s="11"/>
      <c r="K7" s="11"/>
      <c r="L7" s="11"/>
      <c r="M7" s="9"/>
    </row>
    <row r="8" spans="1:13" x14ac:dyDescent="0.25">
      <c r="A8" s="5" t="s">
        <v>97</v>
      </c>
      <c r="B8" s="5" t="s">
        <v>6</v>
      </c>
      <c r="C8" s="5">
        <v>0</v>
      </c>
      <c r="E8" s="5" t="s">
        <v>97</v>
      </c>
      <c r="F8" s="5" t="s">
        <v>6</v>
      </c>
      <c r="G8" s="5">
        <v>0</v>
      </c>
      <c r="H8" s="13"/>
      <c r="I8" s="11"/>
      <c r="J8" s="11"/>
      <c r="K8" s="11"/>
      <c r="L8" s="11"/>
      <c r="M8" s="9"/>
    </row>
    <row r="9" spans="1:13" x14ac:dyDescent="0.25">
      <c r="A9" s="5" t="s">
        <v>8</v>
      </c>
      <c r="B9" s="5" t="s">
        <v>6</v>
      </c>
      <c r="C9" s="5">
        <v>8788</v>
      </c>
      <c r="E9" s="5" t="s">
        <v>8</v>
      </c>
      <c r="F9" s="5" t="s">
        <v>6</v>
      </c>
      <c r="G9" s="5">
        <v>8792</v>
      </c>
      <c r="H9" s="11"/>
      <c r="I9" s="11"/>
      <c r="J9" s="11"/>
      <c r="K9" s="11"/>
      <c r="L9" s="11"/>
      <c r="M9" s="9"/>
    </row>
    <row r="10" spans="1:13" x14ac:dyDescent="0.25">
      <c r="A10" s="5" t="s">
        <v>9</v>
      </c>
      <c r="B10" s="5" t="s">
        <v>6</v>
      </c>
      <c r="C10" s="5">
        <v>7070</v>
      </c>
      <c r="E10" s="5" t="s">
        <v>9</v>
      </c>
      <c r="F10" s="5" t="s">
        <v>6</v>
      </c>
      <c r="G10" s="5">
        <v>7074</v>
      </c>
      <c r="H10" s="11"/>
      <c r="I10" s="11"/>
      <c r="J10" s="11"/>
      <c r="K10" s="11"/>
      <c r="L10" s="11"/>
      <c r="M10" s="9"/>
    </row>
    <row r="11" spans="1:13" x14ac:dyDescent="0.25">
      <c r="A11" s="5" t="s">
        <v>10</v>
      </c>
      <c r="B11" s="5" t="s">
        <v>6</v>
      </c>
      <c r="C11" s="5">
        <v>945</v>
      </c>
      <c r="E11" s="5" t="s">
        <v>10</v>
      </c>
      <c r="F11" s="5" t="s">
        <v>6</v>
      </c>
      <c r="G11" s="5">
        <v>945</v>
      </c>
      <c r="H11" s="11"/>
      <c r="I11" s="11"/>
      <c r="J11" s="11"/>
      <c r="K11" s="11"/>
      <c r="L11" s="11"/>
      <c r="M11" s="9"/>
    </row>
    <row r="12" spans="1:13" x14ac:dyDescent="0.25">
      <c r="A12" s="5" t="s">
        <v>11</v>
      </c>
      <c r="B12" s="5" t="s">
        <v>6</v>
      </c>
      <c r="C12" s="5">
        <v>690</v>
      </c>
      <c r="E12" s="5" t="s">
        <v>11</v>
      </c>
      <c r="F12" s="5" t="s">
        <v>6</v>
      </c>
      <c r="G12" s="5">
        <v>690</v>
      </c>
      <c r="H12" s="11"/>
      <c r="I12" s="11"/>
      <c r="J12" s="11"/>
      <c r="K12" s="11"/>
      <c r="L12" s="11"/>
      <c r="M12" s="9"/>
    </row>
    <row r="13" spans="1:13" x14ac:dyDescent="0.25">
      <c r="A13" s="5" t="s">
        <v>98</v>
      </c>
      <c r="B13" s="5" t="s">
        <v>6</v>
      </c>
      <c r="C13" s="5">
        <v>80</v>
      </c>
      <c r="E13" s="5" t="s">
        <v>98</v>
      </c>
      <c r="F13" s="5" t="s">
        <v>6</v>
      </c>
      <c r="G13" s="5">
        <v>80</v>
      </c>
      <c r="H13" s="11"/>
      <c r="I13" s="11"/>
      <c r="J13" s="11"/>
      <c r="K13" s="11"/>
      <c r="L13" s="11"/>
      <c r="M13" s="9"/>
    </row>
    <row r="14" spans="1:13" x14ac:dyDescent="0.25">
      <c r="A14" s="5" t="s">
        <v>12</v>
      </c>
      <c r="B14" s="5" t="s">
        <v>6</v>
      </c>
      <c r="C14" s="5">
        <v>3</v>
      </c>
      <c r="E14" s="5" t="s">
        <v>12</v>
      </c>
      <c r="F14" s="5" t="s">
        <v>6</v>
      </c>
      <c r="G14" s="5">
        <v>3</v>
      </c>
      <c r="H14" s="11"/>
      <c r="I14" s="11"/>
      <c r="J14" s="11"/>
      <c r="K14" s="11"/>
      <c r="L14" s="11"/>
      <c r="M14" s="9"/>
    </row>
    <row r="15" spans="1:13" x14ac:dyDescent="0.25">
      <c r="A15" s="5" t="s">
        <v>13</v>
      </c>
      <c r="B15" s="5" t="s">
        <v>6</v>
      </c>
      <c r="C15" s="5">
        <v>856</v>
      </c>
      <c r="E15" s="5" t="s">
        <v>13</v>
      </c>
      <c r="F15" s="5" t="s">
        <v>6</v>
      </c>
      <c r="G15" s="5">
        <v>856</v>
      </c>
      <c r="H15" s="11"/>
      <c r="I15" s="11"/>
      <c r="J15" s="11"/>
      <c r="K15" s="11"/>
      <c r="L15" s="11"/>
      <c r="M15" s="9"/>
    </row>
    <row r="16" spans="1:13" x14ac:dyDescent="0.25">
      <c r="A16" s="5" t="s">
        <v>14</v>
      </c>
      <c r="B16" s="5" t="s">
        <v>15</v>
      </c>
      <c r="C16" s="5">
        <v>1047</v>
      </c>
      <c r="E16" s="5" t="s">
        <v>14</v>
      </c>
      <c r="F16" s="5" t="s">
        <v>15</v>
      </c>
      <c r="G16" s="5">
        <v>1047</v>
      </c>
      <c r="H16" s="11"/>
      <c r="I16" s="11"/>
      <c r="J16" s="11"/>
      <c r="K16" s="11"/>
      <c r="L16" s="11"/>
      <c r="M16" s="9"/>
    </row>
    <row r="17" spans="1:13" x14ac:dyDescent="0.25">
      <c r="A17" s="5" t="s">
        <v>16</v>
      </c>
      <c r="B17" s="5" t="s">
        <v>15</v>
      </c>
      <c r="C17" s="5">
        <v>148</v>
      </c>
      <c r="E17" s="5" t="s">
        <v>16</v>
      </c>
      <c r="F17" s="5" t="s">
        <v>15</v>
      </c>
      <c r="G17" s="5">
        <v>148</v>
      </c>
      <c r="H17" s="11"/>
      <c r="I17" s="11"/>
      <c r="J17" s="11"/>
      <c r="K17" s="11"/>
      <c r="L17" s="11"/>
      <c r="M17" s="9"/>
    </row>
    <row r="18" spans="1:13" x14ac:dyDescent="0.25">
      <c r="A18" s="5" t="s">
        <v>17</v>
      </c>
      <c r="B18" s="5" t="s">
        <v>15</v>
      </c>
      <c r="C18" s="5">
        <v>119</v>
      </c>
      <c r="E18" s="5" t="s">
        <v>17</v>
      </c>
      <c r="F18" s="5" t="s">
        <v>15</v>
      </c>
      <c r="G18" s="5">
        <v>119</v>
      </c>
      <c r="H18" s="11"/>
      <c r="I18" s="11"/>
      <c r="J18" s="11"/>
      <c r="K18" s="11"/>
      <c r="L18" s="11"/>
      <c r="M18" s="9"/>
    </row>
    <row r="19" spans="1:13" x14ac:dyDescent="0.25">
      <c r="A19" s="5" t="s">
        <v>83</v>
      </c>
      <c r="B19" s="5" t="s">
        <v>15</v>
      </c>
      <c r="C19" s="5">
        <v>3</v>
      </c>
      <c r="E19" s="5" t="s">
        <v>83</v>
      </c>
      <c r="F19" s="5" t="s">
        <v>15</v>
      </c>
      <c r="G19" s="5">
        <v>3</v>
      </c>
      <c r="H19" s="11"/>
      <c r="I19" s="11"/>
      <c r="J19" s="11"/>
      <c r="K19" s="11"/>
      <c r="L19" s="11"/>
      <c r="M19" s="9"/>
    </row>
    <row r="20" spans="1:13" x14ac:dyDescent="0.25">
      <c r="A20" s="5" t="s">
        <v>18</v>
      </c>
      <c r="B20" s="5" t="s">
        <v>15</v>
      </c>
      <c r="C20" s="5">
        <v>229</v>
      </c>
      <c r="E20" s="5" t="s">
        <v>18</v>
      </c>
      <c r="F20" s="5" t="s">
        <v>15</v>
      </c>
      <c r="G20" s="5">
        <v>229</v>
      </c>
      <c r="H20" s="11"/>
      <c r="I20" s="11"/>
      <c r="J20" s="11"/>
      <c r="K20" s="11"/>
      <c r="L20" s="11"/>
      <c r="M20" s="9"/>
    </row>
    <row r="21" spans="1:13" x14ac:dyDescent="0.25">
      <c r="A21" s="5" t="s">
        <v>19</v>
      </c>
      <c r="B21" s="5" t="s">
        <v>15</v>
      </c>
      <c r="C21" s="5">
        <v>111</v>
      </c>
      <c r="E21" s="5" t="s">
        <v>19</v>
      </c>
      <c r="F21" s="5" t="s">
        <v>15</v>
      </c>
      <c r="G21" s="5">
        <v>111</v>
      </c>
      <c r="H21" s="11"/>
      <c r="I21" s="11"/>
      <c r="J21" s="11"/>
      <c r="K21" s="11"/>
      <c r="L21" s="11"/>
      <c r="M21" s="9"/>
    </row>
    <row r="22" spans="1:13" x14ac:dyDescent="0.25">
      <c r="A22" s="5" t="s">
        <v>89</v>
      </c>
      <c r="B22" s="5" t="s">
        <v>15</v>
      </c>
      <c r="C22" s="5">
        <v>75</v>
      </c>
      <c r="E22" s="5" t="s">
        <v>89</v>
      </c>
      <c r="F22" s="5" t="s">
        <v>15</v>
      </c>
      <c r="G22" s="5">
        <v>75</v>
      </c>
      <c r="H22" s="11"/>
      <c r="I22" s="11"/>
      <c r="J22" s="11"/>
      <c r="K22" s="11"/>
      <c r="L22" s="11"/>
      <c r="M22" s="9"/>
    </row>
    <row r="23" spans="1:13" x14ac:dyDescent="0.25">
      <c r="A23" s="5" t="s">
        <v>20</v>
      </c>
      <c r="B23" s="5" t="s">
        <v>15</v>
      </c>
      <c r="C23" s="5">
        <v>291</v>
      </c>
      <c r="E23" s="5" t="s">
        <v>20</v>
      </c>
      <c r="F23" s="5" t="s">
        <v>15</v>
      </c>
      <c r="G23" s="5">
        <v>291</v>
      </c>
      <c r="H23" s="11"/>
      <c r="I23" s="11"/>
      <c r="J23" s="11"/>
      <c r="K23" s="11"/>
      <c r="L23" s="11"/>
      <c r="M23" s="9"/>
    </row>
    <row r="24" spans="1:13" x14ac:dyDescent="0.25">
      <c r="A24" s="5" t="s">
        <v>21</v>
      </c>
      <c r="B24" s="5" t="s">
        <v>15</v>
      </c>
      <c r="C24" s="5">
        <v>17</v>
      </c>
      <c r="E24" s="5" t="s">
        <v>21</v>
      </c>
      <c r="F24" s="5" t="s">
        <v>15</v>
      </c>
      <c r="G24" s="5">
        <v>17</v>
      </c>
      <c r="H24" s="11"/>
      <c r="I24" s="11"/>
      <c r="J24" s="11"/>
      <c r="K24" s="11"/>
      <c r="L24" s="11"/>
      <c r="M24" s="9"/>
    </row>
    <row r="25" spans="1:13" x14ac:dyDescent="0.25">
      <c r="A25" s="5" t="s">
        <v>22</v>
      </c>
      <c r="B25" s="5" t="s">
        <v>15</v>
      </c>
      <c r="C25" s="5">
        <v>10</v>
      </c>
      <c r="E25" s="5" t="s">
        <v>22</v>
      </c>
      <c r="F25" s="5" t="s">
        <v>15</v>
      </c>
      <c r="G25" s="5">
        <v>10</v>
      </c>
      <c r="H25" s="11"/>
      <c r="I25" s="11"/>
      <c r="J25" s="11"/>
      <c r="K25" s="11"/>
      <c r="L25" s="11"/>
      <c r="M25" s="9"/>
    </row>
    <row r="26" spans="1:13" x14ac:dyDescent="0.25">
      <c r="A26" s="5" t="s">
        <v>23</v>
      </c>
      <c r="B26" s="5" t="s">
        <v>15</v>
      </c>
      <c r="C26" s="5">
        <v>7</v>
      </c>
      <c r="E26" s="5" t="s">
        <v>23</v>
      </c>
      <c r="F26" s="5" t="s">
        <v>15</v>
      </c>
      <c r="G26" s="5">
        <v>7</v>
      </c>
      <c r="H26" s="11"/>
      <c r="I26" s="11"/>
      <c r="J26" s="11"/>
      <c r="K26" s="11"/>
      <c r="L26" s="11"/>
      <c r="M26" s="9"/>
    </row>
    <row r="27" spans="1:13" x14ac:dyDescent="0.25">
      <c r="A27" s="5" t="s">
        <v>26</v>
      </c>
      <c r="B27" s="5" t="s">
        <v>25</v>
      </c>
      <c r="C27" s="5">
        <v>715</v>
      </c>
      <c r="E27" s="5" t="s">
        <v>26</v>
      </c>
      <c r="F27" s="5" t="s">
        <v>25</v>
      </c>
      <c r="G27" s="5">
        <v>709</v>
      </c>
      <c r="H27" s="11"/>
      <c r="I27" s="11"/>
      <c r="J27" s="11"/>
      <c r="K27" s="11"/>
      <c r="L27" s="11"/>
      <c r="M27" s="9"/>
    </row>
    <row r="28" spans="1:13" x14ac:dyDescent="0.25">
      <c r="A28" s="5" t="s">
        <v>85</v>
      </c>
      <c r="B28" s="5" t="s">
        <v>25</v>
      </c>
      <c r="C28" s="5">
        <v>158</v>
      </c>
      <c r="E28" s="5" t="s">
        <v>85</v>
      </c>
      <c r="F28" s="5" t="s">
        <v>25</v>
      </c>
      <c r="G28" s="5">
        <v>152</v>
      </c>
      <c r="H28" s="11"/>
      <c r="I28" s="11"/>
      <c r="J28" s="11"/>
      <c r="K28" s="11"/>
      <c r="L28" s="11"/>
      <c r="M28" s="9"/>
    </row>
    <row r="29" spans="1:13" x14ac:dyDescent="0.25">
      <c r="A29" s="5" t="s">
        <v>86</v>
      </c>
      <c r="B29" s="5" t="s">
        <v>25</v>
      </c>
      <c r="C29" s="5">
        <v>436</v>
      </c>
      <c r="E29" s="5" t="s">
        <v>86</v>
      </c>
      <c r="F29" s="5" t="s">
        <v>25</v>
      </c>
      <c r="G29" s="5">
        <v>436</v>
      </c>
      <c r="H29" s="11"/>
      <c r="I29" s="11"/>
      <c r="J29" s="11"/>
      <c r="K29" s="11"/>
      <c r="L29" s="11"/>
      <c r="M29" s="9"/>
    </row>
    <row r="30" spans="1:13" x14ac:dyDescent="0.25">
      <c r="A30" s="5" t="s">
        <v>87</v>
      </c>
      <c r="B30" s="5" t="s">
        <v>25</v>
      </c>
      <c r="C30" s="5">
        <v>44</v>
      </c>
      <c r="E30" s="5" t="s">
        <v>87</v>
      </c>
      <c r="F30" s="5" t="s">
        <v>25</v>
      </c>
      <c r="G30" s="5">
        <v>44</v>
      </c>
      <c r="H30" s="11"/>
      <c r="I30" s="11"/>
      <c r="J30" s="11"/>
      <c r="K30" s="11"/>
      <c r="L30" s="11"/>
      <c r="M30" s="9"/>
    </row>
    <row r="31" spans="1:13" x14ac:dyDescent="0.25">
      <c r="A31" s="5" t="s">
        <v>99</v>
      </c>
      <c r="B31" s="5" t="s">
        <v>25</v>
      </c>
      <c r="C31" s="5">
        <v>46</v>
      </c>
      <c r="E31" s="5" t="s">
        <v>99</v>
      </c>
      <c r="F31" s="5" t="s">
        <v>25</v>
      </c>
      <c r="G31" s="5">
        <v>46</v>
      </c>
      <c r="H31" s="11"/>
      <c r="I31" s="11"/>
      <c r="J31" s="11"/>
      <c r="K31" s="11"/>
      <c r="L31" s="11"/>
      <c r="M31" s="9"/>
    </row>
    <row r="32" spans="1:13" x14ac:dyDescent="0.25">
      <c r="A32" s="5" t="s">
        <v>100</v>
      </c>
      <c r="B32" s="5" t="s">
        <v>25</v>
      </c>
      <c r="C32" s="5">
        <v>12</v>
      </c>
      <c r="E32" s="5" t="s">
        <v>100</v>
      </c>
      <c r="F32" s="5" t="s">
        <v>25</v>
      </c>
      <c r="G32" s="5">
        <v>12</v>
      </c>
      <c r="H32" s="11"/>
      <c r="I32" s="11"/>
      <c r="J32" s="11"/>
      <c r="K32" s="11"/>
      <c r="L32" s="11"/>
      <c r="M32" s="9"/>
    </row>
    <row r="33" spans="1:13" x14ac:dyDescent="0.25">
      <c r="A33" s="5" t="s">
        <v>88</v>
      </c>
      <c r="B33" s="5" t="s">
        <v>25</v>
      </c>
      <c r="C33" s="5">
        <v>19</v>
      </c>
      <c r="E33" s="5" t="s">
        <v>88</v>
      </c>
      <c r="F33" s="5" t="s">
        <v>25</v>
      </c>
      <c r="G33" s="5">
        <v>19</v>
      </c>
      <c r="H33" s="11"/>
      <c r="I33" s="11"/>
      <c r="J33" s="11"/>
      <c r="K33" s="11"/>
      <c r="L33" s="11"/>
      <c r="M33" s="9"/>
    </row>
    <row r="34" spans="1:13" x14ac:dyDescent="0.25">
      <c r="A34" s="5" t="s">
        <v>27</v>
      </c>
      <c r="B34" s="5" t="s">
        <v>28</v>
      </c>
      <c r="C34" s="5">
        <v>125</v>
      </c>
      <c r="E34" s="5" t="s">
        <v>27</v>
      </c>
      <c r="F34" s="5" t="s">
        <v>28</v>
      </c>
      <c r="G34" s="5">
        <v>124</v>
      </c>
      <c r="H34" s="11"/>
      <c r="I34" s="11"/>
      <c r="J34" s="11"/>
      <c r="K34" s="11"/>
      <c r="L34" s="11"/>
      <c r="M34" s="9"/>
    </row>
    <row r="35" spans="1:13" x14ac:dyDescent="0.25">
      <c r="A35" s="5" t="s">
        <v>29</v>
      </c>
      <c r="B35" s="5" t="s">
        <v>28</v>
      </c>
      <c r="C35" s="5">
        <v>43</v>
      </c>
      <c r="E35" s="5" t="s">
        <v>29</v>
      </c>
      <c r="F35" s="5" t="s">
        <v>28</v>
      </c>
      <c r="G35" s="5">
        <v>42</v>
      </c>
      <c r="J35" s="12"/>
      <c r="K35" s="9"/>
      <c r="M35" s="9"/>
    </row>
    <row r="36" spans="1:13" x14ac:dyDescent="0.25">
      <c r="A36" s="5" t="s">
        <v>30</v>
      </c>
      <c r="B36" s="5" t="s">
        <v>28</v>
      </c>
      <c r="C36" s="5">
        <v>50</v>
      </c>
      <c r="E36" s="5" t="s">
        <v>30</v>
      </c>
      <c r="F36" s="5" t="s">
        <v>28</v>
      </c>
      <c r="G36" s="5">
        <v>50</v>
      </c>
      <c r="H36" s="13"/>
      <c r="J36" s="12"/>
      <c r="K36" s="9"/>
      <c r="M36" s="9"/>
    </row>
    <row r="37" spans="1:13" x14ac:dyDescent="0.25">
      <c r="A37" s="5" t="s">
        <v>31</v>
      </c>
      <c r="B37" s="5" t="s">
        <v>28</v>
      </c>
      <c r="C37" s="5">
        <v>19</v>
      </c>
      <c r="E37" s="5" t="s">
        <v>31</v>
      </c>
      <c r="F37" s="5" t="s">
        <v>28</v>
      </c>
      <c r="G37" s="5">
        <v>19</v>
      </c>
      <c r="K37" s="9"/>
      <c r="M37" s="9"/>
    </row>
    <row r="38" spans="1:13" x14ac:dyDescent="0.25">
      <c r="A38" s="5" t="s">
        <v>101</v>
      </c>
      <c r="B38" s="5" t="s">
        <v>28</v>
      </c>
      <c r="C38" s="5">
        <v>8</v>
      </c>
      <c r="E38" s="5" t="s">
        <v>101</v>
      </c>
      <c r="F38" s="5" t="s">
        <v>28</v>
      </c>
      <c r="G38" s="5">
        <v>8</v>
      </c>
      <c r="K38" s="9"/>
    </row>
    <row r="39" spans="1:13" x14ac:dyDescent="0.25">
      <c r="A39" s="5" t="s">
        <v>102</v>
      </c>
      <c r="B39" s="5" t="s">
        <v>28</v>
      </c>
      <c r="C39" s="5">
        <v>3</v>
      </c>
      <c r="E39" s="5" t="s">
        <v>102</v>
      </c>
      <c r="F39" s="5" t="s">
        <v>28</v>
      </c>
      <c r="G39" s="5">
        <v>3</v>
      </c>
      <c r="K39" s="9"/>
    </row>
    <row r="40" spans="1:13" x14ac:dyDescent="0.25">
      <c r="A40" s="5" t="s">
        <v>33</v>
      </c>
      <c r="B40" s="5" t="s">
        <v>28</v>
      </c>
      <c r="C40" s="5">
        <v>2</v>
      </c>
      <c r="E40" s="5" t="s">
        <v>33</v>
      </c>
      <c r="F40" s="5" t="s">
        <v>28</v>
      </c>
      <c r="G40" s="5">
        <v>2</v>
      </c>
      <c r="K40" s="9"/>
    </row>
    <row r="41" spans="1:13" x14ac:dyDescent="0.25">
      <c r="A41" s="5" t="s">
        <v>34</v>
      </c>
      <c r="B41" s="5" t="s">
        <v>35</v>
      </c>
      <c r="C41" s="5">
        <v>52</v>
      </c>
      <c r="E41" s="5" t="s">
        <v>34</v>
      </c>
      <c r="F41" s="5" t="s">
        <v>35</v>
      </c>
      <c r="G41" s="5">
        <v>51.61</v>
      </c>
      <c r="K41" s="9"/>
    </row>
    <row r="42" spans="1:13" x14ac:dyDescent="0.25">
      <c r="A42" s="5" t="s">
        <v>36</v>
      </c>
      <c r="B42" s="5" t="s">
        <v>28</v>
      </c>
      <c r="C42" s="5">
        <v>11</v>
      </c>
      <c r="E42" s="5" t="s">
        <v>36</v>
      </c>
      <c r="F42" s="5" t="s">
        <v>28</v>
      </c>
      <c r="G42" s="5">
        <v>11</v>
      </c>
      <c r="K42" s="9"/>
    </row>
    <row r="43" spans="1:13" x14ac:dyDescent="0.25">
      <c r="A43" s="5" t="s">
        <v>37</v>
      </c>
      <c r="B43" s="5" t="s">
        <v>25</v>
      </c>
      <c r="C43" s="5">
        <v>5.72</v>
      </c>
      <c r="E43" s="5" t="s">
        <v>37</v>
      </c>
      <c r="F43" s="5" t="s">
        <v>25</v>
      </c>
      <c r="G43" s="5">
        <v>5.72</v>
      </c>
      <c r="K43" s="9"/>
    </row>
    <row r="44" spans="1:13" x14ac:dyDescent="0.25">
      <c r="A44" s="5" t="s">
        <v>38</v>
      </c>
      <c r="B44" s="5" t="s">
        <v>15</v>
      </c>
      <c r="C44" s="5">
        <v>14451</v>
      </c>
      <c r="E44" s="5" t="s">
        <v>38</v>
      </c>
      <c r="F44" s="5" t="s">
        <v>15</v>
      </c>
      <c r="G44" s="5">
        <v>14451</v>
      </c>
      <c r="K44" s="9"/>
    </row>
    <row r="45" spans="1:13" x14ac:dyDescent="0.25">
      <c r="A45" s="5" t="s">
        <v>39</v>
      </c>
      <c r="B45" s="5" t="s">
        <v>40</v>
      </c>
      <c r="C45" s="5">
        <v>24.51</v>
      </c>
      <c r="E45" s="5" t="s">
        <v>39</v>
      </c>
      <c r="F45" s="5" t="s">
        <v>40</v>
      </c>
      <c r="G45" s="5">
        <v>24.51</v>
      </c>
      <c r="K45" s="9"/>
    </row>
    <row r="46" spans="1:13" x14ac:dyDescent="0.25">
      <c r="A46" s="5" t="s">
        <v>41</v>
      </c>
      <c r="B46" s="5" t="s">
        <v>40</v>
      </c>
      <c r="C46" s="5">
        <v>79.25</v>
      </c>
      <c r="E46" s="5" t="s">
        <v>41</v>
      </c>
      <c r="F46" s="5" t="s">
        <v>40</v>
      </c>
      <c r="G46" s="5">
        <v>79.23</v>
      </c>
      <c r="K46" s="9"/>
    </row>
    <row r="47" spans="1:13" x14ac:dyDescent="0.25">
      <c r="A47" s="5" t="s">
        <v>84</v>
      </c>
      <c r="B47" s="5" t="s">
        <v>25</v>
      </c>
      <c r="C47" s="5">
        <v>52</v>
      </c>
      <c r="E47" s="5" t="s">
        <v>84</v>
      </c>
      <c r="F47" s="5" t="s">
        <v>25</v>
      </c>
      <c r="G47" s="5">
        <v>52</v>
      </c>
      <c r="K47" s="9"/>
    </row>
    <row r="48" spans="1:13" x14ac:dyDescent="0.25">
      <c r="K48" s="9"/>
    </row>
    <row r="49" spans="1:13" x14ac:dyDescent="0.25">
      <c r="K49" s="9"/>
    </row>
    <row r="50" spans="1:13" x14ac:dyDescent="0.25">
      <c r="A50" s="31" t="s">
        <v>78</v>
      </c>
      <c r="B50" s="32"/>
      <c r="C50" s="33"/>
      <c r="G50" s="12"/>
      <c r="H50" s="4"/>
    </row>
    <row r="51" spans="1:13" ht="25.5" x14ac:dyDescent="0.25">
      <c r="A51" s="3" t="s">
        <v>0</v>
      </c>
      <c r="B51" s="3" t="s">
        <v>2</v>
      </c>
      <c r="C51" s="3" t="s">
        <v>42</v>
      </c>
      <c r="E51" s="48"/>
      <c r="G51" s="12"/>
      <c r="H51" s="12"/>
      <c r="I51" s="12"/>
      <c r="J51" s="12"/>
      <c r="K51" s="12"/>
      <c r="L51" s="12"/>
      <c r="M51" s="9"/>
    </row>
    <row r="52" spans="1:13" x14ac:dyDescent="0.25">
      <c r="A52" s="5" t="s">
        <v>3</v>
      </c>
      <c r="B52" s="7">
        <f>IF(C5=0,0%,(G5-C5)/C5)</f>
        <v>0</v>
      </c>
      <c r="C52" s="1" t="str">
        <f>IF(AND(B52&lt;=0.5%,B52&gt;=-0.5%),"PASS","FAIL")</f>
        <v>PASS</v>
      </c>
      <c r="G52" s="12"/>
      <c r="H52" s="11"/>
      <c r="I52" s="11"/>
      <c r="J52" s="12"/>
      <c r="K52" s="11"/>
      <c r="L52" s="11"/>
      <c r="M52" s="9"/>
    </row>
    <row r="53" spans="1:13" x14ac:dyDescent="0.25">
      <c r="A53" s="5" t="s">
        <v>5</v>
      </c>
      <c r="B53" s="7">
        <f t="shared" ref="B53:B94" si="0">IF(C6=0,0%,(G6-C6)/C6)</f>
        <v>2.004008016032064E-3</v>
      </c>
      <c r="C53" s="1" t="str">
        <f t="shared" ref="C53:C94" si="1">IF(AND(B53&lt;=0.5%,B53&gt;=-0.5%),"PASS","FAIL")</f>
        <v>PASS</v>
      </c>
      <c r="G53" s="12"/>
      <c r="H53" s="12"/>
      <c r="I53" s="11"/>
      <c r="J53" s="12"/>
      <c r="K53" s="11"/>
      <c r="L53" s="11"/>
      <c r="M53" s="9"/>
    </row>
    <row r="54" spans="1:13" x14ac:dyDescent="0.25">
      <c r="A54" s="5" t="s">
        <v>7</v>
      </c>
      <c r="B54" s="7">
        <f t="shared" si="0"/>
        <v>0</v>
      </c>
      <c r="C54" s="1" t="str">
        <f t="shared" si="1"/>
        <v>PASS</v>
      </c>
      <c r="G54" s="12"/>
      <c r="H54" s="11"/>
      <c r="I54" s="11"/>
      <c r="J54" s="12"/>
      <c r="K54" s="11"/>
      <c r="L54" s="11"/>
      <c r="M54" s="9"/>
    </row>
    <row r="55" spans="1:13" x14ac:dyDescent="0.25">
      <c r="A55" s="5" t="s">
        <v>97</v>
      </c>
      <c r="B55" s="7">
        <f t="shared" si="0"/>
        <v>0</v>
      </c>
      <c r="C55" s="1" t="str">
        <f t="shared" si="1"/>
        <v>PASS</v>
      </c>
      <c r="G55" s="12"/>
      <c r="H55" s="11"/>
      <c r="I55" s="11"/>
      <c r="J55" s="12"/>
      <c r="K55" s="11"/>
      <c r="L55" s="11"/>
      <c r="M55" s="9"/>
    </row>
    <row r="56" spans="1:13" x14ac:dyDescent="0.25">
      <c r="A56" s="5" t="s">
        <v>8</v>
      </c>
      <c r="B56" s="7">
        <f t="shared" si="0"/>
        <v>4.5516613563950843E-4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 x14ac:dyDescent="0.25">
      <c r="A57" s="5" t="s">
        <v>9</v>
      </c>
      <c r="B57" s="7">
        <f t="shared" si="0"/>
        <v>5.6577086280056575E-4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 x14ac:dyDescent="0.25">
      <c r="A58" s="5" t="s">
        <v>10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 x14ac:dyDescent="0.25">
      <c r="A59" s="5" t="s">
        <v>11</v>
      </c>
      <c r="B59" s="7">
        <f t="shared" si="0"/>
        <v>0</v>
      </c>
      <c r="C59" s="1" t="str">
        <f t="shared" si="1"/>
        <v>PASS</v>
      </c>
      <c r="G59" s="12"/>
      <c r="H59" s="11"/>
      <c r="I59" s="11"/>
      <c r="J59" s="12"/>
      <c r="K59" s="11"/>
      <c r="L59" s="11"/>
      <c r="M59" s="9"/>
    </row>
    <row r="60" spans="1:13" x14ac:dyDescent="0.25">
      <c r="A60" s="5" t="s">
        <v>98</v>
      </c>
      <c r="B60" s="7">
        <f t="shared" si="0"/>
        <v>0</v>
      </c>
      <c r="C60" s="1" t="str">
        <f t="shared" si="1"/>
        <v>PASS</v>
      </c>
      <c r="G60" s="12"/>
      <c r="H60" s="11"/>
      <c r="I60" s="11"/>
      <c r="J60" s="12"/>
      <c r="K60" s="11"/>
      <c r="L60" s="11"/>
      <c r="M60" s="9"/>
    </row>
    <row r="61" spans="1:13" x14ac:dyDescent="0.25">
      <c r="A61" s="5" t="s">
        <v>12</v>
      </c>
      <c r="B61" s="7">
        <f t="shared" si="0"/>
        <v>0</v>
      </c>
      <c r="C61" s="1" t="str">
        <f t="shared" si="1"/>
        <v>PASS</v>
      </c>
      <c r="G61" s="12"/>
      <c r="H61" s="11"/>
      <c r="I61" s="11"/>
      <c r="J61" s="12"/>
      <c r="K61" s="11"/>
      <c r="L61" s="11"/>
      <c r="M61" s="9"/>
    </row>
    <row r="62" spans="1:13" x14ac:dyDescent="0.25">
      <c r="A62" s="5" t="s">
        <v>13</v>
      </c>
      <c r="B62" s="7">
        <f t="shared" si="0"/>
        <v>0</v>
      </c>
      <c r="C62" s="1" t="str">
        <f t="shared" si="1"/>
        <v>PASS</v>
      </c>
      <c r="G62" s="12"/>
      <c r="H62" s="11"/>
      <c r="I62" s="11"/>
      <c r="J62" s="12"/>
      <c r="K62" s="11"/>
      <c r="L62" s="11"/>
      <c r="M62" s="9"/>
    </row>
    <row r="63" spans="1:13" x14ac:dyDescent="0.25">
      <c r="A63" s="5" t="s">
        <v>14</v>
      </c>
      <c r="B63" s="7">
        <f t="shared" si="0"/>
        <v>0</v>
      </c>
      <c r="C63" s="1" t="str">
        <f t="shared" si="1"/>
        <v>PASS</v>
      </c>
      <c r="H63" s="11"/>
      <c r="I63" s="11"/>
      <c r="J63" s="12"/>
      <c r="K63" s="11"/>
      <c r="L63" s="11"/>
      <c r="M63" s="9"/>
    </row>
    <row r="64" spans="1:13" x14ac:dyDescent="0.25">
      <c r="A64" s="5" t="s">
        <v>16</v>
      </c>
      <c r="B64" s="7">
        <f t="shared" si="0"/>
        <v>0</v>
      </c>
      <c r="C64" s="1" t="str">
        <f t="shared" si="1"/>
        <v>PASS</v>
      </c>
      <c r="H64" s="11"/>
      <c r="I64" s="11"/>
      <c r="J64" s="12"/>
      <c r="K64" s="11"/>
      <c r="L64" s="11"/>
      <c r="M64" s="9"/>
    </row>
    <row r="65" spans="1:13" x14ac:dyDescent="0.25">
      <c r="A65" s="5" t="s">
        <v>17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 x14ac:dyDescent="0.25">
      <c r="A66" s="5" t="s">
        <v>83</v>
      </c>
      <c r="B66" s="7">
        <f t="shared" si="0"/>
        <v>0</v>
      </c>
      <c r="C66" s="1" t="str">
        <f t="shared" si="1"/>
        <v>PASS</v>
      </c>
      <c r="H66" s="11"/>
      <c r="I66" s="11"/>
      <c r="K66" s="11"/>
      <c r="L66" s="11"/>
      <c r="M66" s="9"/>
    </row>
    <row r="67" spans="1:13" x14ac:dyDescent="0.25">
      <c r="A67" s="5" t="s">
        <v>18</v>
      </c>
      <c r="B67" s="7">
        <f t="shared" si="0"/>
        <v>0</v>
      </c>
      <c r="C67" s="1" t="str">
        <f t="shared" si="1"/>
        <v>PASS</v>
      </c>
      <c r="H67" s="11"/>
      <c r="I67" s="11"/>
      <c r="K67" s="11"/>
      <c r="L67" s="11"/>
      <c r="M67" s="9"/>
    </row>
    <row r="68" spans="1:13" x14ac:dyDescent="0.25">
      <c r="A68" s="5" t="s">
        <v>19</v>
      </c>
      <c r="B68" s="7">
        <f t="shared" si="0"/>
        <v>0</v>
      </c>
      <c r="C68" s="1" t="str">
        <f t="shared" si="1"/>
        <v>PASS</v>
      </c>
      <c r="G68" s="12"/>
      <c r="H68" s="11"/>
      <c r="I68" s="11"/>
      <c r="K68" s="11"/>
      <c r="L68" s="11"/>
      <c r="M68" s="9"/>
    </row>
    <row r="69" spans="1:13" x14ac:dyDescent="0.25">
      <c r="A69" s="5" t="s">
        <v>89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 x14ac:dyDescent="0.25">
      <c r="A70" s="5" t="s">
        <v>20</v>
      </c>
      <c r="B70" s="7">
        <f t="shared" si="0"/>
        <v>0</v>
      </c>
      <c r="C70" s="1" t="str">
        <f t="shared" si="1"/>
        <v>PASS</v>
      </c>
      <c r="H70" s="11"/>
      <c r="I70" s="11"/>
      <c r="J70" s="12"/>
      <c r="K70" s="11"/>
      <c r="L70" s="11"/>
      <c r="M70" s="9"/>
    </row>
    <row r="71" spans="1:13" x14ac:dyDescent="0.25">
      <c r="A71" s="5" t="s">
        <v>21</v>
      </c>
      <c r="B71" s="7">
        <f t="shared" si="0"/>
        <v>0</v>
      </c>
      <c r="C71" s="1" t="str">
        <f t="shared" si="1"/>
        <v>PASS</v>
      </c>
      <c r="H71" s="11"/>
      <c r="I71" s="11"/>
      <c r="J71" s="12"/>
      <c r="K71" s="11"/>
      <c r="L71" s="11"/>
      <c r="M71" s="9"/>
    </row>
    <row r="72" spans="1:13" x14ac:dyDescent="0.25">
      <c r="A72" s="5" t="s">
        <v>22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 x14ac:dyDescent="0.25">
      <c r="A73" s="5" t="s">
        <v>23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 x14ac:dyDescent="0.25">
      <c r="A74" s="5" t="s">
        <v>26</v>
      </c>
      <c r="B74" s="7">
        <f t="shared" si="0"/>
        <v>-8.3916083916083916E-3</v>
      </c>
      <c r="C74" s="1" t="str">
        <f t="shared" si="1"/>
        <v>FAIL</v>
      </c>
      <c r="H74" s="11"/>
      <c r="I74" s="11"/>
      <c r="K74" s="11"/>
      <c r="L74" s="11"/>
      <c r="M74" s="9"/>
    </row>
    <row r="75" spans="1:13" x14ac:dyDescent="0.25">
      <c r="A75" s="5" t="s">
        <v>85</v>
      </c>
      <c r="B75" s="7">
        <f t="shared" si="0"/>
        <v>-3.7974683544303799E-2</v>
      </c>
      <c r="C75" s="1" t="str">
        <f t="shared" si="1"/>
        <v>FAIL</v>
      </c>
      <c r="H75" s="11"/>
      <c r="I75" s="11"/>
      <c r="K75" s="11"/>
      <c r="L75" s="11"/>
      <c r="M75" s="9"/>
    </row>
    <row r="76" spans="1:13" x14ac:dyDescent="0.25">
      <c r="A76" s="5" t="s">
        <v>86</v>
      </c>
      <c r="B76" s="7">
        <f t="shared" si="0"/>
        <v>0</v>
      </c>
      <c r="C76" s="1" t="str">
        <f t="shared" si="1"/>
        <v>PASS</v>
      </c>
      <c r="H76" s="11"/>
      <c r="I76" s="11"/>
      <c r="K76" s="11"/>
      <c r="L76" s="11"/>
      <c r="M76" s="9"/>
    </row>
    <row r="77" spans="1:13" x14ac:dyDescent="0.25">
      <c r="A77" s="5" t="s">
        <v>87</v>
      </c>
      <c r="B77" s="7">
        <f t="shared" si="0"/>
        <v>0</v>
      </c>
      <c r="C77" s="1" t="str">
        <f t="shared" si="1"/>
        <v>PASS</v>
      </c>
      <c r="H77" s="11"/>
      <c r="I77" s="11"/>
      <c r="K77" s="11"/>
      <c r="L77" s="11"/>
      <c r="M77" s="9"/>
    </row>
    <row r="78" spans="1:13" x14ac:dyDescent="0.25">
      <c r="A78" s="5" t="s">
        <v>99</v>
      </c>
      <c r="B78" s="7">
        <f t="shared" si="0"/>
        <v>0</v>
      </c>
      <c r="C78" s="1" t="str">
        <f t="shared" si="1"/>
        <v>PASS</v>
      </c>
      <c r="G78" s="12"/>
      <c r="H78" s="11"/>
      <c r="I78" s="11"/>
      <c r="K78" s="11"/>
      <c r="L78" s="11"/>
      <c r="M78" s="9"/>
    </row>
    <row r="79" spans="1:13" x14ac:dyDescent="0.25">
      <c r="A79" s="5" t="s">
        <v>100</v>
      </c>
      <c r="B79" s="7">
        <f t="shared" si="0"/>
        <v>0</v>
      </c>
      <c r="C79" s="1" t="str">
        <f t="shared" si="1"/>
        <v>PASS</v>
      </c>
      <c r="M79" s="9"/>
    </row>
    <row r="80" spans="1:13" x14ac:dyDescent="0.25">
      <c r="A80" s="5" t="s">
        <v>88</v>
      </c>
      <c r="B80" s="7">
        <f t="shared" si="0"/>
        <v>0</v>
      </c>
      <c r="C80" s="1" t="str">
        <f t="shared" si="1"/>
        <v>PASS</v>
      </c>
      <c r="J80" s="12"/>
      <c r="M80" s="9"/>
    </row>
    <row r="81" spans="1:13" x14ac:dyDescent="0.25">
      <c r="A81" s="5" t="s">
        <v>27</v>
      </c>
      <c r="B81" s="7">
        <f t="shared" si="0"/>
        <v>-8.0000000000000002E-3</v>
      </c>
      <c r="C81" s="1" t="str">
        <f t="shared" si="1"/>
        <v>FAIL</v>
      </c>
      <c r="M81" s="9"/>
    </row>
    <row r="82" spans="1:13" x14ac:dyDescent="0.25">
      <c r="A82" s="5" t="s">
        <v>29</v>
      </c>
      <c r="B82" s="7">
        <f t="shared" si="0"/>
        <v>-2.3255813953488372E-2</v>
      </c>
      <c r="C82" s="1" t="str">
        <f t="shared" si="1"/>
        <v>FAIL</v>
      </c>
    </row>
    <row r="83" spans="1:13" x14ac:dyDescent="0.25">
      <c r="A83" s="5" t="s">
        <v>30</v>
      </c>
      <c r="B83" s="7">
        <f t="shared" si="0"/>
        <v>0</v>
      </c>
      <c r="C83" s="1" t="str">
        <f t="shared" si="1"/>
        <v>PASS</v>
      </c>
    </row>
    <row r="84" spans="1:13" x14ac:dyDescent="0.25">
      <c r="A84" s="5" t="s">
        <v>31</v>
      </c>
      <c r="B84" s="7">
        <f t="shared" si="0"/>
        <v>0</v>
      </c>
      <c r="C84" s="1" t="str">
        <f t="shared" si="1"/>
        <v>PASS</v>
      </c>
    </row>
    <row r="85" spans="1:13" x14ac:dyDescent="0.25">
      <c r="A85" s="5" t="s">
        <v>101</v>
      </c>
      <c r="B85" s="7">
        <f t="shared" si="0"/>
        <v>0</v>
      </c>
      <c r="C85" s="1" t="str">
        <f t="shared" si="1"/>
        <v>PASS</v>
      </c>
    </row>
    <row r="86" spans="1:13" x14ac:dyDescent="0.25">
      <c r="A86" s="5" t="s">
        <v>102</v>
      </c>
      <c r="B86" s="7">
        <f t="shared" si="0"/>
        <v>0</v>
      </c>
      <c r="C86" s="1" t="str">
        <f t="shared" si="1"/>
        <v>PASS</v>
      </c>
    </row>
    <row r="87" spans="1:13" x14ac:dyDescent="0.25">
      <c r="A87" s="5" t="s">
        <v>33</v>
      </c>
      <c r="B87" s="7">
        <f t="shared" si="0"/>
        <v>0</v>
      </c>
      <c r="C87" s="1" t="str">
        <f t="shared" si="1"/>
        <v>PASS</v>
      </c>
    </row>
    <row r="88" spans="1:13" x14ac:dyDescent="0.25">
      <c r="A88" s="5" t="s">
        <v>34</v>
      </c>
      <c r="B88" s="7">
        <f t="shared" si="0"/>
        <v>-7.500000000000011E-3</v>
      </c>
      <c r="C88" s="1" t="str">
        <f t="shared" si="1"/>
        <v>FAIL</v>
      </c>
    </row>
    <row r="89" spans="1:13" x14ac:dyDescent="0.25">
      <c r="A89" s="5" t="s">
        <v>36</v>
      </c>
      <c r="B89" s="7">
        <f t="shared" si="0"/>
        <v>0</v>
      </c>
      <c r="C89" s="1" t="str">
        <f t="shared" si="1"/>
        <v>PASS</v>
      </c>
    </row>
    <row r="90" spans="1:13" x14ac:dyDescent="0.25">
      <c r="A90" s="5" t="s">
        <v>37</v>
      </c>
      <c r="B90" s="7">
        <f t="shared" si="0"/>
        <v>0</v>
      </c>
      <c r="C90" s="1" t="str">
        <f t="shared" si="1"/>
        <v>PASS</v>
      </c>
    </row>
    <row r="91" spans="1:13" x14ac:dyDescent="0.25">
      <c r="A91" s="5" t="s">
        <v>38</v>
      </c>
      <c r="B91" s="7">
        <f t="shared" si="0"/>
        <v>0</v>
      </c>
      <c r="C91" s="1" t="str">
        <f>IF(AND(B91&lt;=0.5%,B91&gt;=-0.5%),"PASS","FAIL")</f>
        <v>PASS</v>
      </c>
    </row>
    <row r="92" spans="1:13" x14ac:dyDescent="0.25">
      <c r="A92" s="5" t="s">
        <v>39</v>
      </c>
      <c r="B92" s="7">
        <f t="shared" si="0"/>
        <v>0</v>
      </c>
      <c r="C92" s="1" t="str">
        <f t="shared" si="1"/>
        <v>PASS</v>
      </c>
    </row>
    <row r="93" spans="1:13" x14ac:dyDescent="0.25">
      <c r="A93" s="5" t="s">
        <v>41</v>
      </c>
      <c r="B93" s="7">
        <f t="shared" si="0"/>
        <v>-2.5236593059931885E-4</v>
      </c>
      <c r="C93" s="1" t="str">
        <f t="shared" si="1"/>
        <v>PASS</v>
      </c>
    </row>
    <row r="94" spans="1:13" x14ac:dyDescent="0.25">
      <c r="A94" s="5" t="s">
        <v>84</v>
      </c>
      <c r="B94" s="7">
        <f t="shared" si="0"/>
        <v>0</v>
      </c>
      <c r="C94" s="1" t="str">
        <f t="shared" si="1"/>
        <v>PASS</v>
      </c>
    </row>
  </sheetData>
  <mergeCells count="2">
    <mergeCell ref="A1:C1"/>
    <mergeCell ref="A2:C2"/>
  </mergeCells>
  <conditionalFormatting sqref="C52:C94">
    <cfRule type="containsText" dxfId="1" priority="2" operator="containsText" text="PASS">
      <formula>NOT(ISERROR(SEARCH("PASS",C52)))</formula>
    </cfRule>
  </conditionalFormatting>
  <conditionalFormatting sqref="C52:C94">
    <cfRule type="containsText" dxfId="0" priority="1" operator="containsText" text="FAIL">
      <formula>NOT(ISERROR(SEARCH("FAIL",C52)))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1"/>
    </sheetView>
  </sheetViews>
  <sheetFormatPr defaultRowHeight="12.75" x14ac:dyDescent="0.2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 x14ac:dyDescent="0.2">
      <c r="A1" s="65" t="s">
        <v>65</v>
      </c>
      <c r="B1" s="65"/>
    </row>
    <row r="2" spans="1:2" ht="14.25" customHeight="1" x14ac:dyDescent="0.2">
      <c r="A2" s="35"/>
    </row>
    <row r="3" spans="1:2" ht="12" customHeight="1" x14ac:dyDescent="0.2">
      <c r="A3" s="36" t="s">
        <v>43</v>
      </c>
      <c r="B3" s="37" t="s">
        <v>66</v>
      </c>
    </row>
    <row r="4" spans="1:2" ht="18.75" customHeight="1" x14ac:dyDescent="0.2">
      <c r="A4" s="38" t="s">
        <v>67</v>
      </c>
      <c r="B4" s="37" t="s">
        <v>68</v>
      </c>
    </row>
    <row r="5" spans="1:2" ht="15.75" customHeight="1" x14ac:dyDescent="0.2">
      <c r="A5" s="39" t="s">
        <v>44</v>
      </c>
      <c r="B5" s="37" t="s">
        <v>69</v>
      </c>
    </row>
    <row r="6" spans="1:2" ht="15" customHeight="1" x14ac:dyDescent="0.2">
      <c r="A6" s="40" t="s">
        <v>70</v>
      </c>
      <c r="B6" s="37" t="s">
        <v>71</v>
      </c>
    </row>
    <row r="7" spans="1:2" ht="15" customHeight="1" x14ac:dyDescent="0.2">
      <c r="A7" s="41" t="s">
        <v>72</v>
      </c>
      <c r="B7" s="37" t="s">
        <v>73</v>
      </c>
    </row>
    <row r="8" spans="1:2" x14ac:dyDescent="0.2">
      <c r="A8" s="42" t="s">
        <v>74</v>
      </c>
      <c r="B8" s="37" t="s">
        <v>75</v>
      </c>
    </row>
    <row r="9" spans="1:2" x14ac:dyDescent="0.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asshrestha</cp:lastModifiedBy>
  <dcterms:created xsi:type="dcterms:W3CDTF">2015-03-18T06:10:04Z</dcterms:created>
  <dcterms:modified xsi:type="dcterms:W3CDTF">2017-03-31T13:32:42Z</dcterms:modified>
</cp:coreProperties>
</file>