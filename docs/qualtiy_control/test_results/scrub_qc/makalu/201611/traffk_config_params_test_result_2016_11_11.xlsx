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615" yWindow="510" windowWidth="19440" windowHeight="7590" tabRatio="493" activeTab="2"/>
  </bookViews>
  <sheets>
    <sheet name="Summary" sheetId="5" r:id="rId1"/>
    <sheet name="Test Cases" sheetId="16" r:id="rId2"/>
    <sheet name="Trend_Analysis" sheetId="17" r:id="rId3"/>
    <sheet name="Info" sheetId="10" r:id="rId4"/>
  </sheets>
  <externalReferences>
    <externalReference r:id="rId5"/>
  </externalReferences>
  <calcPr calcId="144525"/>
</workbook>
</file>

<file path=xl/calcChain.xml><?xml version="1.0" encoding="utf-8"?>
<calcChain xmlns="http://schemas.openxmlformats.org/spreadsheetml/2006/main">
  <c r="I5" i="17" l="1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I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4" i="17"/>
</calcChain>
</file>

<file path=xl/sharedStrings.xml><?xml version="1.0" encoding="utf-8"?>
<sst xmlns="http://schemas.openxmlformats.org/spreadsheetml/2006/main" count="489" uniqueCount="257">
  <si>
    <t>Expected Result</t>
  </si>
  <si>
    <t>Remarks</t>
  </si>
  <si>
    <t>Version</t>
  </si>
  <si>
    <t>Description</t>
  </si>
  <si>
    <t>Pass</t>
  </si>
  <si>
    <t>Project:</t>
  </si>
  <si>
    <t>Date</t>
  </si>
  <si>
    <t>TEST CASE REVISION HISTORY</t>
  </si>
  <si>
    <t>Author/s</t>
  </si>
  <si>
    <t>Reviewer/s</t>
  </si>
  <si>
    <t>Fail</t>
  </si>
  <si>
    <t>Not Tested</t>
  </si>
  <si>
    <t>All test cases pass</t>
  </si>
  <si>
    <t>All test cases fail</t>
  </si>
  <si>
    <t>Ongoing</t>
  </si>
  <si>
    <t>Pending</t>
  </si>
  <si>
    <t>Blocked</t>
  </si>
  <si>
    <t>Test Blocked due to a reason</t>
  </si>
  <si>
    <t>Test ongoing</t>
  </si>
  <si>
    <t>Test pending</t>
  </si>
  <si>
    <t>TEST RESULT LEGEND</t>
  </si>
  <si>
    <t xml:space="preserve">Not Tested due to a reason </t>
  </si>
  <si>
    <t>TC001</t>
  </si>
  <si>
    <t>Test Cases ID</t>
  </si>
  <si>
    <t>TC002</t>
  </si>
  <si>
    <t>TC004</t>
  </si>
  <si>
    <t>TC005</t>
  </si>
  <si>
    <t>Partially Pass</t>
  </si>
  <si>
    <t>Only some test cases pass</t>
  </si>
  <si>
    <t>Test Description</t>
  </si>
  <si>
    <t>TC006</t>
  </si>
  <si>
    <t>TC008</t>
  </si>
  <si>
    <t>TC009</t>
  </si>
  <si>
    <t>TC010</t>
  </si>
  <si>
    <t>TC011</t>
  </si>
  <si>
    <t>TC007</t>
  </si>
  <si>
    <t>Test Result</t>
  </si>
  <si>
    <t>Client:</t>
  </si>
  <si>
    <t>TC003</t>
  </si>
  <si>
    <t>Result</t>
  </si>
  <si>
    <t>Data Scrubbing</t>
  </si>
  <si>
    <t xml:space="preserve">There should be correct details of the client. </t>
  </si>
  <si>
    <t>It should be as specified. i.e. Latest engine version should be 2.1 and latest master table version should be 1.3</t>
  </si>
  <si>
    <t>Verify  clientId,clientType and clientName</t>
  </si>
  <si>
    <t xml:space="preserve">Maximum Cycle date should be of 5 years. </t>
  </si>
  <si>
    <t>Required</t>
  </si>
  <si>
    <t>Yes</t>
  </si>
  <si>
    <t>No</t>
  </si>
  <si>
    <t>Yes if lvlN exists</t>
  </si>
  <si>
    <t>Verify engineVersion and masterTableVersion</t>
  </si>
  <si>
    <t xml:space="preserve">There should be only two fields : Name and value </t>
  </si>
  <si>
    <t>Verify  the fields used in table</t>
  </si>
  <si>
    <t>Verify cycleStartDate and cycleEndDate</t>
  </si>
  <si>
    <t>Verify calculateMaraRiskScore</t>
  </si>
  <si>
    <t>Verify customReport</t>
  </si>
  <si>
    <t>Verify pharmacyExists</t>
  </si>
  <si>
    <t>Verify hraExists</t>
  </si>
  <si>
    <t>Verify biometricExists</t>
  </si>
  <si>
    <t>Verify labExists</t>
  </si>
  <si>
    <t>Verify participationExists</t>
  </si>
  <si>
    <t xml:space="preserve">It should be either true or false </t>
  </si>
  <si>
    <t>Verify medicalCount</t>
  </si>
  <si>
    <t>Verify pharmacyCount</t>
  </si>
  <si>
    <t>Verify eligibilityCount</t>
  </si>
  <si>
    <t>Verify memberCount</t>
  </si>
  <si>
    <t>Medical count is the total rows count from medical table without  EM(Eligibility Missing) members</t>
  </si>
  <si>
    <t>Pharmacy count is the total rows count from pharmacy table without  EM(Eligibility Missing) members</t>
  </si>
  <si>
    <t>Eligibility count is the total rows count from eligibility  table</t>
  </si>
  <si>
    <t>Member count is the distinct member count from eligibility table</t>
  </si>
  <si>
    <t>Verify display name for levels used</t>
  </si>
  <si>
    <t xml:space="preserve">Level displays should be according to client's requirements
</t>
  </si>
  <si>
    <t>Verify parent levels</t>
  </si>
  <si>
    <t xml:space="preserve">It should be either true or false. No of parent levels should be one less than no. of levels used. For eg;  If there are 4 no. levels used, there should be 3 no. of parent levels used
</t>
  </si>
  <si>
    <t>Verify LOA fields in UDFs</t>
  </si>
  <si>
    <t>Verify eligibleDate</t>
  </si>
  <si>
    <t>Verify cobraStatus</t>
  </si>
  <si>
    <t>Value should be either show or hide.</t>
  </si>
  <si>
    <t>Value should be either increase or decrease</t>
  </si>
  <si>
    <t>Verify level descriptions</t>
  </si>
  <si>
    <t xml:space="preserve">Verify level codes </t>
  </si>
  <si>
    <t>Table</t>
  </si>
  <si>
    <t>makalu_config_params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</si>
  <si>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</si>
  <si>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</si>
  <si>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</si>
  <si>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</si>
  <si>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</si>
  <si>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</si>
  <si>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</si>
  <si>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</si>
  <si>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</si>
  <si>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</si>
  <si>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</si>
  <si>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</si>
  <si>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Level codesshould be according to client's requirements.</t>
  </si>
  <si>
    <t xml:space="preserve"> Level descriptions should be according to client's requirements. No. of level codes and descriptions should be equally used.</t>
  </si>
  <si>
    <t>TC024</t>
  </si>
  <si>
    <t>TC027</t>
  </si>
  <si>
    <t>TC025</t>
  </si>
  <si>
    <t>TC026</t>
  </si>
  <si>
    <t xml:space="preserve">S.N. </t>
  </si>
  <si>
    <t>Current</t>
  </si>
  <si>
    <t>Name field test condition</t>
  </si>
  <si>
    <t>clientId</t>
  </si>
  <si>
    <t>clientType</t>
  </si>
  <si>
    <t>Commercial</t>
  </si>
  <si>
    <t>clientName</t>
  </si>
  <si>
    <t>engineVersion</t>
  </si>
  <si>
    <t>masterTableVersion</t>
  </si>
  <si>
    <t>cycleStartDate</t>
  </si>
  <si>
    <t>cycleEndDate</t>
  </si>
  <si>
    <t>lvl1</t>
  </si>
  <si>
    <t>lvl2</t>
  </si>
  <si>
    <t>lvl3</t>
  </si>
  <si>
    <t>ins_emp_group_id</t>
  </si>
  <si>
    <t>ins_division_id</t>
  </si>
  <si>
    <t>lvl1_desc</t>
  </si>
  <si>
    <t>lvl2_desc</t>
  </si>
  <si>
    <t>lvl3_desc</t>
  </si>
  <si>
    <t>ins_emp_group_name</t>
  </si>
  <si>
    <t>ins_division_name</t>
  </si>
  <si>
    <t>calculateMaraRiskScore</t>
  </si>
  <si>
    <t>customReport</t>
  </si>
  <si>
    <t>pharmacyExists</t>
  </si>
  <si>
    <t>hraExists</t>
  </si>
  <si>
    <t>biometricExists</t>
  </si>
  <si>
    <t>labExists</t>
  </si>
  <si>
    <t>participationExists</t>
  </si>
  <si>
    <t>medicalCount</t>
  </si>
  <si>
    <t>eligibilityCount</t>
  </si>
  <si>
    <t>memberCount</t>
  </si>
  <si>
    <t>numOfLvls</t>
  </si>
  <si>
    <t>lvl1_display</t>
  </si>
  <si>
    <t>lvl2_display</t>
  </si>
  <si>
    <t>lvl3_display</t>
  </si>
  <si>
    <t>parent_lvl2</t>
  </si>
  <si>
    <t>parent_lvl3</t>
  </si>
  <si>
    <t>parent_lvl4</t>
  </si>
  <si>
    <t>Value field test condition</t>
  </si>
  <si>
    <t>Prior</t>
  </si>
  <si>
    <t>Last</t>
  </si>
  <si>
    <t>Makalu Version</t>
  </si>
  <si>
    <t>Upto 2.3</t>
  </si>
  <si>
    <t>If we are populating LOA fields in UDFs then it should be shifted to UDF16-UDF20 and it should be populated across all tables (Elig, Claims, RX) in same UDF.</t>
  </si>
  <si>
    <t>1) It should be either true or false.
2) When true then pharmacy record count for non EM members should be populated.
3) When false then no pharmacy count should be there.</t>
  </si>
  <si>
    <t>Verify numOfvls</t>
  </si>
  <si>
    <t>It should contain the no. of levels used. E.g. 1, 2, 3, 4, … etc. depending upon the client</t>
  </si>
  <si>
    <t>Verify groupWiseCycleDatesExists values.</t>
  </si>
  <si>
    <r>
      <t xml:space="preserve">If group wise cycle dates exists for a client then its value should be </t>
    </r>
    <r>
      <rPr>
        <b/>
        <sz val="10"/>
        <color theme="1"/>
        <rFont val="Calibri"/>
        <family val="2"/>
        <scheme val="minor"/>
      </rPr>
      <t>true</t>
    </r>
  </si>
  <si>
    <t>NO</t>
  </si>
  <si>
    <t>Verify workerscompensationExists values.</t>
  </si>
  <si>
    <r>
      <t xml:space="preserve">The value should be true if worker's compensation file exists for a client, else </t>
    </r>
    <r>
      <rPr>
        <b/>
        <sz val="10"/>
        <color theme="1"/>
        <rFont val="Calibri"/>
        <family val="2"/>
        <scheme val="minor"/>
      </rPr>
      <t>false</t>
    </r>
  </si>
  <si>
    <t>Verify dentalExists and visionExists values.</t>
  </si>
  <si>
    <r>
      <t xml:space="preserve">If dental and vision data is to be processed separately then the value of dentalExists and visionExists should be </t>
    </r>
    <r>
      <rPr>
        <b/>
        <sz val="10"/>
        <color theme="1"/>
        <rFont val="Calibri"/>
        <family val="2"/>
        <scheme val="minor"/>
      </rPr>
      <t>true</t>
    </r>
    <r>
      <rPr>
        <sz val="10"/>
        <color theme="1"/>
        <rFont val="Calibri"/>
        <family val="2"/>
        <scheme val="minor"/>
      </rPr>
      <t xml:space="preserve"> for all client, else </t>
    </r>
    <r>
      <rPr>
        <b/>
        <sz val="10"/>
        <color theme="1"/>
        <rFont val="Calibri"/>
        <family val="2"/>
        <scheme val="minor"/>
      </rPr>
      <t>False</t>
    </r>
    <r>
      <rPr>
        <sz val="10"/>
        <color theme="1"/>
        <rFont val="Calibri"/>
        <family val="2"/>
        <scheme val="minor"/>
      </rPr>
      <t>.</t>
    </r>
  </si>
  <si>
    <r>
      <t xml:space="preserve">1) If dental and vision data is to be processed separately then the value of dentalExists and visionExists should be </t>
    </r>
    <r>
      <rPr>
        <b/>
        <sz val="10"/>
        <color theme="1"/>
        <rFont val="Calibri"/>
        <family val="2"/>
        <scheme val="minor"/>
      </rPr>
      <t>true</t>
    </r>
    <r>
      <rPr>
        <sz val="10"/>
        <color theme="1"/>
        <rFont val="Calibri"/>
        <family val="2"/>
        <scheme val="minor"/>
      </rPr>
      <t xml:space="preserve"> for all client, else </t>
    </r>
    <r>
      <rPr>
        <b/>
        <sz val="10"/>
        <color theme="1"/>
        <rFont val="Calibri"/>
        <family val="2"/>
        <scheme val="minor"/>
      </rPr>
      <t>False</t>
    </r>
    <r>
      <rPr>
        <sz val="10"/>
        <color theme="1"/>
        <rFont val="Calibri"/>
        <family val="2"/>
        <scheme val="minor"/>
      </rPr>
      <t>.
2) If dental and visionExists is true then its count should be sepcified in the table.</t>
    </r>
  </si>
  <si>
    <t>Division</t>
  </si>
  <si>
    <t>4.0</t>
  </si>
  <si>
    <t>Group</t>
  </si>
  <si>
    <t>groupWiseCycleDatesExists</t>
  </si>
  <si>
    <t>name</t>
  </si>
  <si>
    <t>value</t>
  </si>
  <si>
    <t>lvl4</t>
  </si>
  <si>
    <t>udf16</t>
  </si>
  <si>
    <t>lvl4_desc</t>
  </si>
  <si>
    <t>lvl4_display</t>
  </si>
  <si>
    <t>TC028</t>
  </si>
  <si>
    <t>Verify the Switchable_fields presents</t>
  </si>
  <si>
    <t>"The value should not contain following fields , engine supports these as switchable fields by default, otherwise they should be mentioned in the switchable fields
1) ""ins_emp_group_id"", ""ins_emp_group_name""
2) ""ins_plan_id"", ""ins_plan_desc""
3) ""ins_division_id"", ""ins_division_name""
4) ""mbr_relationship_code"", ""mbr_relationship_desc""
5) ""ins_plan_type_code"", ""ins_plan_type_desc""
6) ""ins_carrier_id"",""ins_carrier_name"""</t>
  </si>
  <si>
    <t>TC029</t>
  </si>
  <si>
    <t>Verify oshaExists and kysExists</t>
  </si>
  <si>
    <t>If Osha and Kyn data is to be processed separately then the value of oshaExists and kynExists should be true for all client, else False.</t>
  </si>
  <si>
    <t>no</t>
  </si>
  <si>
    <t>TC030</t>
  </si>
  <si>
    <t>Verify enableTrap values</t>
  </si>
  <si>
    <t>If we need trap is to be enabled while processing then this flag should be set to TRUE, default values is false</t>
  </si>
  <si>
    <t>TC031</t>
  </si>
  <si>
    <t>Verify inputFormat values</t>
  </si>
  <si>
    <t>If input format is Sequence then value should be Sequence else Text, default value is Text</t>
  </si>
  <si>
    <t>TC032</t>
  </si>
  <si>
    <t>Verify useMakaluAttributionLogic values</t>
  </si>
  <si>
    <t>If the Engine Attribution logic does not need than the value should be set to False otherwise the default value is True.</t>
  </si>
  <si>
    <t>TC033</t>
  </si>
  <si>
    <t>Verify EMR data exists values</t>
  </si>
  <si>
    <t>IF the EMR data exists for any clients then their existence should be set to TRUE in config table.</t>
  </si>
  <si>
    <t>TC034</t>
  </si>
  <si>
    <t>Verify RealTime data exists values</t>
  </si>
  <si>
    <t>IF the Real time sync between different products exists for any clients then their existence should be set to TRUE in config table.</t>
  </si>
  <si>
    <t>TC035</t>
  </si>
  <si>
    <t>Verify notesExists, outcomeExists and mapHraInQmexists values</t>
  </si>
  <si>
    <t>IF there is existence of notes, outcome and mapHraInQm than the values for those rows should be set to TRUE, otherwise the default values is False</t>
  </si>
  <si>
    <t>TC036</t>
  </si>
  <si>
    <t>Verify megExists values</t>
  </si>
  <si>
    <t>IF there is existence of Meg than the values for this row should be set to TRUE, otherwise the default values is False</t>
  </si>
  <si>
    <t>TargetCare</t>
  </si>
  <si>
    <t>4.8</t>
  </si>
  <si>
    <t>processingDate</t>
  </si>
  <si>
    <t>admissionExtractExists</t>
  </si>
  <si>
    <t>true</t>
  </si>
  <si>
    <t>false</t>
  </si>
  <si>
    <t>30900001</t>
  </si>
  <si>
    <t>Traffk</t>
  </si>
  <si>
    <t>2016-08-31</t>
  </si>
  <si>
    <t>2011-09-01</t>
  </si>
  <si>
    <t>demographicsExtractExists</t>
  </si>
  <si>
    <t>dentalExists</t>
  </si>
  <si>
    <t>104711</t>
  </si>
  <si>
    <t>eligibilityExtractExists</t>
  </si>
  <si>
    <t>engineExtractExists</t>
  </si>
  <si>
    <t>historicalscoresExtractExists</t>
  </si>
  <si>
    <t>inputFormat</t>
  </si>
  <si>
    <t>makalu</t>
  </si>
  <si>
    <t>ins_carrier_id</t>
  </si>
  <si>
    <t>ins_carrier_name</t>
  </si>
  <si>
    <t>Carrier</t>
  </si>
  <si>
    <t>ins_plan_id</t>
  </si>
  <si>
    <t>ins_plan_desc</t>
  </si>
  <si>
    <t>Plan</t>
  </si>
  <si>
    <t>udf17</t>
  </si>
  <si>
    <t>Unit</t>
  </si>
  <si>
    <t>lvl5</t>
  </si>
  <si>
    <t>udf18</t>
  </si>
  <si>
    <t>lvl5_desc</t>
  </si>
  <si>
    <t>udf19</t>
  </si>
  <si>
    <t>lvl5_display</t>
  </si>
  <si>
    <t>Location</t>
  </si>
  <si>
    <t>lvl6</t>
  </si>
  <si>
    <t>lvl6_desc</t>
  </si>
  <si>
    <t>lvl6_display</t>
  </si>
  <si>
    <t>lvl7</t>
  </si>
  <si>
    <t>udf20</t>
  </si>
  <si>
    <t>lvl7_desc</t>
  </si>
  <si>
    <t>udf21</t>
  </si>
  <si>
    <t>lvl7_display</t>
  </si>
  <si>
    <t>Employee Type</t>
  </si>
  <si>
    <t>M1.1</t>
  </si>
  <si>
    <t>256039</t>
  </si>
  <si>
    <t>medicalExtractExists</t>
  </si>
  <si>
    <t>5662</t>
  </si>
  <si>
    <t>7</t>
  </si>
  <si>
    <t>parent_lvl5</t>
  </si>
  <si>
    <t>parent_lvl6</t>
  </si>
  <si>
    <t>parent_lvl7</t>
  </si>
  <si>
    <t>parent_lvl8</t>
  </si>
  <si>
    <t>participationExtractExists</t>
  </si>
  <si>
    <t>pcpExtractExists</t>
  </si>
  <si>
    <t>pharmacyExtractExists</t>
  </si>
  <si>
    <t>2016-10-31</t>
  </si>
  <si>
    <t>qualitymetricsExtractExists</t>
  </si>
  <si>
    <t>scoresExtractExists</t>
  </si>
  <si>
    <t>switchable_fields</t>
  </si>
  <si>
    <t>udf18:udf19</t>
  </si>
  <si>
    <t>visionExists</t>
  </si>
  <si>
    <t>visitsExtractExists</t>
  </si>
  <si>
    <t>Akesh</t>
  </si>
  <si>
    <t>2011-11-01</t>
  </si>
  <si>
    <t>2016-11-09</t>
  </si>
  <si>
    <t>udf16:udf17;udf18:udf19;udf20:udf21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</si>
</sst>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-409]General"/>
    <numFmt numFmtId="166" formatCode="mm\-dd\-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CD5B5"/>
        <bgColor rgb="FFFCD5B5"/>
      </patternFill>
    </fill>
    <fill>
      <patternFill patternType="solid">
        <fgColor rgb="FFFF0000"/>
        <bgColor rgb="FFFF0000"/>
      </patternFill>
    </fill>
    <fill>
      <patternFill patternType="solid">
        <fgColor theme="7" tint="0.59999389629810485"/>
        <bgColor rgb="FFC6D9F1"/>
      </patternFill>
    </fill>
    <fill>
      <patternFill patternType="solid">
        <fgColor rgb="FFFFFF00"/>
        <bgColor rgb="FFC6D9F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6" tint="-0.499984740745262"/>
        <bgColor rgb="FF808080"/>
      </patternFill>
    </fill>
    <fill>
      <patternFill patternType="solid">
        <fgColor theme="6" tint="-0.249977111117893"/>
        <bgColor rgb="FF80808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165" fontId="4" fillId="0" borderId="0" applyBorder="0" applyProtection="0"/>
  </cellStyleXfs>
  <cellXfs count="68">
    <xf numFmtId="0" fontId="0" fillId="0" borderId="0" xfId="0"/>
    <xf numFmtId="0" fontId="6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5" fillId="10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5" fillId="11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/>
    </xf>
    <xf numFmtId="0" fontId="8" fillId="0" borderId="0" xfId="0" applyFont="1"/>
    <xf numFmtId="165" fontId="11" fillId="2" borderId="1" xfId="6" applyFont="1" applyFill="1" applyBorder="1" applyAlignment="1" applyProtection="1">
      <alignment vertical="top"/>
    </xf>
    <xf numFmtId="165" fontId="11" fillId="0" borderId="1" xfId="6" applyFont="1" applyFill="1" applyBorder="1" applyAlignment="1" applyProtection="1">
      <alignment vertical="top"/>
    </xf>
    <xf numFmtId="165" fontId="11" fillId="3" borderId="1" xfId="6" applyFont="1" applyFill="1" applyBorder="1" applyAlignment="1" applyProtection="1">
      <alignment vertical="top"/>
    </xf>
    <xf numFmtId="165" fontId="11" fillId="4" borderId="1" xfId="6" applyFont="1" applyFill="1" applyBorder="1" applyAlignment="1" applyProtection="1">
      <alignment vertical="top"/>
    </xf>
    <xf numFmtId="165" fontId="11" fillId="6" borderId="1" xfId="6" applyFont="1" applyFill="1" applyBorder="1" applyAlignment="1" applyProtection="1">
      <alignment vertical="top"/>
    </xf>
    <xf numFmtId="165" fontId="11" fillId="5" borderId="1" xfId="6" applyFont="1" applyFill="1" applyBorder="1" applyAlignment="1" applyProtection="1">
      <alignment vertical="top"/>
    </xf>
    <xf numFmtId="165" fontId="11" fillId="8" borderId="1" xfId="6" applyFont="1" applyFill="1" applyBorder="1" applyAlignment="1" applyProtection="1">
      <alignment vertical="top"/>
    </xf>
    <xf numFmtId="0" fontId="9" fillId="7" borderId="1" xfId="0" applyFont="1" applyFill="1" applyBorder="1"/>
    <xf numFmtId="49" fontId="9" fillId="0" borderId="1" xfId="0" applyNumberFormat="1" applyFont="1" applyBorder="1" applyAlignment="1">
      <alignment horizontal="right"/>
    </xf>
    <xf numFmtId="49" fontId="9" fillId="0" borderId="0" xfId="0" applyNumberFormat="1" applyFont="1"/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9" fillId="0" borderId="0" xfId="0" applyFont="1" applyBorder="1"/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left" vertical="center" wrapText="1"/>
    </xf>
    <xf numFmtId="166" fontId="10" fillId="0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wrapText="1"/>
    </xf>
    <xf numFmtId="49" fontId="5" fillId="12" borderId="1" xfId="0" applyNumberFormat="1" applyFont="1" applyFill="1" applyBorder="1" applyAlignment="1">
      <alignment horizontal="center"/>
    </xf>
    <xf numFmtId="49" fontId="5" fillId="12" borderId="1" xfId="0" applyNumberFormat="1" applyFont="1" applyFill="1" applyBorder="1" applyAlignment="1">
      <alignment horizontal="left"/>
    </xf>
    <xf numFmtId="49" fontId="9" fillId="0" borderId="1" xfId="0" applyNumberFormat="1" applyFont="1" applyBorder="1" applyAlignment="1">
      <alignment wrapText="1"/>
    </xf>
    <xf numFmtId="49" fontId="9" fillId="0" borderId="1" xfId="0" applyNumberFormat="1" applyFont="1" applyBorder="1"/>
    <xf numFmtId="0" fontId="9" fillId="0" borderId="7" xfId="0" applyNumberFormat="1" applyFont="1" applyBorder="1" applyAlignment="1">
      <alignment horizontal="center"/>
    </xf>
    <xf numFmtId="0" fontId="9" fillId="0" borderId="1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9" fillId="13" borderId="1" xfId="0" applyNumberFormat="1" applyFont="1" applyFill="1" applyBorder="1" applyAlignment="1">
      <alignment wrapText="1"/>
    </xf>
    <xf numFmtId="49" fontId="9" fillId="13" borderId="1" xfId="0" applyNumberFormat="1" applyFont="1" applyFill="1" applyBorder="1" applyAlignment="1">
      <alignment horizontal="left" wrapText="1"/>
    </xf>
    <xf numFmtId="49" fontId="9" fillId="0" borderId="1" xfId="0" applyNumberFormat="1" applyFont="1" applyFill="1" applyBorder="1" applyAlignment="1">
      <alignment wrapText="1"/>
    </xf>
    <xf numFmtId="49" fontId="9" fillId="0" borderId="1" xfId="0" applyNumberFormat="1" applyFont="1" applyFill="1" applyBorder="1" applyAlignment="1">
      <alignment horizontal="left" wrapText="1"/>
    </xf>
    <xf numFmtId="49" fontId="9" fillId="0" borderId="1" xfId="0" applyNumberFormat="1" applyFont="1" applyFill="1" applyBorder="1"/>
    <xf numFmtId="49" fontId="9" fillId="0" borderId="1" xfId="0" applyNumberFormat="1" applyFont="1" applyFill="1" applyBorder="1" applyAlignment="1">
      <alignment horizontal="left"/>
    </xf>
    <xf numFmtId="0" fontId="9" fillId="0" borderId="8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/>
    </xf>
    <xf numFmtId="49" fontId="9" fillId="14" borderId="1" xfId="0" applyNumberFormat="1" applyFont="1" applyFill="1" applyBorder="1"/>
    <xf numFmtId="49" fontId="9" fillId="14" borderId="1" xfId="0" applyNumberFormat="1" applyFont="1" applyFill="1" applyBorder="1" applyAlignment="1">
      <alignment horizontal="left"/>
    </xf>
    <xf numFmtId="49" fontId="9" fillId="14" borderId="1" xfId="0" applyNumberFormat="1" applyFont="1" applyFill="1" applyBorder="1" applyAlignment="1">
      <alignment wrapText="1"/>
    </xf>
    <xf numFmtId="49" fontId="9" fillId="14" borderId="1" xfId="0" applyNumberFormat="1" applyFont="1" applyFill="1" applyBorder="1" applyAlignment="1">
      <alignment horizontal="left" wrapText="1"/>
    </xf>
    <xf numFmtId="0" fontId="8" fillId="0" borderId="1" xfId="0" applyFont="1" applyBorder="1" applyAlignment="1">
      <alignment horizontal="center" vertical="center"/>
    </xf>
    <xf numFmtId="49" fontId="5" fillId="12" borderId="5" xfId="0" applyNumberFormat="1" applyFont="1" applyFill="1" applyBorder="1" applyAlignment="1">
      <alignment horizontal="center" vertical="center"/>
    </xf>
    <xf numFmtId="49" fontId="5" fillId="12" borderId="8" xfId="0" applyNumberFormat="1" applyFont="1" applyFill="1" applyBorder="1" applyAlignment="1">
      <alignment horizontal="center" vertical="center"/>
    </xf>
    <xf numFmtId="49" fontId="5" fillId="12" borderId="6" xfId="0" applyNumberFormat="1" applyFont="1" applyFill="1" applyBorder="1" applyAlignment="1">
      <alignment horizontal="center"/>
    </xf>
    <xf numFmtId="49" fontId="5" fillId="12" borderId="7" xfId="0" applyNumberFormat="1" applyFont="1" applyFill="1" applyBorder="1" applyAlignment="1">
      <alignment horizontal="center"/>
    </xf>
    <xf numFmtId="0" fontId="5" fillId="12" borderId="5" xfId="0" applyNumberFormat="1" applyFont="1" applyFill="1" applyBorder="1" applyAlignment="1">
      <alignment horizontal="center" vertical="center"/>
    </xf>
    <xf numFmtId="0" fontId="5" fillId="12" borderId="8" xfId="0" applyNumberFormat="1" applyFont="1" applyFill="1" applyBorder="1" applyAlignment="1">
      <alignment horizontal="center" vertical="center"/>
    </xf>
    <xf numFmtId="49" fontId="5" fillId="12" borderId="5" xfId="0" applyNumberFormat="1" applyFont="1" applyFill="1" applyBorder="1" applyAlignment="1">
      <alignment horizontal="center" vertical="center" wrapText="1"/>
    </xf>
    <xf numFmtId="49" fontId="5" fillId="12" borderId="8" xfId="0" applyNumberFormat="1" applyFont="1" applyFill="1" applyBorder="1" applyAlignment="1">
      <alignment horizontal="center" vertical="center" wrapText="1"/>
    </xf>
  </cellXfs>
  <cellStyles count="7">
    <cellStyle name="Excel Built-in Normal" xfId="6"/>
    <cellStyle name="Normal" xfId="0" builtinId="0"/>
    <cellStyle name="Normal 2" xfId="2"/>
    <cellStyle name="Normal 2 2" xfId="1"/>
    <cellStyle name="Normal 2 3" xfId="4"/>
    <cellStyle name="Normal 2 4" xfId="5"/>
    <cellStyle name="Normal 3" xfId="3"/>
  </cellStyles>
  <dxfs count="3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1363721</xdr:colOff>
      <xdr:row>0</xdr:row>
      <xdr:rowOff>63403</xdr:rowOff>
    </xdr:from>
    <xdr:to>
      <xdr:col>6</xdr:col>
      <xdr:colOff>115422</xdr:colOff>
      <xdr:row>3</xdr:row>
      <xdr:rowOff>64108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55121" y="63403"/>
          <a:ext cx="1723501" cy="486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rd_tlc_specific_test_result_2013_08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ngine Dependencies"/>
      <sheetName val="Change Request"/>
      <sheetName val="Info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showGridLines="0" workbookViewId="0">
      <pane ySplit="6" topLeftCell="A7" activePane="bottomLeft" state="frozen"/>
      <selection pane="bottomLeft" activeCell="E14" sqref="E14"/>
    </sheetView>
  </sheetViews>
  <sheetFormatPr defaultRowHeight="12.75" x14ac:dyDescent="0.25"/>
  <cols>
    <col min="1" max="1" width="30.28515625" style="10" bestFit="1" customWidth="1"/>
    <col min="2" max="2" width="27.140625" style="10" customWidth="1"/>
    <col min="3" max="3" width="7" style="10" bestFit="1" customWidth="1"/>
    <col min="4" max="4" width="26.5703125" style="10" customWidth="1"/>
    <col min="5" max="5" width="23.5703125" style="10" customWidth="1"/>
    <col min="6" max="6" width="21" style="10" customWidth="1"/>
    <col min="7" max="7" width="23.28515625" style="10" customWidth="1"/>
    <col min="8" max="16384" width="9.140625" style="10"/>
  </cols>
  <sheetData>
    <row r="1" spans="1:7" x14ac:dyDescent="0.25">
      <c r="A1" s="4" t="s">
        <v>5</v>
      </c>
      <c r="B1" s="33" t="s">
        <v>40</v>
      </c>
      <c r="C1" s="9"/>
    </row>
    <row r="2" spans="1:7" x14ac:dyDescent="0.25">
      <c r="A2" s="4" t="s">
        <v>37</v>
      </c>
      <c r="B2" s="33" t="s">
        <v>193</v>
      </c>
      <c r="C2" s="9"/>
    </row>
    <row r="3" spans="1:7" x14ac:dyDescent="0.25">
      <c r="A3" s="11"/>
      <c r="B3" s="11"/>
    </row>
    <row r="4" spans="1:7" s="3" customFormat="1" x14ac:dyDescent="0.25">
      <c r="A4" s="5" t="s">
        <v>7</v>
      </c>
    </row>
    <row r="5" spans="1:7" s="3" customFormat="1" x14ac:dyDescent="0.25"/>
    <row r="6" spans="1:7" s="3" customFormat="1" x14ac:dyDescent="0.25">
      <c r="A6" s="6" t="s">
        <v>6</v>
      </c>
      <c r="B6" s="6" t="s">
        <v>80</v>
      </c>
      <c r="C6" s="6" t="s">
        <v>2</v>
      </c>
      <c r="D6" s="6" t="s">
        <v>3</v>
      </c>
      <c r="E6" s="6" t="s">
        <v>8</v>
      </c>
      <c r="F6" s="6" t="s">
        <v>9</v>
      </c>
      <c r="G6" s="6" t="s">
        <v>1</v>
      </c>
    </row>
    <row r="7" spans="1:7" x14ac:dyDescent="0.25">
      <c r="A7" s="34">
        <v>42562</v>
      </c>
      <c r="B7" s="12" t="s">
        <v>81</v>
      </c>
      <c r="C7" s="12" t="s">
        <v>194</v>
      </c>
      <c r="D7" s="7" t="s">
        <v>36</v>
      </c>
      <c r="E7" s="7" t="s">
        <v>253</v>
      </c>
      <c r="F7" s="7"/>
      <c r="G7" s="8"/>
    </row>
  </sheetData>
  <pageMargins left="0.7" right="0.7" top="0.75" bottom="0.75" header="0.3" footer="0.3"/>
  <pageSetup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pane ySplit="1" topLeftCell="A2" activePane="bottomLeft" state="frozen"/>
      <selection pane="bottomLeft" activeCell="D12" sqref="D12"/>
    </sheetView>
  </sheetViews>
  <sheetFormatPr defaultRowHeight="12.75" x14ac:dyDescent="0.2"/>
  <cols>
    <col min="1" max="1" width="13.140625" style="13" bestFit="1" customWidth="1"/>
    <col min="2" max="2" width="11" style="30" bestFit="1" customWidth="1"/>
    <col min="3" max="3" width="37.5703125" style="31" bestFit="1" customWidth="1"/>
    <col min="4" max="4" width="72.85546875" style="31" bestFit="1" customWidth="1"/>
    <col min="5" max="5" width="14.85546875" style="31" bestFit="1" customWidth="1"/>
    <col min="6" max="6" width="11.7109375" style="3" customWidth="1"/>
    <col min="7" max="7" width="7.7109375" style="3" bestFit="1" customWidth="1"/>
    <col min="8" max="16384" width="9.140625" style="2"/>
  </cols>
  <sheetData>
    <row r="1" spans="1:7" s="1" customFormat="1" x14ac:dyDescent="0.25">
      <c r="A1" s="32" t="s">
        <v>141</v>
      </c>
      <c r="B1" s="32" t="s">
        <v>23</v>
      </c>
      <c r="C1" s="32" t="s">
        <v>29</v>
      </c>
      <c r="D1" s="32" t="s">
        <v>0</v>
      </c>
      <c r="E1" s="32" t="s">
        <v>45</v>
      </c>
      <c r="F1" s="32" t="s">
        <v>39</v>
      </c>
      <c r="G1" s="32" t="s">
        <v>1</v>
      </c>
    </row>
    <row r="2" spans="1:7" x14ac:dyDescent="0.2">
      <c r="A2" s="59" t="s">
        <v>142</v>
      </c>
      <c r="B2" s="26" t="s">
        <v>22</v>
      </c>
      <c r="C2" s="43" t="s">
        <v>51</v>
      </c>
      <c r="D2" s="27" t="s">
        <v>50</v>
      </c>
      <c r="E2" s="26" t="s">
        <v>46</v>
      </c>
      <c r="F2" s="26" t="s">
        <v>4</v>
      </c>
      <c r="G2" s="27"/>
    </row>
    <row r="3" spans="1:7" x14ac:dyDescent="0.2">
      <c r="A3" s="59"/>
      <c r="B3" s="26" t="s">
        <v>24</v>
      </c>
      <c r="C3" s="43" t="s">
        <v>43</v>
      </c>
      <c r="D3" s="27" t="s">
        <v>41</v>
      </c>
      <c r="E3" s="26" t="s">
        <v>46</v>
      </c>
      <c r="F3" s="26" t="s">
        <v>4</v>
      </c>
      <c r="G3" s="27"/>
    </row>
    <row r="4" spans="1:7" ht="25.5" x14ac:dyDescent="0.2">
      <c r="A4" s="59"/>
      <c r="B4" s="26" t="s">
        <v>38</v>
      </c>
      <c r="C4" s="43" t="s">
        <v>49</v>
      </c>
      <c r="D4" s="27" t="s">
        <v>42</v>
      </c>
      <c r="E4" s="26" t="s">
        <v>46</v>
      </c>
      <c r="F4" s="26" t="s">
        <v>4</v>
      </c>
      <c r="G4" s="27"/>
    </row>
    <row r="5" spans="1:7" x14ac:dyDescent="0.2">
      <c r="A5" s="59"/>
      <c r="B5" s="26" t="s">
        <v>25</v>
      </c>
      <c r="C5" s="43" t="s">
        <v>52</v>
      </c>
      <c r="D5" s="27" t="s">
        <v>44</v>
      </c>
      <c r="E5" s="26" t="s">
        <v>46</v>
      </c>
      <c r="F5" s="26" t="s">
        <v>4</v>
      </c>
      <c r="G5" s="27"/>
    </row>
    <row r="6" spans="1:7" x14ac:dyDescent="0.2">
      <c r="A6" s="59"/>
      <c r="B6" s="26" t="s">
        <v>26</v>
      </c>
      <c r="C6" s="43" t="s">
        <v>79</v>
      </c>
      <c r="D6" s="27" t="s">
        <v>94</v>
      </c>
      <c r="E6" s="26" t="s">
        <v>47</v>
      </c>
      <c r="F6" s="26" t="s">
        <v>4</v>
      </c>
      <c r="G6" s="27"/>
    </row>
    <row r="7" spans="1:7" ht="25.5" x14ac:dyDescent="0.2">
      <c r="A7" s="59"/>
      <c r="B7" s="26" t="s">
        <v>30</v>
      </c>
      <c r="C7" s="43" t="s">
        <v>78</v>
      </c>
      <c r="D7" s="27" t="s">
        <v>95</v>
      </c>
      <c r="E7" s="26" t="s">
        <v>48</v>
      </c>
      <c r="F7" s="26" t="s">
        <v>4</v>
      </c>
      <c r="G7" s="27"/>
    </row>
    <row r="8" spans="1:7" ht="25.5" x14ac:dyDescent="0.2">
      <c r="A8" s="59"/>
      <c r="B8" s="26" t="s">
        <v>35</v>
      </c>
      <c r="C8" s="43" t="s">
        <v>73</v>
      </c>
      <c r="D8" s="27" t="s">
        <v>143</v>
      </c>
      <c r="E8" s="26" t="s">
        <v>47</v>
      </c>
      <c r="F8" s="26" t="s">
        <v>4</v>
      </c>
      <c r="G8" s="27"/>
    </row>
    <row r="9" spans="1:7" x14ac:dyDescent="0.2">
      <c r="A9" s="59"/>
      <c r="B9" s="26" t="s">
        <v>31</v>
      </c>
      <c r="C9" s="43" t="s">
        <v>53</v>
      </c>
      <c r="D9" s="27" t="s">
        <v>60</v>
      </c>
      <c r="E9" s="26" t="s">
        <v>47</v>
      </c>
      <c r="F9" s="26" t="s">
        <v>4</v>
      </c>
      <c r="G9" s="27"/>
    </row>
    <row r="10" spans="1:7" x14ac:dyDescent="0.2">
      <c r="A10" s="59"/>
      <c r="B10" s="26" t="s">
        <v>32</v>
      </c>
      <c r="C10" s="43" t="s">
        <v>54</v>
      </c>
      <c r="D10" s="27" t="s">
        <v>60</v>
      </c>
      <c r="E10" s="26" t="s">
        <v>47</v>
      </c>
      <c r="F10" s="26" t="s">
        <v>4</v>
      </c>
      <c r="G10" s="27"/>
    </row>
    <row r="11" spans="1:7" ht="38.25" x14ac:dyDescent="0.2">
      <c r="A11" s="59"/>
      <c r="B11" s="26" t="s">
        <v>33</v>
      </c>
      <c r="C11" s="43" t="s">
        <v>55</v>
      </c>
      <c r="D11" s="27" t="s">
        <v>144</v>
      </c>
      <c r="E11" s="26" t="s">
        <v>47</v>
      </c>
      <c r="F11" s="26" t="s">
        <v>4</v>
      </c>
      <c r="G11" s="27"/>
    </row>
    <row r="12" spans="1:7" ht="38.25" x14ac:dyDescent="0.2">
      <c r="A12" s="59"/>
      <c r="B12" s="26" t="s">
        <v>34</v>
      </c>
      <c r="C12" s="43" t="s">
        <v>56</v>
      </c>
      <c r="D12" s="27" t="s">
        <v>144</v>
      </c>
      <c r="E12" s="26" t="s">
        <v>47</v>
      </c>
      <c r="F12" s="26" t="s">
        <v>4</v>
      </c>
      <c r="G12" s="27"/>
    </row>
    <row r="13" spans="1:7" ht="38.25" x14ac:dyDescent="0.2">
      <c r="A13" s="59"/>
      <c r="B13" s="26" t="s">
        <v>82</v>
      </c>
      <c r="C13" s="43" t="s">
        <v>57</v>
      </c>
      <c r="D13" s="27" t="s">
        <v>144</v>
      </c>
      <c r="E13" s="26" t="s">
        <v>47</v>
      </c>
      <c r="F13" s="26" t="s">
        <v>4</v>
      </c>
      <c r="G13" s="27"/>
    </row>
    <row r="14" spans="1:7" ht="38.25" x14ac:dyDescent="0.2">
      <c r="A14" s="59"/>
      <c r="B14" s="26" t="s">
        <v>83</v>
      </c>
      <c r="C14" s="43" t="s">
        <v>58</v>
      </c>
      <c r="D14" s="27" t="s">
        <v>144</v>
      </c>
      <c r="E14" s="26" t="s">
        <v>47</v>
      </c>
      <c r="F14" s="26" t="s">
        <v>4</v>
      </c>
      <c r="G14" s="27"/>
    </row>
    <row r="15" spans="1:7" ht="38.25" x14ac:dyDescent="0.2">
      <c r="A15" s="59"/>
      <c r="B15" s="26" t="s">
        <v>84</v>
      </c>
      <c r="C15" s="43" t="s">
        <v>59</v>
      </c>
      <c r="D15" s="27" t="s">
        <v>144</v>
      </c>
      <c r="E15" s="26" t="s">
        <v>47</v>
      </c>
      <c r="F15" s="26" t="s">
        <v>4</v>
      </c>
      <c r="G15" s="27"/>
    </row>
    <row r="16" spans="1:7" ht="25.5" x14ac:dyDescent="0.2">
      <c r="A16" s="59"/>
      <c r="B16" s="26" t="s">
        <v>85</v>
      </c>
      <c r="C16" s="43" t="s">
        <v>61</v>
      </c>
      <c r="D16" s="27" t="s">
        <v>65</v>
      </c>
      <c r="E16" s="26" t="s">
        <v>46</v>
      </c>
      <c r="F16" s="26" t="s">
        <v>4</v>
      </c>
      <c r="G16" s="27"/>
    </row>
    <row r="17" spans="1:7" ht="25.5" x14ac:dyDescent="0.2">
      <c r="A17" s="59"/>
      <c r="B17" s="26" t="s">
        <v>86</v>
      </c>
      <c r="C17" s="43" t="s">
        <v>62</v>
      </c>
      <c r="D17" s="27" t="s">
        <v>66</v>
      </c>
      <c r="E17" s="26" t="s">
        <v>46</v>
      </c>
      <c r="F17" s="26" t="s">
        <v>4</v>
      </c>
      <c r="G17" s="27"/>
    </row>
    <row r="18" spans="1:7" x14ac:dyDescent="0.2">
      <c r="A18" s="59"/>
      <c r="B18" s="26" t="s">
        <v>87</v>
      </c>
      <c r="C18" s="43" t="s">
        <v>63</v>
      </c>
      <c r="D18" s="27" t="s">
        <v>67</v>
      </c>
      <c r="E18" s="26" t="s">
        <v>46</v>
      </c>
      <c r="F18" s="26" t="s">
        <v>4</v>
      </c>
      <c r="G18" s="27"/>
    </row>
    <row r="19" spans="1:7" x14ac:dyDescent="0.2">
      <c r="A19" s="59"/>
      <c r="B19" s="26" t="s">
        <v>88</v>
      </c>
      <c r="C19" s="43" t="s">
        <v>64</v>
      </c>
      <c r="D19" s="27" t="s">
        <v>68</v>
      </c>
      <c r="E19" s="26" t="s">
        <v>46</v>
      </c>
      <c r="F19" s="26" t="s">
        <v>4</v>
      </c>
      <c r="G19" s="27"/>
    </row>
    <row r="20" spans="1:7" x14ac:dyDescent="0.2">
      <c r="A20" s="59"/>
      <c r="B20" s="26" t="s">
        <v>89</v>
      </c>
      <c r="C20" s="43" t="s">
        <v>145</v>
      </c>
      <c r="D20" s="27" t="s">
        <v>146</v>
      </c>
      <c r="E20" s="26" t="s">
        <v>48</v>
      </c>
      <c r="F20" s="26" t="s">
        <v>4</v>
      </c>
      <c r="G20" s="27"/>
    </row>
    <row r="21" spans="1:7" s="3" customFormat="1" ht="25.5" x14ac:dyDescent="0.25">
      <c r="A21" s="59"/>
      <c r="B21" s="26" t="s">
        <v>90</v>
      </c>
      <c r="C21" s="43" t="s">
        <v>69</v>
      </c>
      <c r="D21" s="27" t="s">
        <v>70</v>
      </c>
      <c r="E21" s="26" t="s">
        <v>48</v>
      </c>
      <c r="F21" s="26" t="s">
        <v>4</v>
      </c>
      <c r="G21" s="27"/>
    </row>
    <row r="22" spans="1:7" ht="38.25" x14ac:dyDescent="0.2">
      <c r="A22" s="59"/>
      <c r="B22" s="26" t="s">
        <v>91</v>
      </c>
      <c r="C22" s="43" t="s">
        <v>71</v>
      </c>
      <c r="D22" s="27" t="s">
        <v>72</v>
      </c>
      <c r="E22" s="26" t="s">
        <v>47</v>
      </c>
      <c r="F22" s="26" t="s">
        <v>4</v>
      </c>
      <c r="G22" s="27"/>
    </row>
    <row r="23" spans="1:7" x14ac:dyDescent="0.2">
      <c r="A23" s="59"/>
      <c r="B23" s="26" t="s">
        <v>92</v>
      </c>
      <c r="C23" s="43" t="s">
        <v>75</v>
      </c>
      <c r="D23" s="27" t="s">
        <v>76</v>
      </c>
      <c r="E23" s="26" t="s">
        <v>47</v>
      </c>
      <c r="F23" s="26" t="s">
        <v>4</v>
      </c>
      <c r="G23" s="27"/>
    </row>
    <row r="24" spans="1:7" x14ac:dyDescent="0.2">
      <c r="A24" s="59"/>
      <c r="B24" s="26" t="s">
        <v>93</v>
      </c>
      <c r="C24" s="43" t="s">
        <v>74</v>
      </c>
      <c r="D24" s="27" t="s">
        <v>77</v>
      </c>
      <c r="E24" s="26" t="s">
        <v>47</v>
      </c>
      <c r="F24" s="26" t="s">
        <v>4</v>
      </c>
      <c r="G24" s="27"/>
    </row>
    <row r="25" spans="1:7" x14ac:dyDescent="0.2">
      <c r="A25" s="59"/>
      <c r="B25" s="26" t="s">
        <v>96</v>
      </c>
      <c r="C25" s="43" t="s">
        <v>147</v>
      </c>
      <c r="D25" s="27" t="s">
        <v>148</v>
      </c>
      <c r="E25" s="26" t="s">
        <v>149</v>
      </c>
      <c r="F25" s="26" t="s">
        <v>4</v>
      </c>
      <c r="G25" s="28"/>
    </row>
    <row r="26" spans="1:7" x14ac:dyDescent="0.2">
      <c r="A26" s="59"/>
      <c r="B26" s="26" t="s">
        <v>98</v>
      </c>
      <c r="C26" s="43" t="s">
        <v>150</v>
      </c>
      <c r="D26" s="27" t="s">
        <v>151</v>
      </c>
      <c r="E26" s="26" t="s">
        <v>46</v>
      </c>
      <c r="F26" s="26" t="s">
        <v>4</v>
      </c>
      <c r="G26" s="28"/>
    </row>
    <row r="27" spans="1:7" ht="25.5" x14ac:dyDescent="0.2">
      <c r="A27" s="59">
        <v>2.4</v>
      </c>
      <c r="B27" s="26" t="s">
        <v>99</v>
      </c>
      <c r="C27" s="43" t="s">
        <v>152</v>
      </c>
      <c r="D27" s="27" t="s">
        <v>153</v>
      </c>
      <c r="E27" s="26" t="s">
        <v>47</v>
      </c>
      <c r="F27" s="26" t="s">
        <v>4</v>
      </c>
      <c r="G27" s="28"/>
    </row>
    <row r="28" spans="1:7" ht="38.25" x14ac:dyDescent="0.2">
      <c r="A28" s="59"/>
      <c r="B28" s="26" t="s">
        <v>97</v>
      </c>
      <c r="C28" s="43" t="s">
        <v>152</v>
      </c>
      <c r="D28" s="27" t="s">
        <v>154</v>
      </c>
      <c r="E28" s="26" t="s">
        <v>47</v>
      </c>
      <c r="F28" s="26" t="s">
        <v>4</v>
      </c>
      <c r="G28" s="28"/>
    </row>
    <row r="29" spans="1:7" ht="102" x14ac:dyDescent="0.2">
      <c r="A29" s="44">
        <v>2.5</v>
      </c>
      <c r="B29" s="26" t="s">
        <v>165</v>
      </c>
      <c r="C29" s="43" t="s">
        <v>166</v>
      </c>
      <c r="D29" s="27" t="s">
        <v>167</v>
      </c>
      <c r="E29" s="26" t="s">
        <v>46</v>
      </c>
      <c r="F29" s="26" t="s">
        <v>4</v>
      </c>
      <c r="G29" s="28"/>
    </row>
    <row r="30" spans="1:7" ht="25.5" x14ac:dyDescent="0.2">
      <c r="A30" s="44">
        <v>3.1</v>
      </c>
      <c r="B30" s="26" t="s">
        <v>168</v>
      </c>
      <c r="C30" s="43" t="s">
        <v>169</v>
      </c>
      <c r="D30" s="27" t="s">
        <v>170</v>
      </c>
      <c r="E30" s="26" t="s">
        <v>171</v>
      </c>
      <c r="F30" s="26" t="s">
        <v>4</v>
      </c>
      <c r="G30" s="28"/>
    </row>
    <row r="31" spans="1:7" ht="25.5" x14ac:dyDescent="0.2">
      <c r="A31" s="45">
        <v>3.5</v>
      </c>
      <c r="B31" s="26" t="s">
        <v>172</v>
      </c>
      <c r="C31" s="43" t="s">
        <v>173</v>
      </c>
      <c r="D31" s="27" t="s">
        <v>174</v>
      </c>
      <c r="E31" s="26" t="s">
        <v>171</v>
      </c>
      <c r="F31" s="26" t="s">
        <v>4</v>
      </c>
      <c r="G31" s="28"/>
    </row>
    <row r="32" spans="1:7" ht="15.75" customHeight="1" x14ac:dyDescent="0.2">
      <c r="A32" s="44">
        <v>3.8</v>
      </c>
      <c r="B32" s="26" t="s">
        <v>175</v>
      </c>
      <c r="C32" s="43" t="s">
        <v>176</v>
      </c>
      <c r="D32" s="27" t="s">
        <v>177</v>
      </c>
      <c r="E32" s="26" t="s">
        <v>171</v>
      </c>
      <c r="F32" s="26" t="s">
        <v>4</v>
      </c>
      <c r="G32" s="28"/>
    </row>
    <row r="33" spans="1:7" ht="25.5" x14ac:dyDescent="0.2">
      <c r="A33" s="46" t="s">
        <v>156</v>
      </c>
      <c r="B33" s="26" t="s">
        <v>178</v>
      </c>
      <c r="C33" s="43" t="s">
        <v>179</v>
      </c>
      <c r="D33" s="27" t="s">
        <v>180</v>
      </c>
      <c r="E33" s="26" t="s">
        <v>171</v>
      </c>
      <c r="F33" s="26" t="s">
        <v>4</v>
      </c>
      <c r="G33" s="28"/>
    </row>
    <row r="34" spans="1:7" ht="25.5" x14ac:dyDescent="0.2">
      <c r="A34" s="44">
        <v>4.5</v>
      </c>
      <c r="B34" s="26" t="s">
        <v>181</v>
      </c>
      <c r="C34" s="43" t="s">
        <v>182</v>
      </c>
      <c r="D34" s="27" t="s">
        <v>183</v>
      </c>
      <c r="E34" s="26" t="s">
        <v>171</v>
      </c>
      <c r="F34" s="26" t="s">
        <v>4</v>
      </c>
      <c r="G34" s="28"/>
    </row>
    <row r="35" spans="1:7" ht="25.5" x14ac:dyDescent="0.2">
      <c r="A35" s="44">
        <v>4.5</v>
      </c>
      <c r="B35" s="26" t="s">
        <v>184</v>
      </c>
      <c r="C35" s="43" t="s">
        <v>185</v>
      </c>
      <c r="D35" s="27" t="s">
        <v>186</v>
      </c>
      <c r="E35" s="26" t="s">
        <v>171</v>
      </c>
      <c r="F35" s="26" t="s">
        <v>4</v>
      </c>
      <c r="G35" s="28"/>
    </row>
    <row r="36" spans="1:7" ht="25.5" x14ac:dyDescent="0.2">
      <c r="A36" s="44">
        <v>4.5</v>
      </c>
      <c r="B36" s="26" t="s">
        <v>187</v>
      </c>
      <c r="C36" s="43" t="s">
        <v>188</v>
      </c>
      <c r="D36" s="27" t="s">
        <v>189</v>
      </c>
      <c r="E36" s="26" t="s">
        <v>171</v>
      </c>
      <c r="F36" s="26" t="s">
        <v>4</v>
      </c>
      <c r="G36" s="28"/>
    </row>
    <row r="37" spans="1:7" ht="25.5" x14ac:dyDescent="0.2">
      <c r="A37" s="44">
        <v>4.5</v>
      </c>
      <c r="B37" s="26" t="s">
        <v>190</v>
      </c>
      <c r="C37" s="43" t="s">
        <v>191</v>
      </c>
      <c r="D37" s="27" t="s">
        <v>192</v>
      </c>
      <c r="E37" s="26" t="s">
        <v>171</v>
      </c>
      <c r="F37" s="26" t="s">
        <v>4</v>
      </c>
      <c r="G37" s="28"/>
    </row>
    <row r="38" spans="1:7" x14ac:dyDescent="0.2">
      <c r="B38" s="29"/>
      <c r="C38" s="3"/>
      <c r="D38" s="3"/>
      <c r="E38" s="2"/>
      <c r="F38" s="2"/>
      <c r="G38" s="2"/>
    </row>
    <row r="39" spans="1:7" x14ac:dyDescent="0.2">
      <c r="B39" s="29"/>
      <c r="C39" s="3"/>
      <c r="D39" s="3"/>
      <c r="E39" s="2"/>
      <c r="F39" s="2"/>
      <c r="G39" s="2"/>
    </row>
    <row r="40" spans="1:7" x14ac:dyDescent="0.2">
      <c r="B40" s="29"/>
      <c r="C40" s="3"/>
      <c r="D40" s="3"/>
      <c r="E40" s="2"/>
      <c r="F40" s="2"/>
      <c r="G40" s="2"/>
    </row>
    <row r="41" spans="1:7" x14ac:dyDescent="0.2">
      <c r="B41" s="29"/>
      <c r="C41" s="3"/>
      <c r="D41" s="3"/>
      <c r="E41" s="2"/>
      <c r="F41" s="2"/>
      <c r="G41" s="2"/>
    </row>
    <row r="42" spans="1:7" x14ac:dyDescent="0.2">
      <c r="B42" s="29"/>
      <c r="C42" s="3"/>
      <c r="D42" s="3"/>
      <c r="E42" s="2"/>
      <c r="F42" s="2"/>
      <c r="G42" s="2"/>
    </row>
    <row r="43" spans="1:7" x14ac:dyDescent="0.2">
      <c r="B43" s="29"/>
      <c r="C43" s="3"/>
      <c r="D43" s="3"/>
      <c r="E43" s="2"/>
      <c r="F43" s="2"/>
      <c r="G43" s="2"/>
    </row>
    <row r="44" spans="1:7" x14ac:dyDescent="0.2">
      <c r="B44" s="29"/>
      <c r="C44" s="3"/>
      <c r="D44" s="3"/>
      <c r="E44" s="2"/>
      <c r="F44" s="2"/>
      <c r="G44" s="2"/>
    </row>
  </sheetData>
  <mergeCells count="2">
    <mergeCell ref="A2:A26"/>
    <mergeCell ref="A27:A28"/>
  </mergeCells>
  <conditionalFormatting sqref="E2:E27 E7:F8 F2:F28">
    <cfRule type="cellIs" dxfId="35" priority="200" operator="equal">
      <formula>"Partially Pass"</formula>
    </cfRule>
    <cfRule type="cellIs" dxfId="34" priority="201" operator="equal">
      <formula>"Fail"</formula>
    </cfRule>
    <cfRule type="cellIs" dxfId="33" priority="202" operator="equal">
      <formula>"Pass"</formula>
    </cfRule>
  </conditionalFormatting>
  <conditionalFormatting sqref="E2:E27 E7:F8 F2:F28">
    <cfRule type="cellIs" dxfId="32" priority="194" operator="equal">
      <formula>"Partially Pass"</formula>
    </cfRule>
    <cfRule type="cellIs" dxfId="31" priority="195" operator="equal">
      <formula>"Fail"</formula>
    </cfRule>
    <cfRule type="cellIs" dxfId="30" priority="196" operator="equal">
      <formula>"Pass"</formula>
    </cfRule>
  </conditionalFormatting>
  <conditionalFormatting sqref="E2:E27 E7:F8 F2:F28">
    <cfRule type="cellIs" dxfId="29" priority="67" operator="equal">
      <formula>"Not Tested"</formula>
    </cfRule>
  </conditionalFormatting>
  <conditionalFormatting sqref="F2:F28">
    <cfRule type="cellIs" dxfId="28" priority="19" operator="equal">
      <formula>"Partially Pass"</formula>
    </cfRule>
    <cfRule type="cellIs" dxfId="27" priority="20" operator="equal">
      <formula>"Fail"</formula>
    </cfRule>
    <cfRule type="cellIs" dxfId="26" priority="21" operator="equal">
      <formula>"Pass"</formula>
    </cfRule>
  </conditionalFormatting>
  <conditionalFormatting sqref="F2:F28">
    <cfRule type="cellIs" dxfId="25" priority="16" operator="equal">
      <formula>"Partially Pass"</formula>
    </cfRule>
    <cfRule type="cellIs" dxfId="24" priority="17" operator="equal">
      <formula>"Fail"</formula>
    </cfRule>
    <cfRule type="cellIs" dxfId="23" priority="18" operator="equal">
      <formula>"Pass"</formula>
    </cfRule>
  </conditionalFormatting>
  <conditionalFormatting sqref="F2:F28">
    <cfRule type="cellIs" dxfId="22" priority="15" operator="equal">
      <formula>"Not Tested"</formula>
    </cfRule>
  </conditionalFormatting>
  <conditionalFormatting sqref="E2:F37">
    <cfRule type="cellIs" dxfId="21" priority="12" operator="equal">
      <formula>"Partially Pass"</formula>
    </cfRule>
    <cfRule type="cellIs" dxfId="20" priority="13" operator="equal">
      <formula>"Fail"</formula>
    </cfRule>
    <cfRule type="cellIs" dxfId="19" priority="14" operator="equal">
      <formula>"Pass"</formula>
    </cfRule>
  </conditionalFormatting>
  <conditionalFormatting sqref="E2:F37">
    <cfRule type="cellIs" dxfId="18" priority="9" operator="equal">
      <formula>"Partially Pass"</formula>
    </cfRule>
    <cfRule type="cellIs" dxfId="17" priority="10" operator="equal">
      <formula>"Fail"</formula>
    </cfRule>
    <cfRule type="cellIs" dxfId="16" priority="11" operator="equal">
      <formula>"Pass"</formula>
    </cfRule>
  </conditionalFormatting>
  <conditionalFormatting sqref="E2:F37">
    <cfRule type="cellIs" dxfId="15" priority="8" operator="equal">
      <formula>"Not Tested"</formula>
    </cfRule>
  </conditionalFormatting>
  <conditionalFormatting sqref="F2:F37">
    <cfRule type="cellIs" dxfId="14" priority="5" operator="equal">
      <formula>"Partially Pass"</formula>
    </cfRule>
    <cfRule type="cellIs" dxfId="13" priority="6" operator="equal">
      <formula>"Fail"</formula>
    </cfRule>
    <cfRule type="cellIs" dxfId="12" priority="7" operator="equal">
      <formula>"Pass"</formula>
    </cfRule>
  </conditionalFormatting>
  <conditionalFormatting sqref="F2:F37">
    <cfRule type="cellIs" dxfId="11" priority="2" operator="equal">
      <formula>"Partially Pass"</formula>
    </cfRule>
    <cfRule type="cellIs" dxfId="10" priority="3" operator="equal">
      <formula>"Fail"</formula>
    </cfRule>
    <cfRule type="cellIs" dxfId="9" priority="4" operator="equal">
      <formula>"Pass"</formula>
    </cfRule>
  </conditionalFormatting>
  <conditionalFormatting sqref="F2:F37">
    <cfRule type="cellIs" dxfId="8" priority="1" operator="equal">
      <formula>"Not Tested"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[1]Info!#REF!</xm:f>
          </x14:formula1>
          <xm:sqref>F2:F37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7"/>
  <sheetViews>
    <sheetView showGridLines="0" tabSelected="1" topLeftCell="C1" workbookViewId="0">
      <pane ySplit="3" topLeftCell="A52" activePane="bottomLeft" state="frozen"/>
      <selection pane="bottomLeft" activeCell="I4" sqref="I4:I67"/>
    </sheetView>
  </sheetViews>
  <sheetFormatPr defaultRowHeight="12.75" x14ac:dyDescent="0.2"/>
  <cols>
    <col min="1" max="1" width="9.140625" style="25"/>
    <col min="2" max="2" width="23.42578125" style="23" bestFit="1" customWidth="1"/>
    <col min="3" max="3" width="21" style="24" bestFit="1" customWidth="1"/>
    <col min="4" max="4" width="23.42578125" style="23" bestFit="1" customWidth="1"/>
    <col min="5" max="5" width="21" style="24" bestFit="1" customWidth="1"/>
    <col min="6" max="6" width="23.42578125" style="23" bestFit="1" customWidth="1"/>
    <col min="7" max="7" width="31.28515625" style="24" bestFit="1" customWidth="1"/>
    <col min="8" max="9" width="21" style="42" customWidth="1"/>
    <col min="10" max="10" width="22.5703125" style="23" customWidth="1"/>
    <col min="11" max="16384" width="9.140625" style="23"/>
  </cols>
  <sheetData>
    <row r="2" spans="1:10" ht="15" customHeight="1" x14ac:dyDescent="0.2">
      <c r="A2" s="60" t="s">
        <v>100</v>
      </c>
      <c r="B2" s="62" t="s">
        <v>139</v>
      </c>
      <c r="C2" s="63"/>
      <c r="D2" s="62" t="s">
        <v>140</v>
      </c>
      <c r="E2" s="63"/>
      <c r="F2" s="62" t="s">
        <v>101</v>
      </c>
      <c r="G2" s="63"/>
      <c r="H2" s="64" t="s">
        <v>102</v>
      </c>
      <c r="I2" s="64" t="s">
        <v>138</v>
      </c>
      <c r="J2" s="66" t="s">
        <v>1</v>
      </c>
    </row>
    <row r="3" spans="1:10" x14ac:dyDescent="0.2">
      <c r="A3" s="61"/>
      <c r="B3" s="36" t="s">
        <v>159</v>
      </c>
      <c r="C3" s="37" t="s">
        <v>160</v>
      </c>
      <c r="D3" s="36" t="s">
        <v>159</v>
      </c>
      <c r="E3" s="37" t="s">
        <v>160</v>
      </c>
      <c r="F3" s="36" t="s">
        <v>159</v>
      </c>
      <c r="G3" s="37" t="s">
        <v>160</v>
      </c>
      <c r="H3" s="65"/>
      <c r="I3" s="65"/>
      <c r="J3" s="67"/>
    </row>
    <row r="4" spans="1:10" x14ac:dyDescent="0.2">
      <c r="A4" s="53">
        <v>1</v>
      </c>
      <c r="B4" s="49"/>
      <c r="C4" s="50"/>
      <c r="D4" s="49" t="s">
        <v>196</v>
      </c>
      <c r="E4" s="50" t="s">
        <v>197</v>
      </c>
      <c r="F4" s="49" t="s">
        <v>196</v>
      </c>
      <c r="G4" s="50" t="s">
        <v>197</v>
      </c>
      <c r="H4" s="40" t="b">
        <f>F4=D4</f>
        <v>1</v>
      </c>
      <c r="I4" s="41" t="b">
        <f>G4=E4</f>
        <v>1</v>
      </c>
      <c r="J4" s="22"/>
    </row>
    <row r="5" spans="1:10" x14ac:dyDescent="0.2">
      <c r="A5" s="41">
        <v>2</v>
      </c>
      <c r="B5" s="49"/>
      <c r="C5" s="50"/>
      <c r="D5" s="49" t="s">
        <v>125</v>
      </c>
      <c r="E5" s="50" t="s">
        <v>198</v>
      </c>
      <c r="F5" s="49" t="s">
        <v>125</v>
      </c>
      <c r="G5" s="50" t="s">
        <v>198</v>
      </c>
      <c r="H5" s="40" t="b">
        <f t="shared" ref="H5:H67" si="0">F5=D5</f>
        <v>1</v>
      </c>
      <c r="I5" s="41" t="b">
        <f t="shared" ref="I5:I67" si="1">G5=E5</f>
        <v>1</v>
      </c>
      <c r="J5" s="22"/>
    </row>
    <row r="6" spans="1:10" x14ac:dyDescent="0.2">
      <c r="A6" s="41">
        <v>3</v>
      </c>
      <c r="B6" s="38"/>
      <c r="C6" s="35"/>
      <c r="D6" s="38" t="s">
        <v>121</v>
      </c>
      <c r="E6" s="35" t="s">
        <v>197</v>
      </c>
      <c r="F6" s="38" t="s">
        <v>121</v>
      </c>
      <c r="G6" s="35" t="s">
        <v>197</v>
      </c>
      <c r="H6" s="40" t="b">
        <f t="shared" si="0"/>
        <v>1</v>
      </c>
      <c r="I6" s="41" t="b">
        <f t="shared" si="1"/>
        <v>1</v>
      </c>
      <c r="J6" s="22"/>
    </row>
    <row r="7" spans="1:10" x14ac:dyDescent="0.2">
      <c r="A7" s="53">
        <v>4</v>
      </c>
      <c r="B7" s="38"/>
      <c r="C7" s="35"/>
      <c r="D7" s="38" t="s">
        <v>103</v>
      </c>
      <c r="E7" s="35" t="s">
        <v>199</v>
      </c>
      <c r="F7" s="38" t="s">
        <v>103</v>
      </c>
      <c r="G7" s="35" t="s">
        <v>199</v>
      </c>
      <c r="H7" s="40" t="b">
        <f t="shared" si="0"/>
        <v>1</v>
      </c>
      <c r="I7" s="41" t="b">
        <f t="shared" si="1"/>
        <v>1</v>
      </c>
      <c r="J7" s="22"/>
    </row>
    <row r="8" spans="1:10" x14ac:dyDescent="0.2">
      <c r="A8" s="41">
        <v>5</v>
      </c>
      <c r="B8" s="38"/>
      <c r="C8" s="35"/>
      <c r="D8" s="38" t="s">
        <v>106</v>
      </c>
      <c r="E8" s="35" t="s">
        <v>200</v>
      </c>
      <c r="F8" s="38" t="s">
        <v>106</v>
      </c>
      <c r="G8" s="35" t="s">
        <v>200</v>
      </c>
      <c r="H8" s="40" t="b">
        <f t="shared" si="0"/>
        <v>1</v>
      </c>
      <c r="I8" s="41" t="b">
        <f t="shared" si="1"/>
        <v>1</v>
      </c>
      <c r="J8" s="22"/>
    </row>
    <row r="9" spans="1:10" x14ac:dyDescent="0.2">
      <c r="A9" s="41">
        <v>6</v>
      </c>
      <c r="B9" s="38"/>
      <c r="C9" s="35"/>
      <c r="D9" s="38" t="s">
        <v>104</v>
      </c>
      <c r="E9" s="35" t="s">
        <v>105</v>
      </c>
      <c r="F9" s="38" t="s">
        <v>104</v>
      </c>
      <c r="G9" s="35" t="s">
        <v>105</v>
      </c>
      <c r="H9" s="40" t="b">
        <f t="shared" si="0"/>
        <v>1</v>
      </c>
      <c r="I9" s="41" t="b">
        <f t="shared" si="1"/>
        <v>1</v>
      </c>
      <c r="J9" s="22"/>
    </row>
    <row r="10" spans="1:10" x14ac:dyDescent="0.2">
      <c r="A10" s="53">
        <v>7</v>
      </c>
      <c r="B10" s="38"/>
      <c r="C10" s="35"/>
      <c r="D10" s="38" t="s">
        <v>122</v>
      </c>
      <c r="E10" s="35" t="s">
        <v>198</v>
      </c>
      <c r="F10" s="38" t="s">
        <v>122</v>
      </c>
      <c r="G10" s="35" t="s">
        <v>198</v>
      </c>
      <c r="H10" s="40" t="b">
        <f t="shared" si="0"/>
        <v>1</v>
      </c>
      <c r="I10" s="41" t="b">
        <f t="shared" si="1"/>
        <v>1</v>
      </c>
      <c r="J10" s="22"/>
    </row>
    <row r="11" spans="1:10" x14ac:dyDescent="0.2">
      <c r="A11" s="41">
        <v>8</v>
      </c>
      <c r="B11" s="57"/>
      <c r="C11" s="58"/>
      <c r="D11" s="47" t="s">
        <v>110</v>
      </c>
      <c r="E11" s="48" t="s">
        <v>201</v>
      </c>
      <c r="F11" s="47" t="s">
        <v>110</v>
      </c>
      <c r="G11" s="48" t="s">
        <v>246</v>
      </c>
      <c r="H11" s="40" t="b">
        <f t="shared" si="0"/>
        <v>1</v>
      </c>
      <c r="I11" s="41" t="b">
        <f t="shared" si="1"/>
        <v>0</v>
      </c>
      <c r="J11" s="22"/>
    </row>
    <row r="12" spans="1:10" x14ac:dyDescent="0.2">
      <c r="A12" s="41">
        <v>9</v>
      </c>
      <c r="B12" s="57"/>
      <c r="C12" s="58"/>
      <c r="D12" s="47" t="s">
        <v>109</v>
      </c>
      <c r="E12" s="48" t="s">
        <v>202</v>
      </c>
      <c r="F12" s="47" t="s">
        <v>109</v>
      </c>
      <c r="G12" s="48" t="s">
        <v>254</v>
      </c>
      <c r="H12" s="40" t="b">
        <f t="shared" si="0"/>
        <v>1</v>
      </c>
      <c r="I12" s="41" t="b">
        <f t="shared" si="1"/>
        <v>0</v>
      </c>
      <c r="J12" s="22"/>
    </row>
    <row r="13" spans="1:10" x14ac:dyDescent="0.2">
      <c r="A13" s="53">
        <v>10</v>
      </c>
      <c r="B13" s="38"/>
      <c r="C13" s="35"/>
      <c r="D13" s="38" t="s">
        <v>203</v>
      </c>
      <c r="E13" s="35" t="s">
        <v>197</v>
      </c>
      <c r="F13" s="38" t="s">
        <v>203</v>
      </c>
      <c r="G13" s="35" t="s">
        <v>197</v>
      </c>
      <c r="H13" s="40" t="b">
        <f t="shared" si="0"/>
        <v>1</v>
      </c>
      <c r="I13" s="41" t="b">
        <f t="shared" si="1"/>
        <v>1</v>
      </c>
      <c r="J13" s="22"/>
    </row>
    <row r="14" spans="1:10" x14ac:dyDescent="0.2">
      <c r="A14" s="41">
        <v>11</v>
      </c>
      <c r="B14" s="49"/>
      <c r="C14" s="50"/>
      <c r="D14" s="49" t="s">
        <v>204</v>
      </c>
      <c r="E14" s="50" t="s">
        <v>198</v>
      </c>
      <c r="F14" s="49" t="s">
        <v>204</v>
      </c>
      <c r="G14" s="50" t="s">
        <v>198</v>
      </c>
      <c r="H14" s="40" t="b">
        <f t="shared" si="0"/>
        <v>1</v>
      </c>
      <c r="I14" s="41" t="b">
        <f t="shared" si="1"/>
        <v>1</v>
      </c>
      <c r="J14" s="22"/>
    </row>
    <row r="15" spans="1:10" x14ac:dyDescent="0.2">
      <c r="A15" s="41">
        <v>12</v>
      </c>
      <c r="B15" s="38"/>
      <c r="C15" s="35"/>
      <c r="D15" s="38" t="s">
        <v>129</v>
      </c>
      <c r="E15" s="35" t="s">
        <v>205</v>
      </c>
      <c r="F15" s="38" t="s">
        <v>129</v>
      </c>
      <c r="G15" s="35" t="s">
        <v>205</v>
      </c>
      <c r="H15" s="40" t="b">
        <f t="shared" si="0"/>
        <v>1</v>
      </c>
      <c r="I15" s="41" t="b">
        <f t="shared" si="1"/>
        <v>1</v>
      </c>
      <c r="J15" s="22"/>
    </row>
    <row r="16" spans="1:10" x14ac:dyDescent="0.2">
      <c r="A16" s="53">
        <v>13</v>
      </c>
      <c r="B16" s="49"/>
      <c r="C16" s="50"/>
      <c r="D16" s="49" t="s">
        <v>206</v>
      </c>
      <c r="E16" s="50" t="s">
        <v>197</v>
      </c>
      <c r="F16" s="49" t="s">
        <v>206</v>
      </c>
      <c r="G16" s="50" t="s">
        <v>197</v>
      </c>
      <c r="H16" s="40" t="b">
        <f t="shared" si="0"/>
        <v>1</v>
      </c>
      <c r="I16" s="41" t="b">
        <f t="shared" si="1"/>
        <v>1</v>
      </c>
      <c r="J16" s="22"/>
    </row>
    <row r="17" spans="1:10" x14ac:dyDescent="0.2">
      <c r="A17" s="41">
        <v>14</v>
      </c>
      <c r="B17" s="49"/>
      <c r="C17" s="50"/>
      <c r="D17" s="49" t="s">
        <v>207</v>
      </c>
      <c r="E17" s="50" t="s">
        <v>197</v>
      </c>
      <c r="F17" s="49" t="s">
        <v>207</v>
      </c>
      <c r="G17" s="50" t="s">
        <v>197</v>
      </c>
      <c r="H17" s="40" t="b">
        <f t="shared" si="0"/>
        <v>1</v>
      </c>
      <c r="I17" s="41" t="b">
        <f t="shared" si="1"/>
        <v>1</v>
      </c>
      <c r="J17" s="22"/>
    </row>
    <row r="18" spans="1:10" x14ac:dyDescent="0.2">
      <c r="A18" s="41">
        <v>15</v>
      </c>
      <c r="B18" s="49"/>
      <c r="C18" s="50"/>
      <c r="D18" s="49" t="s">
        <v>107</v>
      </c>
      <c r="E18" s="50" t="s">
        <v>194</v>
      </c>
      <c r="F18" s="49" t="s">
        <v>107</v>
      </c>
      <c r="G18" s="50" t="s">
        <v>194</v>
      </c>
      <c r="H18" s="40" t="b">
        <f t="shared" si="0"/>
        <v>1</v>
      </c>
      <c r="I18" s="41" t="b">
        <f t="shared" si="1"/>
        <v>1</v>
      </c>
      <c r="J18" s="22"/>
    </row>
    <row r="19" spans="1:10" x14ac:dyDescent="0.2">
      <c r="A19" s="53">
        <v>16</v>
      </c>
      <c r="B19" s="38"/>
      <c r="C19" s="35"/>
      <c r="D19" s="38" t="s">
        <v>158</v>
      </c>
      <c r="E19" s="35" t="s">
        <v>198</v>
      </c>
      <c r="F19" s="38" t="s">
        <v>158</v>
      </c>
      <c r="G19" s="35" t="s">
        <v>198</v>
      </c>
      <c r="H19" s="40" t="b">
        <f t="shared" si="0"/>
        <v>1</v>
      </c>
      <c r="I19" s="41" t="b">
        <f t="shared" si="1"/>
        <v>1</v>
      </c>
      <c r="J19" s="22"/>
    </row>
    <row r="20" spans="1:10" ht="25.5" x14ac:dyDescent="0.2">
      <c r="A20" s="41">
        <v>17</v>
      </c>
      <c r="B20" s="57"/>
      <c r="C20" s="58"/>
      <c r="D20" s="57" t="s">
        <v>208</v>
      </c>
      <c r="E20" s="58" t="s">
        <v>197</v>
      </c>
      <c r="F20" s="57" t="s">
        <v>208</v>
      </c>
      <c r="G20" s="58" t="s">
        <v>197</v>
      </c>
      <c r="H20" s="40" t="b">
        <f t="shared" si="0"/>
        <v>1</v>
      </c>
      <c r="I20" s="41" t="b">
        <f t="shared" si="1"/>
        <v>1</v>
      </c>
      <c r="J20" s="22"/>
    </row>
    <row r="21" spans="1:10" x14ac:dyDescent="0.2">
      <c r="A21" s="41">
        <v>18</v>
      </c>
      <c r="B21" s="38"/>
      <c r="C21" s="35"/>
      <c r="D21" s="38" t="s">
        <v>124</v>
      </c>
      <c r="E21" s="35" t="s">
        <v>198</v>
      </c>
      <c r="F21" s="38" t="s">
        <v>124</v>
      </c>
      <c r="G21" s="35" t="s">
        <v>198</v>
      </c>
      <c r="H21" s="40" t="b">
        <f t="shared" si="0"/>
        <v>1</v>
      </c>
      <c r="I21" s="41" t="b">
        <f t="shared" si="1"/>
        <v>1</v>
      </c>
      <c r="J21" s="22"/>
    </row>
    <row r="22" spans="1:10" x14ac:dyDescent="0.2">
      <c r="A22" s="53">
        <v>19</v>
      </c>
      <c r="B22" s="38"/>
      <c r="C22" s="35"/>
      <c r="D22" s="38" t="s">
        <v>209</v>
      </c>
      <c r="E22" s="35" t="s">
        <v>210</v>
      </c>
      <c r="F22" s="38" t="s">
        <v>209</v>
      </c>
      <c r="G22" s="35" t="s">
        <v>210</v>
      </c>
      <c r="H22" s="40" t="b">
        <f t="shared" si="0"/>
        <v>1</v>
      </c>
      <c r="I22" s="41" t="b">
        <f t="shared" si="1"/>
        <v>1</v>
      </c>
      <c r="J22" s="22"/>
    </row>
    <row r="23" spans="1:10" x14ac:dyDescent="0.2">
      <c r="A23" s="41">
        <v>20</v>
      </c>
      <c r="B23" s="38"/>
      <c r="C23" s="35"/>
      <c r="D23" s="38" t="s">
        <v>126</v>
      </c>
      <c r="E23" s="35" t="s">
        <v>197</v>
      </c>
      <c r="F23" s="38" t="s">
        <v>126</v>
      </c>
      <c r="G23" s="35" t="s">
        <v>197</v>
      </c>
      <c r="H23" s="40" t="b">
        <f t="shared" si="0"/>
        <v>1</v>
      </c>
      <c r="I23" s="41" t="b">
        <f t="shared" si="1"/>
        <v>1</v>
      </c>
      <c r="J23" s="22"/>
    </row>
    <row r="24" spans="1:10" x14ac:dyDescent="0.2">
      <c r="A24" s="41">
        <v>21</v>
      </c>
      <c r="B24" s="38"/>
      <c r="C24" s="35"/>
      <c r="D24" s="38" t="s">
        <v>111</v>
      </c>
      <c r="E24" s="35" t="s">
        <v>114</v>
      </c>
      <c r="F24" s="38" t="s">
        <v>111</v>
      </c>
      <c r="G24" s="35" t="s">
        <v>114</v>
      </c>
      <c r="H24" s="40" t="b">
        <f t="shared" si="0"/>
        <v>1</v>
      </c>
      <c r="I24" s="41" t="b">
        <f t="shared" si="1"/>
        <v>1</v>
      </c>
      <c r="J24" s="22"/>
    </row>
    <row r="25" spans="1:10" x14ac:dyDescent="0.2">
      <c r="A25" s="53">
        <v>22</v>
      </c>
      <c r="B25" s="38"/>
      <c r="C25" s="35"/>
      <c r="D25" s="38" t="s">
        <v>116</v>
      </c>
      <c r="E25" s="35" t="s">
        <v>119</v>
      </c>
      <c r="F25" s="38" t="s">
        <v>116</v>
      </c>
      <c r="G25" s="35" t="s">
        <v>119</v>
      </c>
      <c r="H25" s="40" t="b">
        <f t="shared" si="0"/>
        <v>1</v>
      </c>
      <c r="I25" s="41" t="b">
        <f t="shared" si="1"/>
        <v>1</v>
      </c>
      <c r="J25" s="22"/>
    </row>
    <row r="26" spans="1:10" x14ac:dyDescent="0.2">
      <c r="A26" s="41">
        <v>23</v>
      </c>
      <c r="B26" s="38"/>
      <c r="C26" s="35"/>
      <c r="D26" s="38" t="s">
        <v>132</v>
      </c>
      <c r="E26" s="35" t="s">
        <v>157</v>
      </c>
      <c r="F26" s="38" t="s">
        <v>132</v>
      </c>
      <c r="G26" s="35" t="s">
        <v>157</v>
      </c>
      <c r="H26" s="40" t="b">
        <f t="shared" si="0"/>
        <v>1</v>
      </c>
      <c r="I26" s="41" t="b">
        <f t="shared" si="1"/>
        <v>1</v>
      </c>
      <c r="J26" s="22"/>
    </row>
    <row r="27" spans="1:10" x14ac:dyDescent="0.2">
      <c r="A27" s="41">
        <v>24</v>
      </c>
      <c r="B27" s="38"/>
      <c r="C27" s="35"/>
      <c r="D27" s="38" t="s">
        <v>112</v>
      </c>
      <c r="E27" s="35" t="s">
        <v>211</v>
      </c>
      <c r="F27" s="38" t="s">
        <v>112</v>
      </c>
      <c r="G27" s="35" t="s">
        <v>211</v>
      </c>
      <c r="H27" s="40" t="b">
        <f t="shared" si="0"/>
        <v>1</v>
      </c>
      <c r="I27" s="41" t="b">
        <f t="shared" si="1"/>
        <v>1</v>
      </c>
      <c r="J27" s="22"/>
    </row>
    <row r="28" spans="1:10" x14ac:dyDescent="0.2">
      <c r="A28" s="53">
        <v>25</v>
      </c>
      <c r="B28" s="38"/>
      <c r="C28" s="35"/>
      <c r="D28" s="38" t="s">
        <v>117</v>
      </c>
      <c r="E28" s="35" t="s">
        <v>212</v>
      </c>
      <c r="F28" s="38" t="s">
        <v>117</v>
      </c>
      <c r="G28" s="35" t="s">
        <v>212</v>
      </c>
      <c r="H28" s="40" t="b">
        <f t="shared" si="0"/>
        <v>1</v>
      </c>
      <c r="I28" s="41" t="b">
        <f t="shared" si="1"/>
        <v>1</v>
      </c>
      <c r="J28" s="22"/>
    </row>
    <row r="29" spans="1:10" x14ac:dyDescent="0.2">
      <c r="A29" s="41">
        <v>26</v>
      </c>
      <c r="B29" s="38"/>
      <c r="C29" s="35"/>
      <c r="D29" s="38" t="s">
        <v>133</v>
      </c>
      <c r="E29" s="35" t="s">
        <v>213</v>
      </c>
      <c r="F29" s="38" t="s">
        <v>133</v>
      </c>
      <c r="G29" s="35" t="s">
        <v>213</v>
      </c>
      <c r="H29" s="40" t="b">
        <f t="shared" si="0"/>
        <v>1</v>
      </c>
      <c r="I29" s="41" t="b">
        <f t="shared" si="1"/>
        <v>1</v>
      </c>
      <c r="J29" s="22"/>
    </row>
    <row r="30" spans="1:10" x14ac:dyDescent="0.2">
      <c r="A30" s="41">
        <v>27</v>
      </c>
      <c r="B30" s="38"/>
      <c r="C30" s="35"/>
      <c r="D30" s="38" t="s">
        <v>113</v>
      </c>
      <c r="E30" s="35" t="s">
        <v>214</v>
      </c>
      <c r="F30" s="38" t="s">
        <v>113</v>
      </c>
      <c r="G30" s="35" t="s">
        <v>214</v>
      </c>
      <c r="H30" s="40" t="b">
        <f t="shared" si="0"/>
        <v>1</v>
      </c>
      <c r="I30" s="41" t="b">
        <f t="shared" si="1"/>
        <v>1</v>
      </c>
      <c r="J30" s="22"/>
    </row>
    <row r="31" spans="1:10" x14ac:dyDescent="0.2">
      <c r="A31" s="53">
        <v>28</v>
      </c>
      <c r="B31" s="38"/>
      <c r="C31" s="35"/>
      <c r="D31" s="38" t="s">
        <v>118</v>
      </c>
      <c r="E31" s="35" t="s">
        <v>215</v>
      </c>
      <c r="F31" s="38" t="s">
        <v>118</v>
      </c>
      <c r="G31" s="35" t="s">
        <v>215</v>
      </c>
      <c r="H31" s="40" t="b">
        <f t="shared" si="0"/>
        <v>1</v>
      </c>
      <c r="I31" s="41" t="b">
        <f t="shared" si="1"/>
        <v>1</v>
      </c>
      <c r="J31" s="22"/>
    </row>
    <row r="32" spans="1:10" x14ac:dyDescent="0.2">
      <c r="A32" s="41">
        <v>29</v>
      </c>
      <c r="B32" s="38"/>
      <c r="C32" s="35"/>
      <c r="D32" s="38" t="s">
        <v>134</v>
      </c>
      <c r="E32" s="35" t="s">
        <v>216</v>
      </c>
      <c r="F32" s="38" t="s">
        <v>134</v>
      </c>
      <c r="G32" s="35" t="s">
        <v>216</v>
      </c>
      <c r="H32" s="40" t="b">
        <f t="shared" si="0"/>
        <v>1</v>
      </c>
      <c r="I32" s="41" t="b">
        <f t="shared" si="1"/>
        <v>1</v>
      </c>
      <c r="J32" s="22"/>
    </row>
    <row r="33" spans="1:10" x14ac:dyDescent="0.2">
      <c r="A33" s="41">
        <v>30</v>
      </c>
      <c r="B33" s="38"/>
      <c r="C33" s="35"/>
      <c r="D33" s="38" t="s">
        <v>161</v>
      </c>
      <c r="E33" s="35" t="s">
        <v>162</v>
      </c>
      <c r="F33" s="38" t="s">
        <v>161</v>
      </c>
      <c r="G33" s="35" t="s">
        <v>162</v>
      </c>
      <c r="H33" s="40" t="b">
        <f t="shared" si="0"/>
        <v>1</v>
      </c>
      <c r="I33" s="41" t="b">
        <f t="shared" si="1"/>
        <v>1</v>
      </c>
      <c r="J33" s="22"/>
    </row>
    <row r="34" spans="1:10" x14ac:dyDescent="0.2">
      <c r="A34" s="53">
        <v>31</v>
      </c>
      <c r="B34" s="38"/>
      <c r="C34" s="35"/>
      <c r="D34" s="38" t="s">
        <v>163</v>
      </c>
      <c r="E34" s="35" t="s">
        <v>217</v>
      </c>
      <c r="F34" s="38" t="s">
        <v>163</v>
      </c>
      <c r="G34" s="35" t="s">
        <v>217</v>
      </c>
      <c r="H34" s="40" t="b">
        <f t="shared" si="0"/>
        <v>1</v>
      </c>
      <c r="I34" s="41" t="b">
        <f t="shared" si="1"/>
        <v>1</v>
      </c>
      <c r="J34" s="22"/>
    </row>
    <row r="35" spans="1:10" x14ac:dyDescent="0.2">
      <c r="A35" s="41">
        <v>32</v>
      </c>
      <c r="B35" s="49"/>
      <c r="C35" s="50"/>
      <c r="D35" s="49" t="s">
        <v>164</v>
      </c>
      <c r="E35" s="50" t="s">
        <v>218</v>
      </c>
      <c r="F35" s="49" t="s">
        <v>164</v>
      </c>
      <c r="G35" s="50" t="s">
        <v>218</v>
      </c>
      <c r="H35" s="40" t="b">
        <f t="shared" si="0"/>
        <v>1</v>
      </c>
      <c r="I35" s="41" t="b">
        <f t="shared" si="1"/>
        <v>1</v>
      </c>
      <c r="J35" s="22"/>
    </row>
    <row r="36" spans="1:10" x14ac:dyDescent="0.2">
      <c r="A36" s="41">
        <v>33</v>
      </c>
      <c r="B36" s="49"/>
      <c r="C36" s="50"/>
      <c r="D36" s="49" t="s">
        <v>219</v>
      </c>
      <c r="E36" s="50" t="s">
        <v>220</v>
      </c>
      <c r="F36" s="49" t="s">
        <v>219</v>
      </c>
      <c r="G36" s="50" t="s">
        <v>220</v>
      </c>
      <c r="H36" s="40" t="b">
        <f t="shared" si="0"/>
        <v>1</v>
      </c>
      <c r="I36" s="41" t="b">
        <f t="shared" si="1"/>
        <v>1</v>
      </c>
      <c r="J36" s="39"/>
    </row>
    <row r="37" spans="1:10" x14ac:dyDescent="0.2">
      <c r="A37" s="53">
        <v>34</v>
      </c>
      <c r="B37" s="51"/>
      <c r="C37" s="52"/>
      <c r="D37" s="51" t="s">
        <v>221</v>
      </c>
      <c r="E37" s="52" t="s">
        <v>222</v>
      </c>
      <c r="F37" s="51" t="s">
        <v>221</v>
      </c>
      <c r="G37" s="52" t="s">
        <v>222</v>
      </c>
      <c r="H37" s="40" t="b">
        <f t="shared" si="0"/>
        <v>1</v>
      </c>
      <c r="I37" s="41" t="b">
        <f t="shared" si="1"/>
        <v>1</v>
      </c>
      <c r="J37" s="39"/>
    </row>
    <row r="38" spans="1:10" x14ac:dyDescent="0.2">
      <c r="A38" s="41">
        <v>35</v>
      </c>
      <c r="B38" s="51"/>
      <c r="C38" s="52"/>
      <c r="D38" s="51" t="s">
        <v>223</v>
      </c>
      <c r="E38" s="52" t="s">
        <v>224</v>
      </c>
      <c r="F38" s="51" t="s">
        <v>223</v>
      </c>
      <c r="G38" s="52" t="s">
        <v>224</v>
      </c>
      <c r="H38" s="40" t="b">
        <f t="shared" si="0"/>
        <v>1</v>
      </c>
      <c r="I38" s="41" t="b">
        <f t="shared" si="1"/>
        <v>1</v>
      </c>
      <c r="J38" s="39"/>
    </row>
    <row r="39" spans="1:10" x14ac:dyDescent="0.2">
      <c r="A39" s="41">
        <v>36</v>
      </c>
      <c r="B39" s="51"/>
      <c r="C39" s="52"/>
      <c r="D39" s="51" t="s">
        <v>225</v>
      </c>
      <c r="E39" s="52" t="s">
        <v>115</v>
      </c>
      <c r="F39" s="51" t="s">
        <v>225</v>
      </c>
      <c r="G39" s="52" t="s">
        <v>115</v>
      </c>
      <c r="H39" s="40" t="b">
        <f t="shared" si="0"/>
        <v>1</v>
      </c>
      <c r="I39" s="41" t="b">
        <f t="shared" si="1"/>
        <v>1</v>
      </c>
      <c r="J39" s="39"/>
    </row>
    <row r="40" spans="1:10" x14ac:dyDescent="0.2">
      <c r="A40" s="53">
        <v>37</v>
      </c>
      <c r="B40" s="51"/>
      <c r="C40" s="52"/>
      <c r="D40" s="51" t="s">
        <v>226</v>
      </c>
      <c r="E40" s="52" t="s">
        <v>120</v>
      </c>
      <c r="F40" s="51" t="s">
        <v>226</v>
      </c>
      <c r="G40" s="52" t="s">
        <v>120</v>
      </c>
      <c r="H40" s="40" t="b">
        <f t="shared" si="0"/>
        <v>1</v>
      </c>
      <c r="I40" s="41" t="b">
        <f t="shared" si="1"/>
        <v>1</v>
      </c>
      <c r="J40" s="39"/>
    </row>
    <row r="41" spans="1:10" x14ac:dyDescent="0.2">
      <c r="A41" s="41">
        <v>38</v>
      </c>
      <c r="B41" s="51"/>
      <c r="C41" s="52"/>
      <c r="D41" s="51" t="s">
        <v>227</v>
      </c>
      <c r="E41" s="52" t="s">
        <v>155</v>
      </c>
      <c r="F41" s="51" t="s">
        <v>227</v>
      </c>
      <c r="G41" s="52" t="s">
        <v>155</v>
      </c>
      <c r="H41" s="40" t="b">
        <f t="shared" si="0"/>
        <v>1</v>
      </c>
      <c r="I41" s="41" t="b">
        <f t="shared" si="1"/>
        <v>1</v>
      </c>
      <c r="J41" s="39"/>
    </row>
    <row r="42" spans="1:10" x14ac:dyDescent="0.2">
      <c r="A42" s="41">
        <v>39</v>
      </c>
      <c r="B42" s="51"/>
      <c r="C42" s="52"/>
      <c r="D42" s="51" t="s">
        <v>228</v>
      </c>
      <c r="E42" s="52" t="s">
        <v>229</v>
      </c>
      <c r="F42" s="51" t="s">
        <v>228</v>
      </c>
      <c r="G42" s="52" t="s">
        <v>229</v>
      </c>
      <c r="H42" s="40" t="b">
        <f t="shared" si="0"/>
        <v>1</v>
      </c>
      <c r="I42" s="41" t="b">
        <f t="shared" si="1"/>
        <v>1</v>
      </c>
      <c r="J42" s="39"/>
    </row>
    <row r="43" spans="1:10" x14ac:dyDescent="0.2">
      <c r="A43" s="41">
        <v>40</v>
      </c>
      <c r="B43" s="51"/>
      <c r="C43" s="52"/>
      <c r="D43" s="51" t="s">
        <v>230</v>
      </c>
      <c r="E43" s="52" t="s">
        <v>231</v>
      </c>
      <c r="F43" s="51" t="s">
        <v>230</v>
      </c>
      <c r="G43" s="52" t="s">
        <v>231</v>
      </c>
      <c r="H43" s="40" t="b">
        <f t="shared" si="0"/>
        <v>1</v>
      </c>
      <c r="I43" s="41" t="b">
        <f t="shared" si="1"/>
        <v>1</v>
      </c>
      <c r="J43" s="39"/>
    </row>
    <row r="44" spans="1:10" x14ac:dyDescent="0.2">
      <c r="A44" s="41">
        <v>41</v>
      </c>
      <c r="B44" s="51"/>
      <c r="C44" s="52"/>
      <c r="D44" s="51" t="s">
        <v>232</v>
      </c>
      <c r="E44" s="52" t="s">
        <v>233</v>
      </c>
      <c r="F44" s="51" t="s">
        <v>232</v>
      </c>
      <c r="G44" s="52" t="s">
        <v>233</v>
      </c>
      <c r="H44" s="40" t="b">
        <f t="shared" si="0"/>
        <v>1</v>
      </c>
      <c r="I44" s="41" t="b">
        <f t="shared" si="1"/>
        <v>1</v>
      </c>
      <c r="J44" s="39"/>
    </row>
    <row r="45" spans="1:10" x14ac:dyDescent="0.2">
      <c r="A45" s="53">
        <v>42</v>
      </c>
      <c r="B45" s="51"/>
      <c r="C45" s="52"/>
      <c r="D45" s="51" t="s">
        <v>108</v>
      </c>
      <c r="E45" s="52" t="s">
        <v>234</v>
      </c>
      <c r="F45" s="51" t="s">
        <v>108</v>
      </c>
      <c r="G45" s="52" t="s">
        <v>234</v>
      </c>
      <c r="H45" s="40" t="b">
        <f t="shared" si="0"/>
        <v>1</v>
      </c>
      <c r="I45" s="41" t="b">
        <f t="shared" si="1"/>
        <v>1</v>
      </c>
      <c r="J45" s="39"/>
    </row>
    <row r="46" spans="1:10" x14ac:dyDescent="0.2">
      <c r="A46" s="41">
        <v>43</v>
      </c>
      <c r="B46" s="51"/>
      <c r="C46" s="52"/>
      <c r="D46" s="51" t="s">
        <v>128</v>
      </c>
      <c r="E46" s="52" t="s">
        <v>235</v>
      </c>
      <c r="F46" s="51" t="s">
        <v>128</v>
      </c>
      <c r="G46" s="52" t="s">
        <v>235</v>
      </c>
      <c r="H46" s="40" t="b">
        <f t="shared" si="0"/>
        <v>1</v>
      </c>
      <c r="I46" s="41" t="b">
        <f t="shared" si="1"/>
        <v>1</v>
      </c>
      <c r="J46" s="39"/>
    </row>
    <row r="47" spans="1:10" x14ac:dyDescent="0.2">
      <c r="A47" s="41">
        <v>44</v>
      </c>
      <c r="B47" s="51"/>
      <c r="C47" s="52"/>
      <c r="D47" s="51" t="s">
        <v>236</v>
      </c>
      <c r="E47" s="52" t="s">
        <v>197</v>
      </c>
      <c r="F47" s="51" t="s">
        <v>236</v>
      </c>
      <c r="G47" s="52" t="s">
        <v>197</v>
      </c>
      <c r="H47" s="40" t="b">
        <f t="shared" si="0"/>
        <v>1</v>
      </c>
      <c r="I47" s="41" t="b">
        <f t="shared" si="1"/>
        <v>1</v>
      </c>
      <c r="J47" s="39"/>
    </row>
    <row r="48" spans="1:10" x14ac:dyDescent="0.2">
      <c r="A48" s="41">
        <v>45</v>
      </c>
      <c r="B48" s="51"/>
      <c r="C48" s="52"/>
      <c r="D48" s="51" t="s">
        <v>130</v>
      </c>
      <c r="E48" s="52" t="s">
        <v>237</v>
      </c>
      <c r="F48" s="51" t="s">
        <v>130</v>
      </c>
      <c r="G48" s="52" t="s">
        <v>237</v>
      </c>
      <c r="H48" s="40" t="b">
        <f t="shared" si="0"/>
        <v>1</v>
      </c>
      <c r="I48" s="41" t="b">
        <f t="shared" si="1"/>
        <v>1</v>
      </c>
      <c r="J48" s="39"/>
    </row>
    <row r="49" spans="1:10" x14ac:dyDescent="0.2">
      <c r="A49" s="53">
        <v>46</v>
      </c>
      <c r="B49" s="51"/>
      <c r="C49" s="52"/>
      <c r="D49" s="51" t="s">
        <v>131</v>
      </c>
      <c r="E49" s="52" t="s">
        <v>238</v>
      </c>
      <c r="F49" s="51" t="s">
        <v>131</v>
      </c>
      <c r="G49" s="52" t="s">
        <v>238</v>
      </c>
      <c r="H49" s="40" t="b">
        <f t="shared" si="0"/>
        <v>1</v>
      </c>
      <c r="I49" s="41" t="b">
        <f t="shared" si="1"/>
        <v>1</v>
      </c>
      <c r="J49" s="39"/>
    </row>
    <row r="50" spans="1:10" x14ac:dyDescent="0.2">
      <c r="A50" s="41">
        <v>47</v>
      </c>
      <c r="B50" s="51"/>
      <c r="C50" s="52"/>
      <c r="D50" s="55" t="s">
        <v>135</v>
      </c>
      <c r="E50" s="56" t="s">
        <v>198</v>
      </c>
      <c r="F50" s="55" t="s">
        <v>135</v>
      </c>
      <c r="G50" s="56" t="s">
        <v>198</v>
      </c>
      <c r="H50" s="40" t="b">
        <f t="shared" si="0"/>
        <v>1</v>
      </c>
      <c r="I50" s="41" t="b">
        <f t="shared" si="1"/>
        <v>1</v>
      </c>
      <c r="J50" s="39"/>
    </row>
    <row r="51" spans="1:10" x14ac:dyDescent="0.2">
      <c r="A51" s="41">
        <v>48</v>
      </c>
      <c r="B51" s="55"/>
      <c r="C51" s="56"/>
      <c r="D51" s="51" t="s">
        <v>136</v>
      </c>
      <c r="E51" s="52" t="s">
        <v>198</v>
      </c>
      <c r="F51" s="51" t="s">
        <v>136</v>
      </c>
      <c r="G51" s="52" t="s">
        <v>198</v>
      </c>
      <c r="H51" s="40" t="b">
        <f t="shared" si="0"/>
        <v>1</v>
      </c>
      <c r="I51" s="41" t="b">
        <f t="shared" si="1"/>
        <v>1</v>
      </c>
      <c r="J51" s="39"/>
    </row>
    <row r="52" spans="1:10" x14ac:dyDescent="0.2">
      <c r="A52" s="41">
        <v>49</v>
      </c>
      <c r="B52" s="51"/>
      <c r="C52" s="52"/>
      <c r="D52" s="39" t="s">
        <v>137</v>
      </c>
      <c r="E52" s="54" t="s">
        <v>198</v>
      </c>
      <c r="F52" s="39" t="s">
        <v>137</v>
      </c>
      <c r="G52" s="54" t="s">
        <v>198</v>
      </c>
      <c r="H52" s="40" t="b">
        <f t="shared" si="0"/>
        <v>1</v>
      </c>
      <c r="I52" s="41" t="b">
        <f t="shared" si="1"/>
        <v>1</v>
      </c>
      <c r="J52" s="39"/>
    </row>
    <row r="53" spans="1:10" x14ac:dyDescent="0.2">
      <c r="A53" s="53">
        <v>50</v>
      </c>
      <c r="B53" s="39"/>
      <c r="C53" s="54"/>
      <c r="D53" s="39" t="s">
        <v>239</v>
      </c>
      <c r="E53" s="54" t="s">
        <v>198</v>
      </c>
      <c r="F53" s="39" t="s">
        <v>239</v>
      </c>
      <c r="G53" s="54" t="s">
        <v>198</v>
      </c>
      <c r="H53" s="40" t="b">
        <f t="shared" si="0"/>
        <v>1</v>
      </c>
      <c r="I53" s="41" t="b">
        <f t="shared" si="1"/>
        <v>1</v>
      </c>
      <c r="J53" s="39"/>
    </row>
    <row r="54" spans="1:10" x14ac:dyDescent="0.2">
      <c r="A54" s="41">
        <v>51</v>
      </c>
      <c r="B54" s="39"/>
      <c r="C54" s="54"/>
      <c r="D54" s="39" t="s">
        <v>240</v>
      </c>
      <c r="E54" s="54" t="s">
        <v>198</v>
      </c>
      <c r="F54" s="39" t="s">
        <v>240</v>
      </c>
      <c r="G54" s="54" t="s">
        <v>198</v>
      </c>
      <c r="H54" s="40" t="b">
        <f t="shared" si="0"/>
        <v>1</v>
      </c>
      <c r="I54" s="41" t="b">
        <f t="shared" si="1"/>
        <v>1</v>
      </c>
      <c r="J54" s="39"/>
    </row>
    <row r="55" spans="1:10" x14ac:dyDescent="0.2">
      <c r="A55" s="41">
        <v>52</v>
      </c>
      <c r="B55" s="39"/>
      <c r="C55" s="54"/>
      <c r="D55" s="39" t="s">
        <v>241</v>
      </c>
      <c r="E55" s="54" t="s">
        <v>198</v>
      </c>
      <c r="F55" s="39" t="s">
        <v>241</v>
      </c>
      <c r="G55" s="54" t="s">
        <v>198</v>
      </c>
      <c r="H55" s="40" t="b">
        <f t="shared" si="0"/>
        <v>1</v>
      </c>
      <c r="I55" s="41" t="b">
        <f t="shared" si="1"/>
        <v>1</v>
      </c>
      <c r="J55" s="39"/>
    </row>
    <row r="56" spans="1:10" x14ac:dyDescent="0.2">
      <c r="A56" s="41">
        <v>53</v>
      </c>
      <c r="B56" s="39"/>
      <c r="C56" s="54"/>
      <c r="D56" s="39" t="s">
        <v>242</v>
      </c>
      <c r="E56" s="54" t="s">
        <v>198</v>
      </c>
      <c r="F56" s="39" t="s">
        <v>242</v>
      </c>
      <c r="G56" s="54" t="s">
        <v>198</v>
      </c>
      <c r="H56" s="40" t="b">
        <f t="shared" si="0"/>
        <v>1</v>
      </c>
      <c r="I56" s="41" t="b">
        <f t="shared" si="1"/>
        <v>1</v>
      </c>
      <c r="J56" s="39"/>
    </row>
    <row r="57" spans="1:10" x14ac:dyDescent="0.2">
      <c r="A57" s="41">
        <v>54</v>
      </c>
      <c r="B57" s="39"/>
      <c r="C57" s="54"/>
      <c r="D57" s="39" t="s">
        <v>127</v>
      </c>
      <c r="E57" s="54" t="s">
        <v>198</v>
      </c>
      <c r="F57" s="39" t="s">
        <v>127</v>
      </c>
      <c r="G57" s="54" t="s">
        <v>198</v>
      </c>
      <c r="H57" s="40" t="b">
        <f t="shared" si="0"/>
        <v>1</v>
      </c>
      <c r="I57" s="41" t="b">
        <f t="shared" si="1"/>
        <v>1</v>
      </c>
      <c r="J57" s="39"/>
    </row>
    <row r="58" spans="1:10" x14ac:dyDescent="0.2">
      <c r="A58" s="41">
        <v>55</v>
      </c>
      <c r="B58" s="39"/>
      <c r="C58" s="54"/>
      <c r="D58" s="39" t="s">
        <v>243</v>
      </c>
      <c r="E58" s="54" t="s">
        <v>197</v>
      </c>
      <c r="F58" s="39" t="s">
        <v>243</v>
      </c>
      <c r="G58" s="54" t="s">
        <v>197</v>
      </c>
      <c r="H58" s="40" t="b">
        <f t="shared" si="0"/>
        <v>1</v>
      </c>
      <c r="I58" s="41" t="b">
        <f t="shared" si="1"/>
        <v>1</v>
      </c>
      <c r="J58" s="39"/>
    </row>
    <row r="59" spans="1:10" x14ac:dyDescent="0.2">
      <c r="A59" s="53">
        <v>56</v>
      </c>
      <c r="B59" s="39"/>
      <c r="C59" s="54"/>
      <c r="D59" s="39" t="s">
        <v>244</v>
      </c>
      <c r="E59" s="54" t="s">
        <v>197</v>
      </c>
      <c r="F59" s="39" t="s">
        <v>244</v>
      </c>
      <c r="G59" s="54" t="s">
        <v>197</v>
      </c>
      <c r="H59" s="40" t="b">
        <f t="shared" si="0"/>
        <v>1</v>
      </c>
      <c r="I59" s="41" t="b">
        <f t="shared" si="1"/>
        <v>1</v>
      </c>
      <c r="J59" s="39"/>
    </row>
    <row r="60" spans="1:10" x14ac:dyDescent="0.2">
      <c r="A60" s="41">
        <v>57</v>
      </c>
      <c r="B60" s="39"/>
      <c r="C60" s="54"/>
      <c r="D60" s="39" t="s">
        <v>123</v>
      </c>
      <c r="E60" s="54" t="s">
        <v>198</v>
      </c>
      <c r="F60" s="39" t="s">
        <v>123</v>
      </c>
      <c r="G60" s="54" t="s">
        <v>197</v>
      </c>
      <c r="H60" s="40" t="b">
        <f t="shared" si="0"/>
        <v>1</v>
      </c>
      <c r="I60" s="41" t="b">
        <f t="shared" si="1"/>
        <v>0</v>
      </c>
      <c r="J60" s="39"/>
    </row>
    <row r="61" spans="1:10" x14ac:dyDescent="0.2">
      <c r="A61" s="41">
        <v>58</v>
      </c>
      <c r="B61" s="39"/>
      <c r="C61" s="54"/>
      <c r="D61" s="39" t="s">
        <v>245</v>
      </c>
      <c r="E61" s="54" t="s">
        <v>197</v>
      </c>
      <c r="F61" s="39" t="s">
        <v>245</v>
      </c>
      <c r="G61" s="54" t="s">
        <v>197</v>
      </c>
      <c r="H61" s="40" t="b">
        <f t="shared" si="0"/>
        <v>1</v>
      </c>
      <c r="I61" s="41" t="b">
        <f t="shared" si="1"/>
        <v>1</v>
      </c>
      <c r="J61" s="39"/>
    </row>
    <row r="62" spans="1:10" x14ac:dyDescent="0.2">
      <c r="A62" s="41">
        <v>59</v>
      </c>
      <c r="B62" s="39"/>
      <c r="C62" s="54"/>
      <c r="D62" s="39" t="s">
        <v>195</v>
      </c>
      <c r="E62" s="54" t="s">
        <v>246</v>
      </c>
      <c r="F62" s="39" t="s">
        <v>195</v>
      </c>
      <c r="G62" s="54" t="s">
        <v>255</v>
      </c>
      <c r="H62" s="40" t="b">
        <f t="shared" si="0"/>
        <v>1</v>
      </c>
      <c r="I62" s="41" t="b">
        <f t="shared" si="1"/>
        <v>0</v>
      </c>
      <c r="J62" s="39"/>
    </row>
    <row r="63" spans="1:10" x14ac:dyDescent="0.2">
      <c r="A63" s="53">
        <v>60</v>
      </c>
      <c r="B63" s="39"/>
      <c r="C63" s="54"/>
      <c r="D63" s="39" t="s">
        <v>247</v>
      </c>
      <c r="E63" s="54" t="s">
        <v>197</v>
      </c>
      <c r="F63" s="39" t="s">
        <v>247</v>
      </c>
      <c r="G63" s="54" t="s">
        <v>197</v>
      </c>
      <c r="H63" s="40" t="b">
        <f t="shared" si="0"/>
        <v>1</v>
      </c>
      <c r="I63" s="41" t="b">
        <f t="shared" si="1"/>
        <v>1</v>
      </c>
      <c r="J63" s="39"/>
    </row>
    <row r="64" spans="1:10" x14ac:dyDescent="0.2">
      <c r="A64" s="41">
        <v>61</v>
      </c>
      <c r="B64" s="39"/>
      <c r="C64" s="54"/>
      <c r="D64" s="39" t="s">
        <v>248</v>
      </c>
      <c r="E64" s="54" t="s">
        <v>197</v>
      </c>
      <c r="F64" s="39" t="s">
        <v>248</v>
      </c>
      <c r="G64" s="54" t="s">
        <v>197</v>
      </c>
      <c r="H64" s="40" t="b">
        <f t="shared" si="0"/>
        <v>1</v>
      </c>
      <c r="I64" s="41" t="b">
        <f t="shared" si="1"/>
        <v>1</v>
      </c>
      <c r="J64" s="39"/>
    </row>
    <row r="65" spans="1:10" x14ac:dyDescent="0.2">
      <c r="A65" s="41">
        <v>62</v>
      </c>
      <c r="B65" s="39"/>
      <c r="C65" s="54"/>
      <c r="D65" s="39" t="s">
        <v>249</v>
      </c>
      <c r="E65" s="54" t="s">
        <v>250</v>
      </c>
      <c r="F65" s="39" t="s">
        <v>249</v>
      </c>
      <c r="G65" s="54" t="s">
        <v>256</v>
      </c>
      <c r="H65" s="40" t="b">
        <f t="shared" si="0"/>
        <v>1</v>
      </c>
      <c r="I65" s="41" t="b">
        <f t="shared" si="1"/>
        <v>0</v>
      </c>
      <c r="J65" s="39"/>
    </row>
    <row r="66" spans="1:10" x14ac:dyDescent="0.2">
      <c r="A66" s="41">
        <v>63</v>
      </c>
      <c r="B66" s="39"/>
      <c r="C66" s="54"/>
      <c r="D66" s="39" t="s">
        <v>251</v>
      </c>
      <c r="E66" s="54" t="s">
        <v>198</v>
      </c>
      <c r="F66" s="39" t="s">
        <v>251</v>
      </c>
      <c r="G66" s="54" t="s">
        <v>198</v>
      </c>
      <c r="H66" s="40" t="b">
        <f t="shared" si="0"/>
        <v>1</v>
      </c>
      <c r="I66" s="41" t="b">
        <f t="shared" si="1"/>
        <v>1</v>
      </c>
      <c r="J66" s="39"/>
    </row>
    <row r="67" spans="1:10" x14ac:dyDescent="0.2">
      <c r="A67" s="53">
        <v>64</v>
      </c>
      <c r="B67" s="39"/>
      <c r="C67" s="54"/>
      <c r="D67" s="39" t="s">
        <v>252</v>
      </c>
      <c r="E67" s="54" t="s">
        <v>197</v>
      </c>
      <c r="F67" s="39" t="s">
        <v>252</v>
      </c>
      <c r="G67" s="54" t="s">
        <v>197</v>
      </c>
      <c r="H67" s="40" t="b">
        <f t="shared" si="0"/>
        <v>1</v>
      </c>
      <c r="I67" s="41" t="b">
        <f t="shared" si="1"/>
        <v>1</v>
      </c>
      <c r="J67" s="39"/>
    </row>
  </sheetData>
  <mergeCells count="7">
    <mergeCell ref="A2:A3"/>
    <mergeCell ref="B2:C2"/>
    <mergeCell ref="H2:H3"/>
    <mergeCell ref="J2:J3"/>
    <mergeCell ref="D2:E2"/>
    <mergeCell ref="I2:I3"/>
    <mergeCell ref="F2:G2"/>
  </mergeCells>
  <conditionalFormatting sqref="H4:I67">
    <cfRule type="containsText" dxfId="7" priority="23" operator="containsText" text="FALSE">
      <formula>NOT(ISERROR(SEARCH("FALSE",H4)))</formula>
    </cfRule>
    <cfRule type="containsText" dxfId="6" priority="24" operator="containsText" text="TRUE">
      <formula>NOT(ISERROR(SEARCH("TRUE",H4)))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selection activeCell="C13" sqref="C13"/>
    </sheetView>
  </sheetViews>
  <sheetFormatPr defaultRowHeight="12.75" x14ac:dyDescent="0.2"/>
  <cols>
    <col min="1" max="1" width="14.7109375" style="2" customWidth="1"/>
    <col min="2" max="2" width="25.85546875" style="2" bestFit="1" customWidth="1"/>
    <col min="3" max="16384" width="9.140625" style="2"/>
  </cols>
  <sheetData>
    <row r="1" spans="1:2" x14ac:dyDescent="0.2">
      <c r="A1" s="13" t="s">
        <v>20</v>
      </c>
    </row>
    <row r="2" spans="1:2" x14ac:dyDescent="0.2">
      <c r="A2" s="13"/>
    </row>
    <row r="3" spans="1:2" x14ac:dyDescent="0.2">
      <c r="A3" s="14" t="s">
        <v>4</v>
      </c>
      <c r="B3" s="15" t="s">
        <v>12</v>
      </c>
    </row>
    <row r="4" spans="1:2" x14ac:dyDescent="0.2">
      <c r="A4" s="16" t="s">
        <v>27</v>
      </c>
      <c r="B4" s="15" t="s">
        <v>28</v>
      </c>
    </row>
    <row r="5" spans="1:2" x14ac:dyDescent="0.2">
      <c r="A5" s="17" t="s">
        <v>10</v>
      </c>
      <c r="B5" s="15" t="s">
        <v>13</v>
      </c>
    </row>
    <row r="6" spans="1:2" x14ac:dyDescent="0.2">
      <c r="A6" s="18" t="s">
        <v>16</v>
      </c>
      <c r="B6" s="15" t="s">
        <v>17</v>
      </c>
    </row>
    <row r="7" spans="1:2" x14ac:dyDescent="0.2">
      <c r="A7" s="19" t="s">
        <v>14</v>
      </c>
      <c r="B7" s="15" t="s">
        <v>18</v>
      </c>
    </row>
    <row r="8" spans="1:2" x14ac:dyDescent="0.2">
      <c r="A8" s="20" t="s">
        <v>15</v>
      </c>
      <c r="B8" s="15" t="s">
        <v>19</v>
      </c>
    </row>
    <row r="9" spans="1:2" x14ac:dyDescent="0.2">
      <c r="A9" s="21" t="s">
        <v>11</v>
      </c>
      <c r="B9" s="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Trend_Analysis</vt:lpstr>
      <vt:lpstr>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rshakya</dc:creator>
  <cp:lastModifiedBy>akvaidya</cp:lastModifiedBy>
  <cp:lastPrinted>2011-11-06T13:41:52Z</cp:lastPrinted>
  <dcterms:created xsi:type="dcterms:W3CDTF">2011-11-04T13:24:59Z</dcterms:created>
  <dcterms:modified xsi:type="dcterms:W3CDTF">2016-11-11T12:40:45Z</dcterms:modified>
</cp:coreProperties>
</file>